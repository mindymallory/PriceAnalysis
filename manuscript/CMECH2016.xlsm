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5525" tabRatio="229" firstSheet="2" activeTab="2"/>
  </bookViews>
  <sheets>
    <sheet name="AR(p)" sheetId="1" r:id="rId1"/>
    <sheet name="MA(q)" sheetId="2" r:id="rId2"/>
    <sheet name="Seasonalilty" sheetId="4" r:id="rId3"/>
    <sheet name="FeedGrains" sheetId="3" r:id="rId4"/>
  </sheets>
  <externalReferences>
    <externalReference r:id="rId5"/>
  </externalReferences>
  <definedNames>
    <definedName name="_xlnm._FilterDatabase" localSheetId="3" hidden="1">FeedGrains!$A$1:$V$128</definedName>
    <definedName name="solver_adj" localSheetId="1" hidden="1">'MA(q)'!$C$2:$F$2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'MA(q)'!$G$2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D5" i="4" l="1"/>
  <c r="E6" i="4" s="1"/>
  <c r="F7" i="4" s="1"/>
  <c r="G8" i="4" s="1"/>
  <c r="H9" i="4" s="1"/>
  <c r="D6" i="4"/>
  <c r="E7" i="4" s="1"/>
  <c r="F8" i="4" s="1"/>
  <c r="G9" i="4" s="1"/>
  <c r="H10" i="4" s="1"/>
  <c r="D7" i="4"/>
  <c r="E8" i="4" s="1"/>
  <c r="F9" i="4" s="1"/>
  <c r="G10" i="4" s="1"/>
  <c r="H11" i="4" s="1"/>
  <c r="D8" i="4"/>
  <c r="E9" i="4" s="1"/>
  <c r="F10" i="4" s="1"/>
  <c r="G11" i="4" s="1"/>
  <c r="H12" i="4" s="1"/>
  <c r="D9" i="4"/>
  <c r="E10" i="4" s="1"/>
  <c r="F11" i="4" s="1"/>
  <c r="G12" i="4" s="1"/>
  <c r="H13" i="4" s="1"/>
  <c r="D10" i="4"/>
  <c r="E11" i="4" s="1"/>
  <c r="F12" i="4" s="1"/>
  <c r="G13" i="4" s="1"/>
  <c r="H14" i="4" s="1"/>
  <c r="D11" i="4"/>
  <c r="E12" i="4" s="1"/>
  <c r="F13" i="4" s="1"/>
  <c r="G14" i="4" s="1"/>
  <c r="H15" i="4" s="1"/>
  <c r="D12" i="4"/>
  <c r="E13" i="4" s="1"/>
  <c r="F14" i="4" s="1"/>
  <c r="G15" i="4" s="1"/>
  <c r="H16" i="4" s="1"/>
  <c r="D13" i="4"/>
  <c r="E14" i="4" s="1"/>
  <c r="F15" i="4" s="1"/>
  <c r="G16" i="4" s="1"/>
  <c r="H17" i="4" s="1"/>
  <c r="D14" i="4"/>
  <c r="E15" i="4" s="1"/>
  <c r="F16" i="4" s="1"/>
  <c r="G17" i="4" s="1"/>
  <c r="H18" i="4" s="1"/>
  <c r="D15" i="4"/>
  <c r="E16" i="4" s="1"/>
  <c r="F17" i="4" s="1"/>
  <c r="G18" i="4" s="1"/>
  <c r="H19" i="4" s="1"/>
  <c r="D16" i="4"/>
  <c r="E17" i="4" s="1"/>
  <c r="F18" i="4" s="1"/>
  <c r="G19" i="4" s="1"/>
  <c r="H20" i="4" s="1"/>
  <c r="D17" i="4"/>
  <c r="E18" i="4" s="1"/>
  <c r="F19" i="4" s="1"/>
  <c r="G20" i="4" s="1"/>
  <c r="H21" i="4" s="1"/>
  <c r="D18" i="4"/>
  <c r="E19" i="4" s="1"/>
  <c r="F20" i="4" s="1"/>
  <c r="G21" i="4" s="1"/>
  <c r="H22" i="4" s="1"/>
  <c r="D19" i="4"/>
  <c r="E20" i="4" s="1"/>
  <c r="F21" i="4" s="1"/>
  <c r="G22" i="4" s="1"/>
  <c r="H23" i="4" s="1"/>
  <c r="D20" i="4"/>
  <c r="E21" i="4" s="1"/>
  <c r="F22" i="4" s="1"/>
  <c r="G23" i="4" s="1"/>
  <c r="H24" i="4" s="1"/>
  <c r="D21" i="4"/>
  <c r="E22" i="4" s="1"/>
  <c r="F23" i="4" s="1"/>
  <c r="G24" i="4" s="1"/>
  <c r="H25" i="4" s="1"/>
  <c r="D22" i="4"/>
  <c r="E23" i="4" s="1"/>
  <c r="F24" i="4" s="1"/>
  <c r="G25" i="4" s="1"/>
  <c r="H26" i="4" s="1"/>
  <c r="D23" i="4"/>
  <c r="E24" i="4" s="1"/>
  <c r="F25" i="4" s="1"/>
  <c r="G26" i="4" s="1"/>
  <c r="H27" i="4" s="1"/>
  <c r="D24" i="4"/>
  <c r="E25" i="4" s="1"/>
  <c r="F26" i="4" s="1"/>
  <c r="G27" i="4" s="1"/>
  <c r="H28" i="4" s="1"/>
  <c r="D25" i="4"/>
  <c r="E26" i="4" s="1"/>
  <c r="F27" i="4" s="1"/>
  <c r="G28" i="4" s="1"/>
  <c r="H29" i="4" s="1"/>
  <c r="D26" i="4"/>
  <c r="E27" i="4" s="1"/>
  <c r="F28" i="4" s="1"/>
  <c r="G29" i="4" s="1"/>
  <c r="H30" i="4" s="1"/>
  <c r="D27" i="4"/>
  <c r="E28" i="4" s="1"/>
  <c r="F29" i="4" s="1"/>
  <c r="G30" i="4" s="1"/>
  <c r="H31" i="4" s="1"/>
  <c r="D28" i="4"/>
  <c r="E29" i="4" s="1"/>
  <c r="F30" i="4" s="1"/>
  <c r="G31" i="4" s="1"/>
  <c r="H32" i="4" s="1"/>
  <c r="D29" i="4"/>
  <c r="E30" i="4" s="1"/>
  <c r="F31" i="4" s="1"/>
  <c r="G32" i="4" s="1"/>
  <c r="H33" i="4" s="1"/>
  <c r="D30" i="4"/>
  <c r="E31" i="4" s="1"/>
  <c r="F32" i="4" s="1"/>
  <c r="G33" i="4" s="1"/>
  <c r="H34" i="4" s="1"/>
  <c r="D31" i="4"/>
  <c r="E32" i="4" s="1"/>
  <c r="F33" i="4" s="1"/>
  <c r="G34" i="4" s="1"/>
  <c r="H35" i="4" s="1"/>
  <c r="D32" i="4"/>
  <c r="E33" i="4" s="1"/>
  <c r="F34" i="4" s="1"/>
  <c r="G35" i="4" s="1"/>
  <c r="H36" i="4" s="1"/>
  <c r="D33" i="4"/>
  <c r="E34" i="4" s="1"/>
  <c r="F35" i="4" s="1"/>
  <c r="G36" i="4" s="1"/>
  <c r="H37" i="4" s="1"/>
  <c r="D34" i="4"/>
  <c r="E35" i="4" s="1"/>
  <c r="F36" i="4" s="1"/>
  <c r="G37" i="4" s="1"/>
  <c r="H38" i="4" s="1"/>
  <c r="D35" i="4"/>
  <c r="E36" i="4" s="1"/>
  <c r="F37" i="4" s="1"/>
  <c r="G38" i="4" s="1"/>
  <c r="H39" i="4" s="1"/>
  <c r="D36" i="4"/>
  <c r="E37" i="4" s="1"/>
  <c r="F38" i="4" s="1"/>
  <c r="G39" i="4" s="1"/>
  <c r="H40" i="4" s="1"/>
  <c r="D37" i="4"/>
  <c r="E38" i="4" s="1"/>
  <c r="F39" i="4" s="1"/>
  <c r="G40" i="4" s="1"/>
  <c r="H41" i="4" s="1"/>
  <c r="D38" i="4"/>
  <c r="E39" i="4" s="1"/>
  <c r="F40" i="4" s="1"/>
  <c r="G41" i="4" s="1"/>
  <c r="H42" i="4" s="1"/>
  <c r="D39" i="4"/>
  <c r="E40" i="4" s="1"/>
  <c r="F41" i="4" s="1"/>
  <c r="G42" i="4" s="1"/>
  <c r="H43" i="4" s="1"/>
  <c r="D40" i="4"/>
  <c r="E41" i="4" s="1"/>
  <c r="F42" i="4" s="1"/>
  <c r="G43" i="4" s="1"/>
  <c r="H44" i="4" s="1"/>
  <c r="D41" i="4"/>
  <c r="E42" i="4" s="1"/>
  <c r="F43" i="4" s="1"/>
  <c r="G44" i="4" s="1"/>
  <c r="H45" i="4" s="1"/>
  <c r="D42" i="4"/>
  <c r="E43" i="4" s="1"/>
  <c r="F44" i="4" s="1"/>
  <c r="G45" i="4" s="1"/>
  <c r="H46" i="4" s="1"/>
  <c r="D43" i="4"/>
  <c r="E44" i="4" s="1"/>
  <c r="F45" i="4" s="1"/>
  <c r="G46" i="4" s="1"/>
  <c r="H47" i="4" s="1"/>
  <c r="D44" i="4"/>
  <c r="E45" i="4" s="1"/>
  <c r="F46" i="4" s="1"/>
  <c r="G47" i="4" s="1"/>
  <c r="H48" i="4" s="1"/>
  <c r="D45" i="4"/>
  <c r="E46" i="4" s="1"/>
  <c r="F47" i="4" s="1"/>
  <c r="G48" i="4" s="1"/>
  <c r="H49" i="4" s="1"/>
  <c r="D46" i="4"/>
  <c r="E47" i="4" s="1"/>
  <c r="F48" i="4" s="1"/>
  <c r="G49" i="4" s="1"/>
  <c r="H50" i="4" s="1"/>
  <c r="D47" i="4"/>
  <c r="E48" i="4" s="1"/>
  <c r="F49" i="4" s="1"/>
  <c r="G50" i="4" s="1"/>
  <c r="H51" i="4" s="1"/>
  <c r="D48" i="4"/>
  <c r="E49" i="4" s="1"/>
  <c r="F50" i="4" s="1"/>
  <c r="G51" i="4" s="1"/>
  <c r="H52" i="4" s="1"/>
  <c r="D49" i="4"/>
  <c r="E50" i="4" s="1"/>
  <c r="F51" i="4" s="1"/>
  <c r="G52" i="4" s="1"/>
  <c r="H53" i="4" s="1"/>
  <c r="D50" i="4"/>
  <c r="E51" i="4" s="1"/>
  <c r="F52" i="4" s="1"/>
  <c r="G53" i="4" s="1"/>
  <c r="H54" i="4" s="1"/>
  <c r="D51" i="4"/>
  <c r="E52" i="4" s="1"/>
  <c r="F53" i="4" s="1"/>
  <c r="G54" i="4" s="1"/>
  <c r="H55" i="4" s="1"/>
  <c r="D52" i="4"/>
  <c r="E53" i="4" s="1"/>
  <c r="F54" i="4" s="1"/>
  <c r="G55" i="4" s="1"/>
  <c r="H56" i="4" s="1"/>
  <c r="D53" i="4"/>
  <c r="E54" i="4" s="1"/>
  <c r="F55" i="4" s="1"/>
  <c r="G56" i="4" s="1"/>
  <c r="H57" i="4" s="1"/>
  <c r="D54" i="4"/>
  <c r="E55" i="4" s="1"/>
  <c r="F56" i="4" s="1"/>
  <c r="G57" i="4" s="1"/>
  <c r="H58" i="4" s="1"/>
  <c r="D55" i="4"/>
  <c r="E56" i="4" s="1"/>
  <c r="F57" i="4" s="1"/>
  <c r="G58" i="4" s="1"/>
  <c r="H59" i="4" s="1"/>
  <c r="D56" i="4"/>
  <c r="E57" i="4" s="1"/>
  <c r="F58" i="4" s="1"/>
  <c r="G59" i="4" s="1"/>
  <c r="H60" i="4" s="1"/>
  <c r="D57" i="4"/>
  <c r="E58" i="4" s="1"/>
  <c r="F59" i="4" s="1"/>
  <c r="G60" i="4" s="1"/>
  <c r="H61" i="4" s="1"/>
  <c r="D58" i="4"/>
  <c r="E59" i="4" s="1"/>
  <c r="F60" i="4" s="1"/>
  <c r="G61" i="4" s="1"/>
  <c r="H62" i="4" s="1"/>
  <c r="D59" i="4"/>
  <c r="E60" i="4" s="1"/>
  <c r="F61" i="4" s="1"/>
  <c r="G62" i="4" s="1"/>
  <c r="H63" i="4" s="1"/>
  <c r="D60" i="4"/>
  <c r="E61" i="4" s="1"/>
  <c r="F62" i="4" s="1"/>
  <c r="G63" i="4" s="1"/>
  <c r="H64" i="4" s="1"/>
  <c r="D61" i="4"/>
  <c r="E62" i="4" s="1"/>
  <c r="F63" i="4" s="1"/>
  <c r="G64" i="4" s="1"/>
  <c r="H65" i="4" s="1"/>
  <c r="D62" i="4"/>
  <c r="E63" i="4" s="1"/>
  <c r="F64" i="4" s="1"/>
  <c r="G65" i="4" s="1"/>
  <c r="H66" i="4" s="1"/>
  <c r="D63" i="4"/>
  <c r="E64" i="4" s="1"/>
  <c r="F65" i="4" s="1"/>
  <c r="G66" i="4" s="1"/>
  <c r="H67" i="4" s="1"/>
  <c r="D64" i="4"/>
  <c r="E65" i="4" s="1"/>
  <c r="F66" i="4" s="1"/>
  <c r="G67" i="4" s="1"/>
  <c r="H68" i="4" s="1"/>
  <c r="D65" i="4"/>
  <c r="E66" i="4" s="1"/>
  <c r="F67" i="4" s="1"/>
  <c r="G68" i="4" s="1"/>
  <c r="H69" i="4" s="1"/>
  <c r="D66" i="4"/>
  <c r="E67" i="4" s="1"/>
  <c r="F68" i="4" s="1"/>
  <c r="G69" i="4" s="1"/>
  <c r="H70" i="4" s="1"/>
  <c r="D67" i="4"/>
  <c r="E68" i="4" s="1"/>
  <c r="F69" i="4" s="1"/>
  <c r="G70" i="4" s="1"/>
  <c r="H71" i="4" s="1"/>
  <c r="D68" i="4"/>
  <c r="E69" i="4" s="1"/>
  <c r="F70" i="4" s="1"/>
  <c r="G71" i="4" s="1"/>
  <c r="H72" i="4" s="1"/>
  <c r="D69" i="4"/>
  <c r="E70" i="4" s="1"/>
  <c r="F71" i="4" s="1"/>
  <c r="G72" i="4" s="1"/>
  <c r="H73" i="4" s="1"/>
  <c r="D70" i="4"/>
  <c r="E71" i="4" s="1"/>
  <c r="F72" i="4" s="1"/>
  <c r="G73" i="4" s="1"/>
  <c r="H74" i="4" s="1"/>
  <c r="D71" i="4"/>
  <c r="E72" i="4" s="1"/>
  <c r="F73" i="4" s="1"/>
  <c r="G74" i="4" s="1"/>
  <c r="H75" i="4" s="1"/>
  <c r="D72" i="4"/>
  <c r="E73" i="4" s="1"/>
  <c r="F74" i="4" s="1"/>
  <c r="G75" i="4" s="1"/>
  <c r="H76" i="4" s="1"/>
  <c r="D73" i="4"/>
  <c r="E74" i="4" s="1"/>
  <c r="F75" i="4" s="1"/>
  <c r="G76" i="4" s="1"/>
  <c r="H77" i="4" s="1"/>
  <c r="D74" i="4"/>
  <c r="E75" i="4" s="1"/>
  <c r="F76" i="4" s="1"/>
  <c r="G77" i="4" s="1"/>
  <c r="H78" i="4" s="1"/>
  <c r="D75" i="4"/>
  <c r="E76" i="4" s="1"/>
  <c r="F77" i="4" s="1"/>
  <c r="G78" i="4" s="1"/>
  <c r="H79" i="4" s="1"/>
  <c r="D76" i="4"/>
  <c r="E77" i="4" s="1"/>
  <c r="F78" i="4" s="1"/>
  <c r="G79" i="4" s="1"/>
  <c r="H80" i="4" s="1"/>
  <c r="D77" i="4"/>
  <c r="E78" i="4" s="1"/>
  <c r="F79" i="4" s="1"/>
  <c r="G80" i="4" s="1"/>
  <c r="H81" i="4" s="1"/>
  <c r="D78" i="4"/>
  <c r="E79" i="4" s="1"/>
  <c r="F80" i="4" s="1"/>
  <c r="G81" i="4" s="1"/>
  <c r="H82" i="4" s="1"/>
  <c r="D79" i="4"/>
  <c r="E80" i="4" s="1"/>
  <c r="F81" i="4" s="1"/>
  <c r="G82" i="4" s="1"/>
  <c r="H83" i="4" s="1"/>
  <c r="D80" i="4"/>
  <c r="E81" i="4" s="1"/>
  <c r="F82" i="4" s="1"/>
  <c r="G83" i="4" s="1"/>
  <c r="H84" i="4" s="1"/>
  <c r="D81" i="4"/>
  <c r="E82" i="4" s="1"/>
  <c r="F83" i="4" s="1"/>
  <c r="G84" i="4" s="1"/>
  <c r="H85" i="4" s="1"/>
  <c r="D82" i="4"/>
  <c r="E83" i="4" s="1"/>
  <c r="F84" i="4" s="1"/>
  <c r="G85" i="4" s="1"/>
  <c r="H86" i="4" s="1"/>
  <c r="D83" i="4"/>
  <c r="E84" i="4" s="1"/>
  <c r="F85" i="4" s="1"/>
  <c r="G86" i="4" s="1"/>
  <c r="H87" i="4" s="1"/>
  <c r="D84" i="4"/>
  <c r="E85" i="4" s="1"/>
  <c r="F86" i="4" s="1"/>
  <c r="G87" i="4" s="1"/>
  <c r="H88" i="4" s="1"/>
  <c r="D85" i="4"/>
  <c r="E86" i="4" s="1"/>
  <c r="F87" i="4" s="1"/>
  <c r="G88" i="4" s="1"/>
  <c r="H89" i="4" s="1"/>
  <c r="D86" i="4"/>
  <c r="E87" i="4" s="1"/>
  <c r="F88" i="4" s="1"/>
  <c r="G89" i="4" s="1"/>
  <c r="H90" i="4" s="1"/>
  <c r="D87" i="4"/>
  <c r="E88" i="4" s="1"/>
  <c r="F89" i="4" s="1"/>
  <c r="G90" i="4" s="1"/>
  <c r="H91" i="4" s="1"/>
  <c r="D88" i="4"/>
  <c r="E89" i="4" s="1"/>
  <c r="F90" i="4" s="1"/>
  <c r="G91" i="4" s="1"/>
  <c r="H92" i="4" s="1"/>
  <c r="D89" i="4"/>
  <c r="E90" i="4" s="1"/>
  <c r="F91" i="4" s="1"/>
  <c r="G92" i="4" s="1"/>
  <c r="H93" i="4" s="1"/>
  <c r="D90" i="4"/>
  <c r="E91" i="4" s="1"/>
  <c r="F92" i="4" s="1"/>
  <c r="G93" i="4" s="1"/>
  <c r="H94" i="4" s="1"/>
  <c r="D91" i="4"/>
  <c r="E92" i="4" s="1"/>
  <c r="F93" i="4" s="1"/>
  <c r="G94" i="4" s="1"/>
  <c r="H95" i="4" s="1"/>
  <c r="D92" i="4"/>
  <c r="E93" i="4" s="1"/>
  <c r="F94" i="4" s="1"/>
  <c r="G95" i="4" s="1"/>
  <c r="H96" i="4" s="1"/>
  <c r="D93" i="4"/>
  <c r="E94" i="4" s="1"/>
  <c r="F95" i="4" s="1"/>
  <c r="G96" i="4" s="1"/>
  <c r="H97" i="4" s="1"/>
  <c r="D94" i="4"/>
  <c r="E95" i="4" s="1"/>
  <c r="F96" i="4" s="1"/>
  <c r="G97" i="4" s="1"/>
  <c r="H98" i="4" s="1"/>
  <c r="D95" i="4"/>
  <c r="E96" i="4" s="1"/>
  <c r="F97" i="4" s="1"/>
  <c r="G98" i="4" s="1"/>
  <c r="H99" i="4" s="1"/>
  <c r="D96" i="4"/>
  <c r="E97" i="4" s="1"/>
  <c r="F98" i="4" s="1"/>
  <c r="G99" i="4" s="1"/>
  <c r="H100" i="4" s="1"/>
  <c r="D97" i="4"/>
  <c r="E98" i="4" s="1"/>
  <c r="F99" i="4" s="1"/>
  <c r="G100" i="4" s="1"/>
  <c r="H101" i="4" s="1"/>
  <c r="D98" i="4"/>
  <c r="E99" i="4" s="1"/>
  <c r="F100" i="4" s="1"/>
  <c r="G101" i="4" s="1"/>
  <c r="D99" i="4"/>
  <c r="E100" i="4" s="1"/>
  <c r="F101" i="4" s="1"/>
  <c r="D100" i="4"/>
  <c r="E101" i="4" s="1"/>
  <c r="D101" i="4"/>
  <c r="D4" i="4"/>
  <c r="E5" i="4" s="1"/>
  <c r="F6" i="4" s="1"/>
  <c r="G7" i="4" s="1"/>
  <c r="H8" i="4" s="1"/>
  <c r="T125" i="3"/>
  <c r="R125" i="3"/>
  <c r="Q125" i="3"/>
  <c r="P125" i="3"/>
  <c r="T124" i="3"/>
  <c r="R124" i="3"/>
  <c r="Q124" i="3"/>
  <c r="P124" i="3"/>
  <c r="T123" i="3"/>
  <c r="R123" i="3"/>
  <c r="Q123" i="3"/>
  <c r="P123" i="3"/>
  <c r="T122" i="3"/>
  <c r="R122" i="3"/>
  <c r="Q122" i="3"/>
  <c r="P122" i="3"/>
  <c r="T121" i="3"/>
  <c r="R121" i="3"/>
  <c r="Q121" i="3"/>
  <c r="P121" i="3"/>
  <c r="T120" i="3"/>
  <c r="R120" i="3"/>
  <c r="Q120" i="3"/>
  <c r="P120" i="3"/>
  <c r="T119" i="3"/>
  <c r="R119" i="3"/>
  <c r="Q119" i="3"/>
  <c r="P119" i="3"/>
  <c r="T118" i="3"/>
  <c r="R118" i="3"/>
  <c r="Q118" i="3"/>
  <c r="P118" i="3"/>
  <c r="T117" i="3"/>
  <c r="R117" i="3"/>
  <c r="Q117" i="3"/>
  <c r="P117" i="3"/>
  <c r="T116" i="3"/>
  <c r="R116" i="3"/>
  <c r="Q116" i="3"/>
  <c r="P116" i="3"/>
  <c r="T115" i="3"/>
  <c r="R115" i="3"/>
  <c r="Q115" i="3"/>
  <c r="P115" i="3"/>
  <c r="T114" i="3"/>
  <c r="R114" i="3"/>
  <c r="Q114" i="3"/>
  <c r="P114" i="3"/>
  <c r="T113" i="3"/>
  <c r="R113" i="3"/>
  <c r="Q113" i="3"/>
  <c r="P113" i="3"/>
  <c r="T112" i="3"/>
  <c r="R112" i="3"/>
  <c r="Q112" i="3"/>
  <c r="P112" i="3"/>
  <c r="T111" i="3"/>
  <c r="R111" i="3"/>
  <c r="Q111" i="3"/>
  <c r="P111" i="3"/>
  <c r="T110" i="3"/>
  <c r="R110" i="3"/>
  <c r="Q110" i="3"/>
  <c r="P110" i="3"/>
  <c r="T109" i="3"/>
  <c r="R109" i="3"/>
  <c r="Q109" i="3"/>
  <c r="P109" i="3"/>
  <c r="T108" i="3"/>
  <c r="R108" i="3"/>
  <c r="Q108" i="3"/>
  <c r="P108" i="3"/>
  <c r="T107" i="3"/>
  <c r="R107" i="3"/>
  <c r="Q107" i="3"/>
  <c r="P107" i="3"/>
  <c r="T106" i="3"/>
  <c r="R106" i="3"/>
  <c r="Q106" i="3"/>
  <c r="P106" i="3"/>
  <c r="T105" i="3"/>
  <c r="R105" i="3"/>
  <c r="Q105" i="3"/>
  <c r="P105" i="3"/>
  <c r="T104" i="3"/>
  <c r="R104" i="3"/>
  <c r="Q104" i="3"/>
  <c r="P104" i="3"/>
  <c r="T103" i="3"/>
  <c r="R103" i="3"/>
  <c r="Q103" i="3"/>
  <c r="P103" i="3"/>
  <c r="T102" i="3"/>
  <c r="R102" i="3"/>
  <c r="Q102" i="3"/>
  <c r="P102" i="3"/>
  <c r="T101" i="3"/>
  <c r="R101" i="3"/>
  <c r="Q101" i="3"/>
  <c r="P101" i="3"/>
  <c r="T100" i="3"/>
  <c r="R100" i="3"/>
  <c r="Q100" i="3"/>
  <c r="P100" i="3"/>
  <c r="T99" i="3"/>
  <c r="R99" i="3"/>
  <c r="Q99" i="3"/>
  <c r="P99" i="3"/>
  <c r="T98" i="3"/>
  <c r="R98" i="3"/>
  <c r="Q98" i="3"/>
  <c r="P98" i="3"/>
  <c r="T97" i="3"/>
  <c r="R97" i="3"/>
  <c r="Q97" i="3"/>
  <c r="P97" i="3"/>
  <c r="T96" i="3"/>
  <c r="R96" i="3"/>
  <c r="Q96" i="3"/>
  <c r="P96" i="3"/>
  <c r="T95" i="3"/>
  <c r="R95" i="3"/>
  <c r="Q95" i="3"/>
  <c r="P95" i="3"/>
  <c r="T94" i="3"/>
  <c r="R94" i="3"/>
  <c r="Q94" i="3"/>
  <c r="P94" i="3"/>
  <c r="T93" i="3"/>
  <c r="R93" i="3"/>
  <c r="Q93" i="3"/>
  <c r="P93" i="3"/>
  <c r="T92" i="3"/>
  <c r="R92" i="3"/>
  <c r="Q92" i="3"/>
  <c r="P92" i="3"/>
  <c r="T91" i="3"/>
  <c r="R91" i="3"/>
  <c r="Q91" i="3"/>
  <c r="P91" i="3"/>
  <c r="T90" i="3"/>
  <c r="R90" i="3"/>
  <c r="Q90" i="3"/>
  <c r="P90" i="3"/>
  <c r="T89" i="3"/>
  <c r="R89" i="3"/>
  <c r="Q89" i="3"/>
  <c r="P89" i="3"/>
  <c r="T88" i="3"/>
  <c r="R88" i="3"/>
  <c r="Q88" i="3"/>
  <c r="P88" i="3"/>
  <c r="T87" i="3"/>
  <c r="R87" i="3"/>
  <c r="Q87" i="3"/>
  <c r="P87" i="3"/>
  <c r="T86" i="3"/>
  <c r="R86" i="3"/>
  <c r="Q86" i="3"/>
  <c r="P86" i="3"/>
  <c r="T85" i="3"/>
  <c r="R85" i="3"/>
  <c r="Q85" i="3"/>
  <c r="P85" i="3"/>
  <c r="T84" i="3"/>
  <c r="R84" i="3"/>
  <c r="Q84" i="3"/>
  <c r="P84" i="3"/>
  <c r="T83" i="3"/>
  <c r="R83" i="3"/>
  <c r="Q83" i="3"/>
  <c r="P83" i="3"/>
  <c r="T82" i="3"/>
  <c r="R82" i="3"/>
  <c r="Q82" i="3"/>
  <c r="P82" i="3"/>
  <c r="T81" i="3"/>
  <c r="R81" i="3"/>
  <c r="Q81" i="3"/>
  <c r="P81" i="3"/>
  <c r="T80" i="3"/>
  <c r="R80" i="3"/>
  <c r="Q80" i="3"/>
  <c r="P80" i="3"/>
  <c r="T79" i="3"/>
  <c r="R79" i="3"/>
  <c r="Q79" i="3"/>
  <c r="P79" i="3"/>
  <c r="T78" i="3"/>
  <c r="R78" i="3"/>
  <c r="Q78" i="3"/>
  <c r="P78" i="3"/>
  <c r="T77" i="3"/>
  <c r="R77" i="3"/>
  <c r="Q77" i="3"/>
  <c r="P77" i="3"/>
  <c r="T76" i="3"/>
  <c r="R76" i="3"/>
  <c r="Q76" i="3"/>
  <c r="P76" i="3"/>
  <c r="T75" i="3"/>
  <c r="R75" i="3"/>
  <c r="Q75" i="3"/>
  <c r="P75" i="3"/>
  <c r="T74" i="3"/>
  <c r="R74" i="3"/>
  <c r="Q74" i="3"/>
  <c r="P74" i="3"/>
  <c r="T73" i="3"/>
  <c r="R73" i="3"/>
  <c r="Q73" i="3"/>
  <c r="P73" i="3"/>
  <c r="T72" i="3"/>
  <c r="R72" i="3"/>
  <c r="Q72" i="3"/>
  <c r="P72" i="3"/>
  <c r="T71" i="3"/>
  <c r="R71" i="3"/>
  <c r="Q71" i="3"/>
  <c r="P71" i="3"/>
  <c r="T70" i="3"/>
  <c r="R70" i="3"/>
  <c r="Q70" i="3"/>
  <c r="P70" i="3"/>
  <c r="T69" i="3"/>
  <c r="R69" i="3"/>
  <c r="Q69" i="3"/>
  <c r="P69" i="3"/>
  <c r="T68" i="3"/>
  <c r="R68" i="3"/>
  <c r="Q68" i="3"/>
  <c r="P68" i="3"/>
  <c r="T67" i="3"/>
  <c r="R67" i="3"/>
  <c r="Q67" i="3"/>
  <c r="P67" i="3"/>
  <c r="T66" i="3"/>
  <c r="R66" i="3"/>
  <c r="Q66" i="3"/>
  <c r="P66" i="3"/>
  <c r="T65" i="3"/>
  <c r="R65" i="3"/>
  <c r="Q65" i="3"/>
  <c r="P65" i="3"/>
  <c r="T64" i="3"/>
  <c r="R64" i="3"/>
  <c r="Q64" i="3"/>
  <c r="P64" i="3"/>
  <c r="T63" i="3"/>
  <c r="R63" i="3"/>
  <c r="Q63" i="3"/>
  <c r="P63" i="3"/>
  <c r="T62" i="3"/>
  <c r="R62" i="3"/>
  <c r="Q62" i="3"/>
  <c r="P62" i="3"/>
  <c r="T61" i="3"/>
  <c r="R61" i="3"/>
  <c r="Q61" i="3"/>
  <c r="P61" i="3"/>
  <c r="T60" i="3"/>
  <c r="R60" i="3"/>
  <c r="Q60" i="3"/>
  <c r="P60" i="3"/>
  <c r="T59" i="3"/>
  <c r="R59" i="3"/>
  <c r="Q59" i="3"/>
  <c r="P59" i="3"/>
  <c r="T58" i="3"/>
  <c r="R58" i="3"/>
  <c r="Q58" i="3"/>
  <c r="P58" i="3"/>
  <c r="T57" i="3"/>
  <c r="R57" i="3"/>
  <c r="Q57" i="3"/>
  <c r="P57" i="3"/>
  <c r="T56" i="3"/>
  <c r="R56" i="3"/>
  <c r="Q56" i="3"/>
  <c r="P56" i="3"/>
  <c r="T55" i="3"/>
  <c r="R55" i="3"/>
  <c r="Q55" i="3"/>
  <c r="P55" i="3"/>
  <c r="T54" i="3"/>
  <c r="R54" i="3"/>
  <c r="Q54" i="3"/>
  <c r="P54" i="3"/>
  <c r="T53" i="3"/>
  <c r="R53" i="3"/>
  <c r="Q53" i="3"/>
  <c r="P53" i="3"/>
  <c r="T52" i="3"/>
  <c r="R52" i="3"/>
  <c r="Q52" i="3"/>
  <c r="P52" i="3"/>
  <c r="T51" i="3"/>
  <c r="R51" i="3"/>
  <c r="Q51" i="3"/>
  <c r="P51" i="3"/>
  <c r="T50" i="3"/>
  <c r="R50" i="3"/>
  <c r="Q50" i="3"/>
  <c r="P50" i="3"/>
  <c r="T49" i="3"/>
  <c r="R49" i="3"/>
  <c r="Q49" i="3"/>
  <c r="P49" i="3"/>
  <c r="T48" i="3"/>
  <c r="R48" i="3"/>
  <c r="Q48" i="3"/>
  <c r="P48" i="3"/>
  <c r="T47" i="3"/>
  <c r="R47" i="3"/>
  <c r="Q47" i="3"/>
  <c r="P47" i="3"/>
  <c r="T46" i="3"/>
  <c r="R46" i="3"/>
  <c r="Q46" i="3"/>
  <c r="P46" i="3"/>
  <c r="T45" i="3"/>
  <c r="R45" i="3"/>
  <c r="Q45" i="3"/>
  <c r="P45" i="3"/>
  <c r="T44" i="3"/>
  <c r="R44" i="3"/>
  <c r="Q44" i="3"/>
  <c r="P44" i="3"/>
  <c r="T43" i="3"/>
  <c r="R43" i="3"/>
  <c r="Q43" i="3"/>
  <c r="P43" i="3"/>
  <c r="T42" i="3"/>
  <c r="R42" i="3"/>
  <c r="Q42" i="3"/>
  <c r="P42" i="3"/>
  <c r="T41" i="3"/>
  <c r="R41" i="3"/>
  <c r="Q41" i="3"/>
  <c r="P41" i="3"/>
  <c r="T40" i="3"/>
  <c r="R40" i="3"/>
  <c r="Q40" i="3"/>
  <c r="P40" i="3"/>
  <c r="T39" i="3"/>
  <c r="R39" i="3"/>
  <c r="Q39" i="3"/>
  <c r="P39" i="3"/>
  <c r="T38" i="3"/>
  <c r="R38" i="3"/>
  <c r="Q38" i="3"/>
  <c r="P38" i="3"/>
  <c r="T37" i="3"/>
  <c r="R37" i="3"/>
  <c r="Q37" i="3"/>
  <c r="P37" i="3"/>
  <c r="T36" i="3"/>
  <c r="R36" i="3"/>
  <c r="Q36" i="3"/>
  <c r="P36" i="3"/>
  <c r="T35" i="3"/>
  <c r="R35" i="3"/>
  <c r="Q35" i="3"/>
  <c r="P35" i="3"/>
  <c r="T34" i="3"/>
  <c r="R34" i="3"/>
  <c r="Q34" i="3"/>
  <c r="P34" i="3"/>
  <c r="T33" i="3"/>
  <c r="R33" i="3"/>
  <c r="Q33" i="3"/>
  <c r="P33" i="3"/>
  <c r="T32" i="3"/>
  <c r="R32" i="3"/>
  <c r="Q32" i="3"/>
  <c r="P32" i="3"/>
  <c r="T31" i="3"/>
  <c r="R31" i="3"/>
  <c r="Q31" i="3"/>
  <c r="P31" i="3"/>
  <c r="T30" i="3"/>
  <c r="R30" i="3"/>
  <c r="Q30" i="3"/>
  <c r="P30" i="3"/>
  <c r="T29" i="3"/>
  <c r="R29" i="3"/>
  <c r="Q29" i="3"/>
  <c r="P29" i="3"/>
  <c r="T28" i="3"/>
  <c r="R28" i="3"/>
  <c r="Q28" i="3"/>
  <c r="P28" i="3"/>
  <c r="T27" i="3"/>
  <c r="R27" i="3"/>
  <c r="Q27" i="3"/>
  <c r="P27" i="3"/>
  <c r="T26" i="3"/>
  <c r="R26" i="3"/>
  <c r="Q26" i="3"/>
  <c r="P26" i="3"/>
  <c r="T25" i="3"/>
  <c r="R25" i="3"/>
  <c r="Q25" i="3"/>
  <c r="P25" i="3"/>
  <c r="T24" i="3"/>
  <c r="R24" i="3"/>
  <c r="Q24" i="3"/>
  <c r="P24" i="3"/>
  <c r="T23" i="3"/>
  <c r="R23" i="3"/>
  <c r="Q23" i="3"/>
  <c r="P23" i="3"/>
  <c r="T22" i="3"/>
  <c r="R22" i="3"/>
  <c r="Q22" i="3"/>
  <c r="P22" i="3"/>
  <c r="T21" i="3"/>
  <c r="R21" i="3"/>
  <c r="Q21" i="3"/>
  <c r="P21" i="3"/>
  <c r="T20" i="3"/>
  <c r="R20" i="3"/>
  <c r="Q20" i="3"/>
  <c r="P20" i="3"/>
  <c r="T19" i="3"/>
  <c r="R19" i="3"/>
  <c r="Q19" i="3"/>
  <c r="P19" i="3"/>
  <c r="T18" i="3"/>
  <c r="R18" i="3"/>
  <c r="Q18" i="3"/>
  <c r="P18" i="3"/>
  <c r="T17" i="3"/>
  <c r="R17" i="3"/>
  <c r="Q17" i="3"/>
  <c r="P17" i="3"/>
  <c r="T16" i="3"/>
  <c r="R16" i="3"/>
  <c r="Q16" i="3"/>
  <c r="P16" i="3"/>
  <c r="T15" i="3"/>
  <c r="R15" i="3"/>
  <c r="Q15" i="3"/>
  <c r="P15" i="3"/>
  <c r="T14" i="3"/>
  <c r="R14" i="3"/>
  <c r="Q14" i="3"/>
  <c r="P14" i="3"/>
  <c r="T13" i="3"/>
  <c r="R13" i="3"/>
  <c r="Q13" i="3"/>
  <c r="P13" i="3"/>
  <c r="T12" i="3"/>
  <c r="R12" i="3"/>
  <c r="Q12" i="3"/>
  <c r="P12" i="3"/>
  <c r="T11" i="3"/>
  <c r="R11" i="3"/>
  <c r="Q11" i="3"/>
  <c r="P11" i="3"/>
  <c r="T10" i="3"/>
  <c r="R10" i="3"/>
  <c r="Q10" i="3"/>
  <c r="P10" i="3"/>
  <c r="T9" i="3"/>
  <c r="R9" i="3"/>
  <c r="Q9" i="3"/>
  <c r="P9" i="3"/>
  <c r="T8" i="3"/>
  <c r="R8" i="3"/>
  <c r="Q8" i="3"/>
  <c r="P8" i="3"/>
  <c r="T7" i="3"/>
  <c r="R7" i="3"/>
  <c r="Q7" i="3"/>
  <c r="P7" i="3"/>
  <c r="T6" i="3"/>
  <c r="R6" i="3"/>
  <c r="Q6" i="3"/>
  <c r="P6" i="3"/>
  <c r="T5" i="3"/>
  <c r="R5" i="3"/>
  <c r="Q5" i="3"/>
  <c r="P5" i="3"/>
  <c r="T4" i="3"/>
  <c r="R4" i="3"/>
  <c r="Q4" i="3"/>
  <c r="P4" i="3"/>
  <c r="T3" i="3"/>
  <c r="R3" i="3"/>
  <c r="Q3" i="3"/>
  <c r="P3" i="3"/>
  <c r="T2" i="3"/>
  <c r="R2" i="3"/>
  <c r="Q2" i="3"/>
  <c r="P2" i="3"/>
  <c r="K216" i="2"/>
  <c r="K217" i="2" s="1"/>
  <c r="K218" i="2" s="1"/>
  <c r="K219" i="2" s="1"/>
  <c r="K220" i="2" s="1"/>
  <c r="P5" i="2"/>
  <c r="D7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E7" i="2" s="1"/>
  <c r="F7" i="2" s="1"/>
  <c r="C5" i="1"/>
  <c r="D6" i="1" s="1"/>
  <c r="E7" i="1" s="1"/>
  <c r="C6" i="1"/>
  <c r="D7" i="1" s="1"/>
  <c r="E8" i="1" s="1"/>
  <c r="C7" i="1"/>
  <c r="D8" i="1" s="1"/>
  <c r="E9" i="1" s="1"/>
  <c r="C8" i="1"/>
  <c r="D9" i="1" s="1"/>
  <c r="E10" i="1" s="1"/>
  <c r="C9" i="1"/>
  <c r="D10" i="1" s="1"/>
  <c r="E11" i="1" s="1"/>
  <c r="C10" i="1"/>
  <c r="D11" i="1" s="1"/>
  <c r="E12" i="1" s="1"/>
  <c r="C11" i="1"/>
  <c r="D12" i="1" s="1"/>
  <c r="E13" i="1" s="1"/>
  <c r="C12" i="1"/>
  <c r="D13" i="1" s="1"/>
  <c r="E14" i="1" s="1"/>
  <c r="C13" i="1"/>
  <c r="D14" i="1" s="1"/>
  <c r="E15" i="1" s="1"/>
  <c r="C14" i="1"/>
  <c r="D15" i="1" s="1"/>
  <c r="E16" i="1" s="1"/>
  <c r="C15" i="1"/>
  <c r="D16" i="1" s="1"/>
  <c r="E17" i="1" s="1"/>
  <c r="C16" i="1"/>
  <c r="D17" i="1" s="1"/>
  <c r="E18" i="1" s="1"/>
  <c r="C17" i="1"/>
  <c r="D18" i="1" s="1"/>
  <c r="E19" i="1" s="1"/>
  <c r="C18" i="1"/>
  <c r="D19" i="1" s="1"/>
  <c r="E20" i="1" s="1"/>
  <c r="C19" i="1"/>
  <c r="D20" i="1" s="1"/>
  <c r="E21" i="1" s="1"/>
  <c r="C20" i="1"/>
  <c r="D21" i="1" s="1"/>
  <c r="E22" i="1" s="1"/>
  <c r="C21" i="1"/>
  <c r="D22" i="1" s="1"/>
  <c r="E23" i="1" s="1"/>
  <c r="C22" i="1"/>
  <c r="D23" i="1" s="1"/>
  <c r="E24" i="1" s="1"/>
  <c r="C23" i="1"/>
  <c r="D24" i="1" s="1"/>
  <c r="E25" i="1" s="1"/>
  <c r="C24" i="1"/>
  <c r="D25" i="1" s="1"/>
  <c r="E26" i="1" s="1"/>
  <c r="C25" i="1"/>
  <c r="D26" i="1" s="1"/>
  <c r="E27" i="1" s="1"/>
  <c r="C26" i="1"/>
  <c r="D27" i="1" s="1"/>
  <c r="E28" i="1" s="1"/>
  <c r="C27" i="1"/>
  <c r="D28" i="1" s="1"/>
  <c r="E29" i="1" s="1"/>
  <c r="C28" i="1"/>
  <c r="D29" i="1" s="1"/>
  <c r="E30" i="1" s="1"/>
  <c r="C29" i="1"/>
  <c r="D30" i="1" s="1"/>
  <c r="E31" i="1" s="1"/>
  <c r="C30" i="1"/>
  <c r="D31" i="1" s="1"/>
  <c r="E32" i="1" s="1"/>
  <c r="C31" i="1"/>
  <c r="D32" i="1" s="1"/>
  <c r="E33" i="1" s="1"/>
  <c r="C32" i="1"/>
  <c r="D33" i="1" s="1"/>
  <c r="E34" i="1" s="1"/>
  <c r="C33" i="1"/>
  <c r="D34" i="1" s="1"/>
  <c r="E35" i="1" s="1"/>
  <c r="C34" i="1"/>
  <c r="D35" i="1" s="1"/>
  <c r="E36" i="1" s="1"/>
  <c r="C35" i="1"/>
  <c r="D36" i="1" s="1"/>
  <c r="E37" i="1" s="1"/>
  <c r="C36" i="1"/>
  <c r="D37" i="1" s="1"/>
  <c r="E38" i="1" s="1"/>
  <c r="C37" i="1"/>
  <c r="D38" i="1" s="1"/>
  <c r="E39" i="1" s="1"/>
  <c r="C38" i="1"/>
  <c r="D39" i="1" s="1"/>
  <c r="E40" i="1" s="1"/>
  <c r="C39" i="1"/>
  <c r="D40" i="1" s="1"/>
  <c r="E41" i="1" s="1"/>
  <c r="C40" i="1"/>
  <c r="D41" i="1" s="1"/>
  <c r="E42" i="1" s="1"/>
  <c r="C41" i="1"/>
  <c r="D42" i="1" s="1"/>
  <c r="E43" i="1" s="1"/>
  <c r="C42" i="1"/>
  <c r="D43" i="1" s="1"/>
  <c r="E44" i="1" s="1"/>
  <c r="C43" i="1"/>
  <c r="D44" i="1" s="1"/>
  <c r="E45" i="1" s="1"/>
  <c r="C44" i="1"/>
  <c r="D45" i="1" s="1"/>
  <c r="E46" i="1" s="1"/>
  <c r="C45" i="1"/>
  <c r="D46" i="1" s="1"/>
  <c r="E47" i="1" s="1"/>
  <c r="C46" i="1"/>
  <c r="D47" i="1" s="1"/>
  <c r="E48" i="1" s="1"/>
  <c r="C47" i="1"/>
  <c r="D48" i="1" s="1"/>
  <c r="E49" i="1" s="1"/>
  <c r="C48" i="1"/>
  <c r="D49" i="1" s="1"/>
  <c r="E50" i="1" s="1"/>
  <c r="C49" i="1"/>
  <c r="D50" i="1" s="1"/>
  <c r="E51" i="1" s="1"/>
  <c r="C50" i="1"/>
  <c r="D51" i="1" s="1"/>
  <c r="E52" i="1" s="1"/>
  <c r="C51" i="1"/>
  <c r="D52" i="1" s="1"/>
  <c r="E53" i="1" s="1"/>
  <c r="C52" i="1"/>
  <c r="D53" i="1" s="1"/>
  <c r="E54" i="1" s="1"/>
  <c r="C53" i="1"/>
  <c r="D54" i="1" s="1"/>
  <c r="E55" i="1" s="1"/>
  <c r="C54" i="1"/>
  <c r="D55" i="1" s="1"/>
  <c r="E56" i="1" s="1"/>
  <c r="C55" i="1"/>
  <c r="D56" i="1" s="1"/>
  <c r="E57" i="1" s="1"/>
  <c r="C56" i="1"/>
  <c r="D57" i="1" s="1"/>
  <c r="E58" i="1" s="1"/>
  <c r="C57" i="1"/>
  <c r="D58" i="1" s="1"/>
  <c r="E59" i="1" s="1"/>
  <c r="C58" i="1"/>
  <c r="D59" i="1" s="1"/>
  <c r="E60" i="1" s="1"/>
  <c r="C59" i="1"/>
  <c r="D60" i="1" s="1"/>
  <c r="E61" i="1" s="1"/>
  <c r="C60" i="1"/>
  <c r="D61" i="1" s="1"/>
  <c r="E62" i="1" s="1"/>
  <c r="C61" i="1"/>
  <c r="D62" i="1" s="1"/>
  <c r="E63" i="1" s="1"/>
  <c r="C62" i="1"/>
  <c r="D63" i="1" s="1"/>
  <c r="E64" i="1" s="1"/>
  <c r="C63" i="1"/>
  <c r="D64" i="1" s="1"/>
  <c r="E65" i="1" s="1"/>
  <c r="C64" i="1"/>
  <c r="D65" i="1" s="1"/>
  <c r="E66" i="1" s="1"/>
  <c r="C65" i="1"/>
  <c r="D66" i="1" s="1"/>
  <c r="E67" i="1" s="1"/>
  <c r="C66" i="1"/>
  <c r="D67" i="1" s="1"/>
  <c r="E68" i="1" s="1"/>
  <c r="C67" i="1"/>
  <c r="D68" i="1" s="1"/>
  <c r="E69" i="1" s="1"/>
  <c r="C68" i="1"/>
  <c r="D69" i="1" s="1"/>
  <c r="E70" i="1" s="1"/>
  <c r="C69" i="1"/>
  <c r="D70" i="1" s="1"/>
  <c r="E71" i="1" s="1"/>
  <c r="C70" i="1"/>
  <c r="D71" i="1" s="1"/>
  <c r="E72" i="1" s="1"/>
  <c r="C71" i="1"/>
  <c r="D72" i="1" s="1"/>
  <c r="E73" i="1" s="1"/>
  <c r="C72" i="1"/>
  <c r="D73" i="1" s="1"/>
  <c r="E74" i="1" s="1"/>
  <c r="C73" i="1"/>
  <c r="D74" i="1" s="1"/>
  <c r="E75" i="1" s="1"/>
  <c r="C74" i="1"/>
  <c r="D75" i="1" s="1"/>
  <c r="E76" i="1" s="1"/>
  <c r="C75" i="1"/>
  <c r="D76" i="1" s="1"/>
  <c r="E77" i="1" s="1"/>
  <c r="C76" i="1"/>
  <c r="D77" i="1" s="1"/>
  <c r="E78" i="1" s="1"/>
  <c r="C77" i="1"/>
  <c r="D78" i="1" s="1"/>
  <c r="E79" i="1" s="1"/>
  <c r="C78" i="1"/>
  <c r="D79" i="1" s="1"/>
  <c r="E80" i="1" s="1"/>
  <c r="C79" i="1"/>
  <c r="D80" i="1" s="1"/>
  <c r="E81" i="1" s="1"/>
  <c r="C80" i="1"/>
  <c r="D81" i="1" s="1"/>
  <c r="E82" i="1" s="1"/>
  <c r="C81" i="1"/>
  <c r="D82" i="1" s="1"/>
  <c r="E83" i="1" s="1"/>
  <c r="C82" i="1"/>
  <c r="D83" i="1" s="1"/>
  <c r="E84" i="1" s="1"/>
  <c r="C83" i="1"/>
  <c r="D84" i="1" s="1"/>
  <c r="E85" i="1" s="1"/>
  <c r="C84" i="1"/>
  <c r="D85" i="1" s="1"/>
  <c r="E86" i="1" s="1"/>
  <c r="C85" i="1"/>
  <c r="D86" i="1" s="1"/>
  <c r="E87" i="1" s="1"/>
  <c r="C86" i="1"/>
  <c r="D87" i="1" s="1"/>
  <c r="E88" i="1" s="1"/>
  <c r="C87" i="1"/>
  <c r="D88" i="1" s="1"/>
  <c r="E89" i="1" s="1"/>
  <c r="C88" i="1"/>
  <c r="D89" i="1" s="1"/>
  <c r="E90" i="1" s="1"/>
  <c r="C89" i="1"/>
  <c r="D90" i="1" s="1"/>
  <c r="E91" i="1" s="1"/>
  <c r="C90" i="1"/>
  <c r="D91" i="1" s="1"/>
  <c r="E92" i="1" s="1"/>
  <c r="C91" i="1"/>
  <c r="D92" i="1" s="1"/>
  <c r="E93" i="1" s="1"/>
  <c r="C92" i="1"/>
  <c r="D93" i="1" s="1"/>
  <c r="E94" i="1" s="1"/>
  <c r="C93" i="1"/>
  <c r="D94" i="1" s="1"/>
  <c r="E95" i="1" s="1"/>
  <c r="C94" i="1"/>
  <c r="D95" i="1" s="1"/>
  <c r="E96" i="1" s="1"/>
  <c r="C95" i="1"/>
  <c r="D96" i="1" s="1"/>
  <c r="E97" i="1" s="1"/>
  <c r="C96" i="1"/>
  <c r="D97" i="1" s="1"/>
  <c r="E98" i="1" s="1"/>
  <c r="C97" i="1"/>
  <c r="D98" i="1" s="1"/>
  <c r="E99" i="1" s="1"/>
  <c r="C98" i="1"/>
  <c r="D99" i="1" s="1"/>
  <c r="E100" i="1" s="1"/>
  <c r="C99" i="1"/>
  <c r="D100" i="1" s="1"/>
  <c r="E101" i="1" s="1"/>
  <c r="C100" i="1"/>
  <c r="D101" i="1" s="1"/>
  <c r="E102" i="1" s="1"/>
  <c r="C101" i="1"/>
  <c r="D102" i="1" s="1"/>
  <c r="E103" i="1" s="1"/>
  <c r="C102" i="1"/>
  <c r="D103" i="1" s="1"/>
  <c r="E104" i="1" s="1"/>
  <c r="C103" i="1"/>
  <c r="D104" i="1" s="1"/>
  <c r="E105" i="1" s="1"/>
  <c r="C104" i="1"/>
  <c r="D105" i="1" s="1"/>
  <c r="E106" i="1" s="1"/>
  <c r="C105" i="1"/>
  <c r="D106" i="1" s="1"/>
  <c r="E107" i="1" s="1"/>
  <c r="C106" i="1"/>
  <c r="D107" i="1" s="1"/>
  <c r="E108" i="1" s="1"/>
  <c r="C107" i="1"/>
  <c r="D108" i="1" s="1"/>
  <c r="E109" i="1" s="1"/>
  <c r="C108" i="1"/>
  <c r="D109" i="1" s="1"/>
  <c r="E110" i="1" s="1"/>
  <c r="C109" i="1"/>
  <c r="D110" i="1" s="1"/>
  <c r="E111" i="1" s="1"/>
  <c r="C110" i="1"/>
  <c r="D111" i="1" s="1"/>
  <c r="E112" i="1" s="1"/>
  <c r="C111" i="1"/>
  <c r="D112" i="1" s="1"/>
  <c r="E113" i="1" s="1"/>
  <c r="C112" i="1"/>
  <c r="D113" i="1" s="1"/>
  <c r="E114" i="1" s="1"/>
  <c r="C113" i="1"/>
  <c r="D114" i="1" s="1"/>
  <c r="E115" i="1" s="1"/>
  <c r="C114" i="1"/>
  <c r="D115" i="1" s="1"/>
  <c r="E116" i="1" s="1"/>
  <c r="C115" i="1"/>
  <c r="D116" i="1" s="1"/>
  <c r="E117" i="1" s="1"/>
  <c r="C116" i="1"/>
  <c r="D117" i="1" s="1"/>
  <c r="E118" i="1" s="1"/>
  <c r="C117" i="1"/>
  <c r="D118" i="1" s="1"/>
  <c r="E119" i="1" s="1"/>
  <c r="C118" i="1"/>
  <c r="D119" i="1" s="1"/>
  <c r="E120" i="1" s="1"/>
  <c r="C119" i="1"/>
  <c r="D120" i="1" s="1"/>
  <c r="E121" i="1" s="1"/>
  <c r="C120" i="1"/>
  <c r="D121" i="1" s="1"/>
  <c r="E122" i="1" s="1"/>
  <c r="C121" i="1"/>
  <c r="D122" i="1" s="1"/>
  <c r="E123" i="1" s="1"/>
  <c r="C122" i="1"/>
  <c r="D123" i="1" s="1"/>
  <c r="E124" i="1" s="1"/>
  <c r="C123" i="1"/>
  <c r="D124" i="1" s="1"/>
  <c r="E125" i="1" s="1"/>
  <c r="C124" i="1"/>
  <c r="D125" i="1" s="1"/>
  <c r="E126" i="1" s="1"/>
  <c r="C125" i="1"/>
  <c r="D126" i="1" s="1"/>
  <c r="E127" i="1" s="1"/>
  <c r="C126" i="1"/>
  <c r="D127" i="1" s="1"/>
  <c r="E128" i="1" s="1"/>
  <c r="C127" i="1"/>
  <c r="D128" i="1" s="1"/>
  <c r="E129" i="1" s="1"/>
  <c r="C128" i="1"/>
  <c r="D129" i="1" s="1"/>
  <c r="E130" i="1" s="1"/>
  <c r="C129" i="1"/>
  <c r="D130" i="1" s="1"/>
  <c r="E131" i="1" s="1"/>
  <c r="C130" i="1"/>
  <c r="D131" i="1" s="1"/>
  <c r="E132" i="1" s="1"/>
  <c r="C131" i="1"/>
  <c r="D132" i="1" s="1"/>
  <c r="E133" i="1" s="1"/>
  <c r="C132" i="1"/>
  <c r="D133" i="1" s="1"/>
  <c r="E134" i="1" s="1"/>
  <c r="C133" i="1"/>
  <c r="D134" i="1" s="1"/>
  <c r="E135" i="1" s="1"/>
  <c r="C134" i="1"/>
  <c r="D135" i="1" s="1"/>
  <c r="E136" i="1" s="1"/>
  <c r="C135" i="1"/>
  <c r="D136" i="1" s="1"/>
  <c r="E137" i="1" s="1"/>
  <c r="C136" i="1"/>
  <c r="D137" i="1" s="1"/>
  <c r="E138" i="1" s="1"/>
  <c r="C137" i="1"/>
  <c r="D138" i="1" s="1"/>
  <c r="E139" i="1" s="1"/>
  <c r="C138" i="1"/>
  <c r="D139" i="1" s="1"/>
  <c r="E140" i="1" s="1"/>
  <c r="C139" i="1"/>
  <c r="D140" i="1" s="1"/>
  <c r="E141" i="1" s="1"/>
  <c r="C140" i="1"/>
  <c r="D141" i="1" s="1"/>
  <c r="E142" i="1" s="1"/>
  <c r="C141" i="1"/>
  <c r="D142" i="1" s="1"/>
  <c r="E143" i="1" s="1"/>
  <c r="C142" i="1"/>
  <c r="D143" i="1" s="1"/>
  <c r="E144" i="1" s="1"/>
  <c r="C143" i="1"/>
  <c r="D144" i="1" s="1"/>
  <c r="E145" i="1" s="1"/>
  <c r="C144" i="1"/>
  <c r="D145" i="1" s="1"/>
  <c r="E146" i="1" s="1"/>
  <c r="C145" i="1"/>
  <c r="D146" i="1" s="1"/>
  <c r="E147" i="1" s="1"/>
  <c r="C146" i="1"/>
  <c r="D147" i="1" s="1"/>
  <c r="E148" i="1" s="1"/>
  <c r="C147" i="1"/>
  <c r="D148" i="1" s="1"/>
  <c r="E149" i="1" s="1"/>
  <c r="C148" i="1"/>
  <c r="D149" i="1" s="1"/>
  <c r="E150" i="1" s="1"/>
  <c r="C149" i="1"/>
  <c r="D150" i="1" s="1"/>
  <c r="E151" i="1" s="1"/>
  <c r="C150" i="1"/>
  <c r="D151" i="1" s="1"/>
  <c r="E152" i="1" s="1"/>
  <c r="C151" i="1"/>
  <c r="D152" i="1" s="1"/>
  <c r="E153" i="1" s="1"/>
  <c r="C152" i="1"/>
  <c r="D153" i="1" s="1"/>
  <c r="E154" i="1" s="1"/>
  <c r="C153" i="1"/>
  <c r="D154" i="1" s="1"/>
  <c r="E155" i="1" s="1"/>
  <c r="C154" i="1"/>
  <c r="D155" i="1" s="1"/>
  <c r="E156" i="1" s="1"/>
  <c r="C155" i="1"/>
  <c r="D156" i="1" s="1"/>
  <c r="E157" i="1" s="1"/>
  <c r="C156" i="1"/>
  <c r="D157" i="1" s="1"/>
  <c r="E158" i="1" s="1"/>
  <c r="C157" i="1"/>
  <c r="D158" i="1" s="1"/>
  <c r="E159" i="1" s="1"/>
  <c r="C158" i="1"/>
  <c r="D159" i="1" s="1"/>
  <c r="E160" i="1" s="1"/>
  <c r="C159" i="1"/>
  <c r="D160" i="1" s="1"/>
  <c r="E161" i="1" s="1"/>
  <c r="C160" i="1"/>
  <c r="D161" i="1" s="1"/>
  <c r="E162" i="1" s="1"/>
  <c r="C161" i="1"/>
  <c r="D162" i="1" s="1"/>
  <c r="E163" i="1" s="1"/>
  <c r="C162" i="1"/>
  <c r="D163" i="1" s="1"/>
  <c r="E164" i="1" s="1"/>
  <c r="C163" i="1"/>
  <c r="D164" i="1" s="1"/>
  <c r="E165" i="1" s="1"/>
  <c r="C164" i="1"/>
  <c r="D165" i="1" s="1"/>
  <c r="E166" i="1" s="1"/>
  <c r="C165" i="1"/>
  <c r="D166" i="1" s="1"/>
  <c r="E167" i="1" s="1"/>
  <c r="C166" i="1"/>
  <c r="D167" i="1" s="1"/>
  <c r="E168" i="1" s="1"/>
  <c r="C167" i="1"/>
  <c r="D168" i="1" s="1"/>
  <c r="E169" i="1" s="1"/>
  <c r="C168" i="1"/>
  <c r="D169" i="1" s="1"/>
  <c r="E170" i="1" s="1"/>
  <c r="C169" i="1"/>
  <c r="D170" i="1" s="1"/>
  <c r="E171" i="1" s="1"/>
  <c r="C170" i="1"/>
  <c r="D171" i="1" s="1"/>
  <c r="E172" i="1" s="1"/>
  <c r="C171" i="1"/>
  <c r="D172" i="1" s="1"/>
  <c r="E173" i="1" s="1"/>
  <c r="C172" i="1"/>
  <c r="D173" i="1" s="1"/>
  <c r="E174" i="1" s="1"/>
  <c r="C173" i="1"/>
  <c r="D174" i="1" s="1"/>
  <c r="E175" i="1" s="1"/>
  <c r="C174" i="1"/>
  <c r="D175" i="1" s="1"/>
  <c r="E176" i="1" s="1"/>
  <c r="C175" i="1"/>
  <c r="D176" i="1" s="1"/>
  <c r="E177" i="1" s="1"/>
  <c r="C176" i="1"/>
  <c r="D177" i="1" s="1"/>
  <c r="E178" i="1" s="1"/>
  <c r="C177" i="1"/>
  <c r="D178" i="1" s="1"/>
  <c r="E179" i="1" s="1"/>
  <c r="C178" i="1"/>
  <c r="D179" i="1" s="1"/>
  <c r="E180" i="1" s="1"/>
  <c r="C179" i="1"/>
  <c r="D180" i="1" s="1"/>
  <c r="E181" i="1" s="1"/>
  <c r="C180" i="1"/>
  <c r="D181" i="1" s="1"/>
  <c r="E182" i="1" s="1"/>
  <c r="C181" i="1"/>
  <c r="D182" i="1" s="1"/>
  <c r="E183" i="1" s="1"/>
  <c r="C182" i="1"/>
  <c r="D183" i="1" s="1"/>
  <c r="E184" i="1" s="1"/>
  <c r="C183" i="1"/>
  <c r="D184" i="1" s="1"/>
  <c r="E185" i="1" s="1"/>
  <c r="C184" i="1"/>
  <c r="D185" i="1" s="1"/>
  <c r="E186" i="1" s="1"/>
  <c r="C185" i="1"/>
  <c r="D186" i="1" s="1"/>
  <c r="E187" i="1" s="1"/>
  <c r="C186" i="1"/>
  <c r="D187" i="1" s="1"/>
  <c r="E188" i="1" s="1"/>
  <c r="C187" i="1"/>
  <c r="D188" i="1" s="1"/>
  <c r="E189" i="1" s="1"/>
  <c r="C188" i="1"/>
  <c r="D189" i="1" s="1"/>
  <c r="E190" i="1" s="1"/>
  <c r="C189" i="1"/>
  <c r="D190" i="1" s="1"/>
  <c r="E191" i="1" s="1"/>
  <c r="C190" i="1"/>
  <c r="D191" i="1" s="1"/>
  <c r="E192" i="1" s="1"/>
  <c r="C191" i="1"/>
  <c r="D192" i="1" s="1"/>
  <c r="E193" i="1" s="1"/>
  <c r="C192" i="1"/>
  <c r="D193" i="1" s="1"/>
  <c r="E194" i="1" s="1"/>
  <c r="C193" i="1"/>
  <c r="D194" i="1" s="1"/>
  <c r="E195" i="1" s="1"/>
  <c r="C194" i="1"/>
  <c r="D195" i="1" s="1"/>
  <c r="E196" i="1" s="1"/>
  <c r="C195" i="1"/>
  <c r="D196" i="1" s="1"/>
  <c r="E197" i="1" s="1"/>
  <c r="C196" i="1"/>
  <c r="D197" i="1" s="1"/>
  <c r="E198" i="1" s="1"/>
  <c r="C197" i="1"/>
  <c r="D198" i="1" s="1"/>
  <c r="E199" i="1" s="1"/>
  <c r="C198" i="1"/>
  <c r="D199" i="1" s="1"/>
  <c r="E200" i="1" s="1"/>
  <c r="C199" i="1"/>
  <c r="D200" i="1" s="1"/>
  <c r="E201" i="1" s="1"/>
  <c r="C200" i="1"/>
  <c r="D201" i="1" s="1"/>
  <c r="E202" i="1" s="1"/>
  <c r="C201" i="1"/>
  <c r="D202" i="1" s="1"/>
  <c r="E203" i="1" s="1"/>
  <c r="C202" i="1"/>
  <c r="D203" i="1" s="1"/>
  <c r="E204" i="1" s="1"/>
  <c r="C203" i="1"/>
  <c r="D204" i="1" s="1"/>
  <c r="E205" i="1" s="1"/>
  <c r="C204" i="1"/>
  <c r="D205" i="1" s="1"/>
  <c r="E206" i="1" s="1"/>
  <c r="C205" i="1"/>
  <c r="D206" i="1" s="1"/>
  <c r="E207" i="1" s="1"/>
  <c r="C206" i="1"/>
  <c r="D207" i="1" s="1"/>
  <c r="E208" i="1" s="1"/>
  <c r="C207" i="1"/>
  <c r="D208" i="1" s="1"/>
  <c r="E209" i="1" s="1"/>
  <c r="C208" i="1"/>
  <c r="D209" i="1" s="1"/>
  <c r="E210" i="1" s="1"/>
  <c r="C209" i="1"/>
  <c r="D210" i="1" s="1"/>
  <c r="E211" i="1" s="1"/>
  <c r="C210" i="1"/>
  <c r="D211" i="1" s="1"/>
  <c r="E212" i="1" s="1"/>
  <c r="C211" i="1"/>
  <c r="D212" i="1" s="1"/>
  <c r="C212" i="1"/>
  <c r="C4" i="1"/>
  <c r="D5" i="1" s="1"/>
  <c r="E6" i="1" s="1"/>
  <c r="I102" i="4" l="1"/>
  <c r="I103" i="4" s="1"/>
  <c r="D8" i="2"/>
  <c r="E8" i="2" s="1"/>
  <c r="G7" i="2"/>
  <c r="F213" i="1"/>
  <c r="F214" i="1" s="1"/>
  <c r="F215" i="1" s="1"/>
  <c r="F216" i="1" s="1"/>
  <c r="I104" i="4" l="1"/>
  <c r="I105" i="4" s="1"/>
  <c r="I106" i="4" s="1"/>
  <c r="I107" i="4" s="1"/>
  <c r="I108" i="4" s="1"/>
  <c r="I109" i="4" s="1"/>
  <c r="I110" i="4" s="1"/>
  <c r="I111" i="4" s="1"/>
  <c r="I112" i="4" s="1"/>
  <c r="I113" i="4" s="1"/>
  <c r="G8" i="2"/>
  <c r="D9" i="2"/>
  <c r="E9" i="2" s="1"/>
  <c r="G9" i="2" s="1"/>
  <c r="F8" i="2"/>
  <c r="F9" i="2" l="1"/>
  <c r="D10" i="2"/>
  <c r="E10" i="2" s="1"/>
  <c r="G10" i="2" s="1"/>
  <c r="D11" i="2" l="1"/>
  <c r="E11" i="2" s="1"/>
  <c r="F10" i="2"/>
  <c r="D12" i="2" l="1"/>
  <c r="E12" i="2" s="1"/>
  <c r="G12" i="2" s="1"/>
  <c r="G11" i="2"/>
  <c r="F11" i="2"/>
  <c r="F12" i="2" l="1"/>
  <c r="D13" i="2"/>
  <c r="E13" i="2" s="1"/>
  <c r="G13" i="2" s="1"/>
  <c r="F13" i="2" l="1"/>
  <c r="D14" i="2"/>
  <c r="E14" i="2" s="1"/>
  <c r="G14" i="2" s="1"/>
  <c r="D15" i="2" l="1"/>
  <c r="E15" i="2" s="1"/>
  <c r="G15" i="2" s="1"/>
  <c r="F14" i="2"/>
  <c r="F15" i="2" l="1"/>
  <c r="D16" i="2"/>
  <c r="E16" i="2" s="1"/>
  <c r="G16" i="2" s="1"/>
  <c r="F16" i="2" l="1"/>
  <c r="D17" i="2"/>
  <c r="E17" i="2" s="1"/>
  <c r="G17" i="2" s="1"/>
  <c r="D18" i="2" l="1"/>
  <c r="E18" i="2" s="1"/>
  <c r="G18" i="2" s="1"/>
  <c r="F17" i="2"/>
  <c r="D19" i="2" l="1"/>
  <c r="E19" i="2" s="1"/>
  <c r="G19" i="2" s="1"/>
  <c r="F18" i="2"/>
  <c r="D20" i="2" l="1"/>
  <c r="E20" i="2" s="1"/>
  <c r="G20" i="2" s="1"/>
  <c r="F19" i="2"/>
  <c r="F20" i="2" l="1"/>
  <c r="D21" i="2"/>
  <c r="E21" i="2" s="1"/>
  <c r="G21" i="2" s="1"/>
  <c r="F21" i="2" l="1"/>
  <c r="D22" i="2"/>
  <c r="E22" i="2" s="1"/>
  <c r="G22" i="2" s="1"/>
  <c r="F22" i="2" l="1"/>
  <c r="D23" i="2"/>
  <c r="E23" i="2" s="1"/>
  <c r="G23" i="2" s="1"/>
  <c r="D24" i="2" l="1"/>
  <c r="E24" i="2" s="1"/>
  <c r="G24" i="2" s="1"/>
  <c r="F23" i="2"/>
  <c r="D25" i="2" l="1"/>
  <c r="E25" i="2" s="1"/>
  <c r="G25" i="2" s="1"/>
  <c r="F24" i="2"/>
  <c r="F25" i="2" l="1"/>
  <c r="D26" i="2"/>
  <c r="E26" i="2" s="1"/>
  <c r="G26" i="2" s="1"/>
  <c r="F26" i="2" l="1"/>
  <c r="D27" i="2"/>
  <c r="E27" i="2" s="1"/>
  <c r="G27" i="2" s="1"/>
  <c r="F27" i="2" l="1"/>
  <c r="D28" i="2"/>
  <c r="E28" i="2" s="1"/>
  <c r="G28" i="2" s="1"/>
  <c r="F28" i="2" l="1"/>
  <c r="D29" i="2"/>
  <c r="E29" i="2" s="1"/>
  <c r="G29" i="2" s="1"/>
  <c r="F29" i="2" l="1"/>
  <c r="D30" i="2"/>
  <c r="E30" i="2" s="1"/>
  <c r="G30" i="2" s="1"/>
  <c r="F30" i="2" l="1"/>
  <c r="D31" i="2"/>
  <c r="E31" i="2" s="1"/>
  <c r="G31" i="2" s="1"/>
  <c r="F31" i="2" l="1"/>
  <c r="D32" i="2"/>
  <c r="E32" i="2" s="1"/>
  <c r="G32" i="2" s="1"/>
  <c r="F32" i="2" l="1"/>
  <c r="D33" i="2"/>
  <c r="E33" i="2" s="1"/>
  <c r="G33" i="2" s="1"/>
  <c r="F33" i="2" l="1"/>
  <c r="D34" i="2"/>
  <c r="E34" i="2" s="1"/>
  <c r="G34" i="2" s="1"/>
  <c r="F34" i="2" l="1"/>
  <c r="D35" i="2"/>
  <c r="E35" i="2" s="1"/>
  <c r="G35" i="2" s="1"/>
  <c r="F35" i="2" l="1"/>
  <c r="D36" i="2"/>
  <c r="E36" i="2" s="1"/>
  <c r="G36" i="2" s="1"/>
  <c r="F36" i="2" l="1"/>
  <c r="D37" i="2"/>
  <c r="E37" i="2" s="1"/>
  <c r="G37" i="2" s="1"/>
  <c r="F37" i="2" l="1"/>
  <c r="D38" i="2"/>
  <c r="E38" i="2" s="1"/>
  <c r="G38" i="2" s="1"/>
  <c r="F38" i="2" l="1"/>
  <c r="D39" i="2"/>
  <c r="E39" i="2" s="1"/>
  <c r="G39" i="2" s="1"/>
  <c r="F39" i="2" l="1"/>
  <c r="D40" i="2"/>
  <c r="E40" i="2" s="1"/>
  <c r="G40" i="2" s="1"/>
  <c r="F40" i="2" l="1"/>
  <c r="D41" i="2"/>
  <c r="E41" i="2" s="1"/>
  <c r="G41" i="2" s="1"/>
  <c r="F41" i="2" l="1"/>
  <c r="D42" i="2"/>
  <c r="E42" i="2" s="1"/>
  <c r="G42" i="2" s="1"/>
  <c r="F42" i="2" l="1"/>
  <c r="D43" i="2"/>
  <c r="E43" i="2" s="1"/>
  <c r="G43" i="2" s="1"/>
  <c r="F43" i="2" l="1"/>
  <c r="D44" i="2"/>
  <c r="E44" i="2" s="1"/>
  <c r="G44" i="2" s="1"/>
  <c r="F44" i="2" l="1"/>
  <c r="D45" i="2"/>
  <c r="E45" i="2" s="1"/>
  <c r="G45" i="2" s="1"/>
  <c r="F45" i="2" l="1"/>
  <c r="D46" i="2"/>
  <c r="E46" i="2" s="1"/>
  <c r="G46" i="2" s="1"/>
  <c r="F46" i="2" l="1"/>
  <c r="D47" i="2"/>
  <c r="E47" i="2" s="1"/>
  <c r="G47" i="2" s="1"/>
  <c r="F47" i="2" l="1"/>
  <c r="D48" i="2"/>
  <c r="E48" i="2" s="1"/>
  <c r="G48" i="2" s="1"/>
  <c r="F48" i="2" l="1"/>
  <c r="D49" i="2"/>
  <c r="E49" i="2" s="1"/>
  <c r="G49" i="2" s="1"/>
  <c r="F49" i="2" l="1"/>
  <c r="D50" i="2"/>
  <c r="E50" i="2" s="1"/>
  <c r="G50" i="2" s="1"/>
  <c r="F50" i="2" l="1"/>
  <c r="D51" i="2"/>
  <c r="E51" i="2" s="1"/>
  <c r="G51" i="2" s="1"/>
  <c r="F51" i="2" l="1"/>
  <c r="D52" i="2"/>
  <c r="E52" i="2" s="1"/>
  <c r="G52" i="2" s="1"/>
  <c r="F52" i="2" l="1"/>
  <c r="D53" i="2"/>
  <c r="E53" i="2" s="1"/>
  <c r="G53" i="2" s="1"/>
  <c r="F53" i="2" l="1"/>
  <c r="D54" i="2"/>
  <c r="E54" i="2" s="1"/>
  <c r="G54" i="2" s="1"/>
  <c r="F54" i="2" l="1"/>
  <c r="D55" i="2"/>
  <c r="E55" i="2" s="1"/>
  <c r="G55" i="2" s="1"/>
  <c r="F55" i="2" l="1"/>
  <c r="D56" i="2"/>
  <c r="E56" i="2" s="1"/>
  <c r="G56" i="2" s="1"/>
  <c r="F56" i="2" l="1"/>
  <c r="D57" i="2"/>
  <c r="E57" i="2" s="1"/>
  <c r="G57" i="2" s="1"/>
  <c r="F57" i="2" l="1"/>
  <c r="D58" i="2"/>
  <c r="E58" i="2" s="1"/>
  <c r="G58" i="2" s="1"/>
  <c r="F58" i="2" l="1"/>
  <c r="D59" i="2"/>
  <c r="E59" i="2" s="1"/>
  <c r="G59" i="2" s="1"/>
  <c r="F59" i="2" l="1"/>
  <c r="D60" i="2"/>
  <c r="E60" i="2" s="1"/>
  <c r="G60" i="2" s="1"/>
  <c r="F60" i="2" l="1"/>
  <c r="D61" i="2"/>
  <c r="E61" i="2" s="1"/>
  <c r="G61" i="2" s="1"/>
  <c r="F61" i="2" l="1"/>
  <c r="D62" i="2"/>
  <c r="E62" i="2" s="1"/>
  <c r="G62" i="2" s="1"/>
  <c r="F62" i="2" l="1"/>
  <c r="D63" i="2"/>
  <c r="E63" i="2" s="1"/>
  <c r="G63" i="2" s="1"/>
  <c r="F63" i="2" l="1"/>
  <c r="D64" i="2"/>
  <c r="E64" i="2" s="1"/>
  <c r="G64" i="2" s="1"/>
  <c r="F64" i="2" l="1"/>
  <c r="D65" i="2"/>
  <c r="E65" i="2" s="1"/>
  <c r="G65" i="2" s="1"/>
  <c r="F65" i="2" l="1"/>
  <c r="D66" i="2"/>
  <c r="E66" i="2" s="1"/>
  <c r="G66" i="2" s="1"/>
  <c r="F66" i="2" l="1"/>
  <c r="D67" i="2"/>
  <c r="E67" i="2" s="1"/>
  <c r="G67" i="2" s="1"/>
  <c r="F67" i="2" l="1"/>
  <c r="D68" i="2"/>
  <c r="E68" i="2" s="1"/>
  <c r="G68" i="2" s="1"/>
  <c r="F68" i="2" l="1"/>
  <c r="D69" i="2"/>
  <c r="E69" i="2" s="1"/>
  <c r="G69" i="2" s="1"/>
  <c r="F69" i="2" l="1"/>
  <c r="D70" i="2"/>
  <c r="E70" i="2" s="1"/>
  <c r="G70" i="2" s="1"/>
  <c r="F70" i="2" l="1"/>
  <c r="D71" i="2"/>
  <c r="E71" i="2" s="1"/>
  <c r="G71" i="2" s="1"/>
  <c r="F71" i="2" l="1"/>
  <c r="D72" i="2"/>
  <c r="E72" i="2" s="1"/>
  <c r="G72" i="2" s="1"/>
  <c r="F72" i="2" l="1"/>
  <c r="D73" i="2"/>
  <c r="E73" i="2" s="1"/>
  <c r="G73" i="2" s="1"/>
  <c r="F73" i="2" l="1"/>
  <c r="D74" i="2"/>
  <c r="E74" i="2" s="1"/>
  <c r="G74" i="2" s="1"/>
  <c r="F74" i="2" l="1"/>
  <c r="D75" i="2"/>
  <c r="E75" i="2" s="1"/>
  <c r="G75" i="2" s="1"/>
  <c r="F75" i="2" l="1"/>
  <c r="D76" i="2"/>
  <c r="E76" i="2" s="1"/>
  <c r="G76" i="2" s="1"/>
  <c r="F76" i="2" l="1"/>
  <c r="D77" i="2"/>
  <c r="E77" i="2" s="1"/>
  <c r="G77" i="2" s="1"/>
  <c r="F77" i="2" l="1"/>
  <c r="D78" i="2"/>
  <c r="E78" i="2" s="1"/>
  <c r="G78" i="2" s="1"/>
  <c r="F78" i="2" l="1"/>
  <c r="D79" i="2"/>
  <c r="E79" i="2" s="1"/>
  <c r="G79" i="2" s="1"/>
  <c r="F79" i="2" l="1"/>
  <c r="D80" i="2"/>
  <c r="E80" i="2" s="1"/>
  <c r="G80" i="2" s="1"/>
  <c r="F80" i="2" l="1"/>
  <c r="D81" i="2"/>
  <c r="E81" i="2" s="1"/>
  <c r="G81" i="2" s="1"/>
  <c r="F81" i="2" l="1"/>
  <c r="D82" i="2"/>
  <c r="E82" i="2" s="1"/>
  <c r="G82" i="2" s="1"/>
  <c r="F82" i="2" l="1"/>
  <c r="D83" i="2"/>
  <c r="E83" i="2" s="1"/>
  <c r="G83" i="2" s="1"/>
  <c r="F83" i="2" l="1"/>
  <c r="D84" i="2"/>
  <c r="E84" i="2" s="1"/>
  <c r="G84" i="2" s="1"/>
  <c r="F84" i="2" l="1"/>
  <c r="D85" i="2"/>
  <c r="E85" i="2" s="1"/>
  <c r="G85" i="2" s="1"/>
  <c r="F85" i="2" l="1"/>
  <c r="D86" i="2"/>
  <c r="E86" i="2" s="1"/>
  <c r="G86" i="2" s="1"/>
  <c r="F86" i="2" l="1"/>
  <c r="D87" i="2"/>
  <c r="E87" i="2" s="1"/>
  <c r="G87" i="2" s="1"/>
  <c r="F87" i="2" l="1"/>
  <c r="D88" i="2"/>
  <c r="E88" i="2" s="1"/>
  <c r="G88" i="2" s="1"/>
  <c r="F88" i="2" l="1"/>
  <c r="D89" i="2"/>
  <c r="E89" i="2" s="1"/>
  <c r="G89" i="2" s="1"/>
  <c r="F89" i="2" l="1"/>
  <c r="D90" i="2"/>
  <c r="E90" i="2" s="1"/>
  <c r="G90" i="2" s="1"/>
  <c r="F90" i="2" l="1"/>
  <c r="D91" i="2"/>
  <c r="E91" i="2" s="1"/>
  <c r="G91" i="2" s="1"/>
  <c r="F91" i="2" l="1"/>
  <c r="D92" i="2"/>
  <c r="E92" i="2" s="1"/>
  <c r="G92" i="2" s="1"/>
  <c r="F92" i="2" l="1"/>
  <c r="D93" i="2"/>
  <c r="E93" i="2" s="1"/>
  <c r="G93" i="2" s="1"/>
  <c r="F93" i="2" l="1"/>
  <c r="D94" i="2"/>
  <c r="E94" i="2" s="1"/>
  <c r="G94" i="2" s="1"/>
  <c r="F94" i="2" l="1"/>
  <c r="D95" i="2"/>
  <c r="E95" i="2" s="1"/>
  <c r="G95" i="2" s="1"/>
  <c r="F95" i="2" l="1"/>
  <c r="D96" i="2"/>
  <c r="E96" i="2" s="1"/>
  <c r="G96" i="2" s="1"/>
  <c r="F96" i="2" l="1"/>
  <c r="D97" i="2"/>
  <c r="E97" i="2" s="1"/>
  <c r="G97" i="2" s="1"/>
  <c r="F97" i="2" l="1"/>
  <c r="D98" i="2"/>
  <c r="E98" i="2" s="1"/>
  <c r="G98" i="2" s="1"/>
  <c r="F98" i="2" l="1"/>
  <c r="D99" i="2"/>
  <c r="E99" i="2" s="1"/>
  <c r="G99" i="2" s="1"/>
  <c r="F99" i="2" l="1"/>
  <c r="D100" i="2"/>
  <c r="E100" i="2" s="1"/>
  <c r="G100" i="2" s="1"/>
  <c r="F100" i="2" l="1"/>
  <c r="D101" i="2"/>
  <c r="E101" i="2" s="1"/>
  <c r="G101" i="2" s="1"/>
  <c r="F101" i="2" l="1"/>
  <c r="D102" i="2"/>
  <c r="E102" i="2" s="1"/>
  <c r="G102" i="2" s="1"/>
  <c r="F102" i="2" l="1"/>
  <c r="D103" i="2"/>
  <c r="E103" i="2" s="1"/>
  <c r="G103" i="2" s="1"/>
  <c r="F103" i="2" l="1"/>
  <c r="D104" i="2"/>
  <c r="E104" i="2" s="1"/>
  <c r="G104" i="2" s="1"/>
  <c r="F104" i="2" l="1"/>
  <c r="D105" i="2"/>
  <c r="E105" i="2" s="1"/>
  <c r="G105" i="2" s="1"/>
  <c r="F105" i="2" l="1"/>
  <c r="D106" i="2"/>
  <c r="E106" i="2" s="1"/>
  <c r="G106" i="2" s="1"/>
  <c r="F106" i="2" l="1"/>
  <c r="D107" i="2"/>
  <c r="E107" i="2" s="1"/>
  <c r="G107" i="2" s="1"/>
  <c r="F107" i="2" l="1"/>
  <c r="D108" i="2"/>
  <c r="E108" i="2" s="1"/>
  <c r="G108" i="2" s="1"/>
  <c r="F108" i="2" l="1"/>
  <c r="D109" i="2"/>
  <c r="E109" i="2" s="1"/>
  <c r="G109" i="2" s="1"/>
  <c r="F109" i="2" l="1"/>
  <c r="D110" i="2"/>
  <c r="E110" i="2" s="1"/>
  <c r="G110" i="2" s="1"/>
  <c r="F110" i="2" l="1"/>
  <c r="D111" i="2"/>
  <c r="E111" i="2" s="1"/>
  <c r="G111" i="2" s="1"/>
  <c r="F111" i="2" l="1"/>
  <c r="D112" i="2"/>
  <c r="E112" i="2" s="1"/>
  <c r="G112" i="2" s="1"/>
  <c r="F112" i="2" l="1"/>
  <c r="D113" i="2"/>
  <c r="E113" i="2" s="1"/>
  <c r="G113" i="2" s="1"/>
  <c r="F113" i="2" l="1"/>
  <c r="D114" i="2"/>
  <c r="E114" i="2" s="1"/>
  <c r="G114" i="2" s="1"/>
  <c r="F114" i="2" l="1"/>
  <c r="D115" i="2"/>
  <c r="E115" i="2" s="1"/>
  <c r="G115" i="2" s="1"/>
  <c r="F115" i="2" l="1"/>
  <c r="D116" i="2"/>
  <c r="E116" i="2" s="1"/>
  <c r="G116" i="2" s="1"/>
  <c r="F116" i="2" l="1"/>
  <c r="D117" i="2"/>
  <c r="E117" i="2" s="1"/>
  <c r="G117" i="2" s="1"/>
  <c r="F117" i="2" l="1"/>
  <c r="D118" i="2"/>
  <c r="E118" i="2" s="1"/>
  <c r="G118" i="2" s="1"/>
  <c r="F118" i="2" l="1"/>
  <c r="D119" i="2"/>
  <c r="E119" i="2" s="1"/>
  <c r="G119" i="2" s="1"/>
  <c r="F119" i="2" l="1"/>
  <c r="D120" i="2"/>
  <c r="E120" i="2" s="1"/>
  <c r="G120" i="2" s="1"/>
  <c r="F120" i="2" l="1"/>
  <c r="D121" i="2"/>
  <c r="E121" i="2" s="1"/>
  <c r="G121" i="2" s="1"/>
  <c r="F121" i="2" l="1"/>
  <c r="D122" i="2"/>
  <c r="E122" i="2" s="1"/>
  <c r="G122" i="2" s="1"/>
  <c r="F122" i="2" l="1"/>
  <c r="D123" i="2"/>
  <c r="E123" i="2" s="1"/>
  <c r="G123" i="2" s="1"/>
  <c r="F123" i="2" l="1"/>
  <c r="D124" i="2"/>
  <c r="E124" i="2" s="1"/>
  <c r="G124" i="2" s="1"/>
  <c r="F124" i="2" l="1"/>
  <c r="D125" i="2"/>
  <c r="E125" i="2" s="1"/>
  <c r="G125" i="2" s="1"/>
  <c r="F125" i="2" l="1"/>
  <c r="D126" i="2"/>
  <c r="E126" i="2" s="1"/>
  <c r="G126" i="2" s="1"/>
  <c r="F126" i="2" l="1"/>
  <c r="D127" i="2"/>
  <c r="E127" i="2" s="1"/>
  <c r="G127" i="2" s="1"/>
  <c r="F127" i="2" l="1"/>
  <c r="D128" i="2"/>
  <c r="E128" i="2" s="1"/>
  <c r="G128" i="2" s="1"/>
  <c r="F128" i="2" l="1"/>
  <c r="D129" i="2"/>
  <c r="E129" i="2" s="1"/>
  <c r="G129" i="2" s="1"/>
  <c r="F129" i="2" l="1"/>
  <c r="D130" i="2"/>
  <c r="E130" i="2" s="1"/>
  <c r="G130" i="2" s="1"/>
  <c r="F130" i="2" l="1"/>
  <c r="D131" i="2"/>
  <c r="E131" i="2" s="1"/>
  <c r="G131" i="2" s="1"/>
  <c r="F131" i="2" l="1"/>
  <c r="D132" i="2"/>
  <c r="E132" i="2" s="1"/>
  <c r="G132" i="2" s="1"/>
  <c r="F132" i="2" l="1"/>
  <c r="D133" i="2"/>
  <c r="E133" i="2" s="1"/>
  <c r="G133" i="2" s="1"/>
  <c r="F133" i="2" l="1"/>
  <c r="D134" i="2"/>
  <c r="E134" i="2" s="1"/>
  <c r="G134" i="2" s="1"/>
  <c r="F134" i="2" l="1"/>
  <c r="D135" i="2"/>
  <c r="E135" i="2" s="1"/>
  <c r="G135" i="2" s="1"/>
  <c r="F135" i="2" l="1"/>
  <c r="D136" i="2"/>
  <c r="E136" i="2" s="1"/>
  <c r="G136" i="2" s="1"/>
  <c r="F136" i="2" l="1"/>
  <c r="D137" i="2"/>
  <c r="E137" i="2" s="1"/>
  <c r="G137" i="2" s="1"/>
  <c r="F137" i="2" l="1"/>
  <c r="D138" i="2"/>
  <c r="E138" i="2" s="1"/>
  <c r="G138" i="2" s="1"/>
  <c r="F138" i="2" l="1"/>
  <c r="D139" i="2"/>
  <c r="E139" i="2" s="1"/>
  <c r="G139" i="2" s="1"/>
  <c r="F139" i="2" l="1"/>
  <c r="D140" i="2"/>
  <c r="E140" i="2" s="1"/>
  <c r="G140" i="2" s="1"/>
  <c r="F140" i="2" l="1"/>
  <c r="D141" i="2"/>
  <c r="E141" i="2" s="1"/>
  <c r="G141" i="2" s="1"/>
  <c r="F141" i="2" l="1"/>
  <c r="D142" i="2"/>
  <c r="E142" i="2" s="1"/>
  <c r="G142" i="2" s="1"/>
  <c r="F142" i="2" l="1"/>
  <c r="D143" i="2"/>
  <c r="E143" i="2" s="1"/>
  <c r="G143" i="2" s="1"/>
  <c r="F143" i="2" l="1"/>
  <c r="D144" i="2"/>
  <c r="E144" i="2" s="1"/>
  <c r="G144" i="2" s="1"/>
  <c r="F144" i="2" l="1"/>
  <c r="D145" i="2"/>
  <c r="E145" i="2" s="1"/>
  <c r="G145" i="2" s="1"/>
  <c r="F145" i="2" l="1"/>
  <c r="D146" i="2"/>
  <c r="E146" i="2" s="1"/>
  <c r="G146" i="2" s="1"/>
  <c r="F146" i="2" l="1"/>
  <c r="D147" i="2"/>
  <c r="E147" i="2" s="1"/>
  <c r="G147" i="2" s="1"/>
  <c r="F147" i="2" l="1"/>
  <c r="D148" i="2"/>
  <c r="E148" i="2" s="1"/>
  <c r="G148" i="2" s="1"/>
  <c r="F148" i="2" l="1"/>
  <c r="D149" i="2"/>
  <c r="E149" i="2" s="1"/>
  <c r="G149" i="2" s="1"/>
  <c r="F149" i="2" l="1"/>
  <c r="D150" i="2"/>
  <c r="E150" i="2" s="1"/>
  <c r="G150" i="2" s="1"/>
  <c r="F150" i="2" l="1"/>
  <c r="D151" i="2"/>
  <c r="E151" i="2" s="1"/>
  <c r="G151" i="2" s="1"/>
  <c r="F151" i="2" l="1"/>
  <c r="D152" i="2"/>
  <c r="E152" i="2" s="1"/>
  <c r="G152" i="2" s="1"/>
  <c r="F152" i="2" l="1"/>
  <c r="D153" i="2"/>
  <c r="E153" i="2" s="1"/>
  <c r="G153" i="2" s="1"/>
  <c r="F153" i="2" l="1"/>
  <c r="D154" i="2"/>
  <c r="E154" i="2" s="1"/>
  <c r="G154" i="2" s="1"/>
  <c r="F154" i="2" l="1"/>
  <c r="D155" i="2"/>
  <c r="E155" i="2" s="1"/>
  <c r="G155" i="2" s="1"/>
  <c r="F155" i="2" l="1"/>
  <c r="D156" i="2"/>
  <c r="E156" i="2" s="1"/>
  <c r="G156" i="2" s="1"/>
  <c r="F156" i="2" l="1"/>
  <c r="D157" i="2"/>
  <c r="E157" i="2" s="1"/>
  <c r="G157" i="2" s="1"/>
  <c r="F157" i="2" l="1"/>
  <c r="D158" i="2"/>
  <c r="E158" i="2" s="1"/>
  <c r="G158" i="2" s="1"/>
  <c r="F158" i="2" l="1"/>
  <c r="D159" i="2"/>
  <c r="E159" i="2" s="1"/>
  <c r="G159" i="2" s="1"/>
  <c r="F159" i="2" l="1"/>
  <c r="D160" i="2"/>
  <c r="E160" i="2" s="1"/>
  <c r="G160" i="2" s="1"/>
  <c r="F160" i="2" l="1"/>
  <c r="D161" i="2"/>
  <c r="E161" i="2" s="1"/>
  <c r="G161" i="2" s="1"/>
  <c r="F161" i="2" l="1"/>
  <c r="D162" i="2"/>
  <c r="E162" i="2" s="1"/>
  <c r="G162" i="2" s="1"/>
  <c r="F162" i="2" l="1"/>
  <c r="D163" i="2"/>
  <c r="E163" i="2" s="1"/>
  <c r="G163" i="2" s="1"/>
  <c r="F163" i="2" l="1"/>
  <c r="D164" i="2"/>
  <c r="E164" i="2" s="1"/>
  <c r="G164" i="2" s="1"/>
  <c r="F164" i="2" l="1"/>
  <c r="D165" i="2"/>
  <c r="E165" i="2" s="1"/>
  <c r="G165" i="2" s="1"/>
  <c r="F165" i="2" l="1"/>
  <c r="D166" i="2"/>
  <c r="E166" i="2" s="1"/>
  <c r="G166" i="2" s="1"/>
  <c r="F166" i="2" l="1"/>
  <c r="D167" i="2"/>
  <c r="E167" i="2" s="1"/>
  <c r="G167" i="2" s="1"/>
  <c r="F167" i="2" l="1"/>
  <c r="D168" i="2"/>
  <c r="E168" i="2" s="1"/>
  <c r="G168" i="2" s="1"/>
  <c r="F168" i="2" l="1"/>
  <c r="D169" i="2"/>
  <c r="E169" i="2" s="1"/>
  <c r="G169" i="2" s="1"/>
  <c r="F169" i="2" l="1"/>
  <c r="D170" i="2"/>
  <c r="E170" i="2" s="1"/>
  <c r="G170" i="2" s="1"/>
  <c r="F170" i="2" l="1"/>
  <c r="D171" i="2"/>
  <c r="E171" i="2" s="1"/>
  <c r="G171" i="2" s="1"/>
  <c r="F171" i="2" l="1"/>
  <c r="D172" i="2"/>
  <c r="E172" i="2" s="1"/>
  <c r="G172" i="2" s="1"/>
  <c r="F172" i="2" l="1"/>
  <c r="D173" i="2"/>
  <c r="E173" i="2" s="1"/>
  <c r="G173" i="2" s="1"/>
  <c r="F173" i="2" l="1"/>
  <c r="D174" i="2"/>
  <c r="E174" i="2" s="1"/>
  <c r="G174" i="2" s="1"/>
  <c r="F174" i="2" l="1"/>
  <c r="D175" i="2"/>
  <c r="E175" i="2" s="1"/>
  <c r="G175" i="2" s="1"/>
  <c r="F175" i="2" l="1"/>
  <c r="D176" i="2"/>
  <c r="E176" i="2" s="1"/>
  <c r="G176" i="2" s="1"/>
  <c r="F176" i="2" l="1"/>
  <c r="D177" i="2"/>
  <c r="E177" i="2" s="1"/>
  <c r="G177" i="2" s="1"/>
  <c r="F177" i="2" l="1"/>
  <c r="D178" i="2"/>
  <c r="E178" i="2" s="1"/>
  <c r="G178" i="2" s="1"/>
  <c r="F178" i="2" l="1"/>
  <c r="D179" i="2"/>
  <c r="E179" i="2" s="1"/>
  <c r="G179" i="2" s="1"/>
  <c r="F179" i="2" l="1"/>
  <c r="D180" i="2"/>
  <c r="E180" i="2" s="1"/>
  <c r="G180" i="2" s="1"/>
  <c r="F180" i="2" l="1"/>
  <c r="D181" i="2"/>
  <c r="E181" i="2" s="1"/>
  <c r="G181" i="2" s="1"/>
  <c r="F181" i="2" l="1"/>
  <c r="D182" i="2"/>
  <c r="E182" i="2" s="1"/>
  <c r="G182" i="2" s="1"/>
  <c r="F182" i="2" l="1"/>
  <c r="D183" i="2"/>
  <c r="E183" i="2" s="1"/>
  <c r="G183" i="2" s="1"/>
  <c r="F183" i="2" l="1"/>
  <c r="D184" i="2"/>
  <c r="E184" i="2" s="1"/>
  <c r="G184" i="2" s="1"/>
  <c r="F184" i="2" l="1"/>
  <c r="D185" i="2"/>
  <c r="E185" i="2" s="1"/>
  <c r="G185" i="2" s="1"/>
  <c r="F185" i="2" l="1"/>
  <c r="D186" i="2"/>
  <c r="E186" i="2" s="1"/>
  <c r="G186" i="2" s="1"/>
  <c r="F186" i="2" l="1"/>
  <c r="D187" i="2"/>
  <c r="E187" i="2" s="1"/>
  <c r="G187" i="2" s="1"/>
  <c r="F187" i="2" l="1"/>
  <c r="D188" i="2"/>
  <c r="E188" i="2" s="1"/>
  <c r="G188" i="2" s="1"/>
  <c r="F188" i="2" l="1"/>
  <c r="D189" i="2"/>
  <c r="E189" i="2" s="1"/>
  <c r="G189" i="2" s="1"/>
  <c r="F189" i="2" l="1"/>
  <c r="D190" i="2"/>
  <c r="E190" i="2" s="1"/>
  <c r="G190" i="2" s="1"/>
  <c r="F190" i="2" l="1"/>
  <c r="D191" i="2"/>
  <c r="E191" i="2" s="1"/>
  <c r="G191" i="2" s="1"/>
  <c r="F191" i="2" l="1"/>
  <c r="D192" i="2"/>
  <c r="E192" i="2" s="1"/>
  <c r="G192" i="2" s="1"/>
  <c r="F192" i="2" l="1"/>
  <c r="D193" i="2"/>
  <c r="E193" i="2" s="1"/>
  <c r="G193" i="2" s="1"/>
  <c r="F193" i="2" l="1"/>
  <c r="D194" i="2"/>
  <c r="E194" i="2" s="1"/>
  <c r="G194" i="2" s="1"/>
  <c r="F194" i="2" l="1"/>
  <c r="D195" i="2"/>
  <c r="E195" i="2" s="1"/>
  <c r="G195" i="2" s="1"/>
  <c r="F195" i="2" l="1"/>
  <c r="D196" i="2"/>
  <c r="E196" i="2" s="1"/>
  <c r="G196" i="2" s="1"/>
  <c r="F196" i="2" l="1"/>
  <c r="D197" i="2"/>
  <c r="E197" i="2" s="1"/>
  <c r="G197" i="2" s="1"/>
  <c r="F197" i="2" l="1"/>
  <c r="D198" i="2"/>
  <c r="E198" i="2" s="1"/>
  <c r="G198" i="2" s="1"/>
  <c r="F198" i="2" l="1"/>
  <c r="D199" i="2"/>
  <c r="E199" i="2" s="1"/>
  <c r="G199" i="2" s="1"/>
  <c r="F199" i="2" l="1"/>
  <c r="D200" i="2"/>
  <c r="E200" i="2" s="1"/>
  <c r="G200" i="2" s="1"/>
  <c r="F200" i="2" l="1"/>
  <c r="D201" i="2"/>
  <c r="E201" i="2" s="1"/>
  <c r="G201" i="2" s="1"/>
  <c r="F201" i="2" l="1"/>
  <c r="D202" i="2"/>
  <c r="E202" i="2" s="1"/>
  <c r="G202" i="2" s="1"/>
  <c r="F202" i="2" l="1"/>
  <c r="D203" i="2"/>
  <c r="E203" i="2" s="1"/>
  <c r="G203" i="2" s="1"/>
  <c r="F203" i="2" l="1"/>
  <c r="D204" i="2"/>
  <c r="E204" i="2" s="1"/>
  <c r="G204" i="2" s="1"/>
  <c r="F204" i="2" l="1"/>
  <c r="D205" i="2"/>
  <c r="E205" i="2" s="1"/>
  <c r="G205" i="2" s="1"/>
  <c r="F205" i="2" l="1"/>
  <c r="D206" i="2"/>
  <c r="E206" i="2" s="1"/>
  <c r="G206" i="2" s="1"/>
  <c r="F206" i="2" l="1"/>
  <c r="D207" i="2"/>
  <c r="E207" i="2" s="1"/>
  <c r="G207" i="2" s="1"/>
  <c r="F207" i="2" l="1"/>
  <c r="D208" i="2"/>
  <c r="E208" i="2" s="1"/>
  <c r="G208" i="2" s="1"/>
  <c r="F208" i="2" l="1"/>
  <c r="D209" i="2"/>
  <c r="E209" i="2" s="1"/>
  <c r="G209" i="2" s="1"/>
  <c r="F209" i="2" l="1"/>
  <c r="D210" i="2"/>
  <c r="E210" i="2" s="1"/>
  <c r="G210" i="2" s="1"/>
  <c r="F210" i="2" l="1"/>
  <c r="D211" i="2"/>
  <c r="E211" i="2" s="1"/>
  <c r="G211" i="2" s="1"/>
  <c r="D212" i="2" l="1"/>
  <c r="E212" i="2" s="1"/>
  <c r="G212" i="2" s="1"/>
  <c r="F211" i="2"/>
  <c r="F212" i="2" l="1"/>
  <c r="D213" i="2"/>
  <c r="E213" i="2" s="1"/>
  <c r="G213" i="2" s="1"/>
  <c r="F213" i="2" l="1"/>
  <c r="D214" i="2"/>
  <c r="E214" i="2" s="1"/>
  <c r="G214" i="2" s="1"/>
  <c r="F214" i="2" l="1"/>
  <c r="D215" i="2"/>
  <c r="E215" i="2" s="1"/>
  <c r="G215" i="2" s="1"/>
  <c r="F215" i="2" l="1"/>
  <c r="G2" i="2" s="1"/>
</calcChain>
</file>

<file path=xl/sharedStrings.xml><?xml version="1.0" encoding="utf-8"?>
<sst xmlns="http://schemas.openxmlformats.org/spreadsheetml/2006/main" count="423" uniqueCount="105">
  <si>
    <t>Date</t>
  </si>
  <si>
    <t>Settle</t>
  </si>
  <si>
    <t>ln(p_t)-ln(p_t-1)</t>
  </si>
  <si>
    <t>Returns</t>
  </si>
  <si>
    <t>1 Lagged Returns</t>
  </si>
  <si>
    <t>2 Lagged Returns</t>
  </si>
  <si>
    <t>Autocorrelations</t>
  </si>
  <si>
    <t>delta p_t</t>
  </si>
  <si>
    <t>delta p_t-1</t>
  </si>
  <si>
    <t>delta p_t-2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</si>
  <si>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</si>
  <si>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</si>
  <si>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</si>
  <si>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</si>
  <si>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</si>
  <si>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</si>
  <si>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</si>
  <si>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</si>
  <si>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</si>
  <si>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</si>
  <si>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</si>
  <si>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</si>
  <si>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</si>
  <si>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</si>
  <si>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</si>
  <si>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</si>
  <si>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</si>
  <si>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</si>
  <si>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</si>
  <si>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</si>
  <si>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</si>
  <si>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</si>
  <si>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</si>
  <si>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</si>
  <si>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</si>
  <si>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</si>
  <si>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ln(p_t-1)-ln(p_t-2)</t>
  </si>
  <si>
    <t>ln(p_t-2)-ln(p_t-3)</t>
  </si>
  <si>
    <t>Forecast</t>
  </si>
  <si>
    <t>theta_0</t>
  </si>
  <si>
    <t>theta_1</t>
  </si>
  <si>
    <t xml:space="preserve">theta_2 </t>
  </si>
  <si>
    <t>theta_3</t>
  </si>
  <si>
    <t>Fitted Returns</t>
  </si>
  <si>
    <t xml:space="preserve">Residuals </t>
  </si>
  <si>
    <t>Sum of Squared Residuals</t>
  </si>
  <si>
    <t>Residuals Squared</t>
  </si>
  <si>
    <t>1 Lag Residual</t>
  </si>
  <si>
    <t>2 Lag Residual</t>
  </si>
  <si>
    <t>3 Lag Residual</t>
  </si>
  <si>
    <t xml:space="preserve">Residual </t>
  </si>
  <si>
    <t>(Copy for Regression)</t>
  </si>
  <si>
    <t>X Variable 3</t>
  </si>
  <si>
    <t>Beginning stocks</t>
  </si>
  <si>
    <t>Production</t>
  </si>
  <si>
    <t>Imports</t>
  </si>
  <si>
    <t>Total supply 2/</t>
  </si>
  <si>
    <t>Food, alcohol, and industrial use</t>
  </si>
  <si>
    <t>Seed use</t>
  </si>
  <si>
    <t>Feed and residual use</t>
  </si>
  <si>
    <t>Total domestic use 2/</t>
  </si>
  <si>
    <t>Exports</t>
  </si>
  <si>
    <t>Total disappearance 2/</t>
  </si>
  <si>
    <t>Ending stocks</t>
  </si>
  <si>
    <t>1990/91</t>
  </si>
  <si>
    <t>Q1 Sep-Nov</t>
  </si>
  <si>
    <t>Q2 Dec-Feb</t>
  </si>
  <si>
    <t>Q3 Mar-May</t>
  </si>
  <si>
    <t>Q4 Jun-Aug</t>
  </si>
  <si>
    <t>MY Sep-Aug</t>
  </si>
  <si>
    <t>1991/92</t>
  </si>
  <si>
    <t>1992/93</t>
  </si>
  <si>
    <t>1993/94</t>
  </si>
  <si>
    <t>1994/95</t>
  </si>
  <si>
    <t>1995/96</t>
  </si>
  <si>
    <t>1996/97</t>
  </si>
  <si>
    <t>1997/98</t>
  </si>
  <si>
    <t>1998/99</t>
  </si>
  <si>
    <t>1999/00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</si>
  <si>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</si>
  <si>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</si>
  <si>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</si>
  <si>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</si>
  <si>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</si>
  <si>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</si>
  <si>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</si>
  <si>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</si>
  <si>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</si>
  <si>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</si>
  <si>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</si>
  <si>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</si>
  <si>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2012/13</t>
  </si>
  <si>
    <t>2013/14</t>
  </si>
  <si>
    <t>2014/15</t>
  </si>
  <si>
    <t>1/ September-August.  Latest data may be preliminary or projected.
2/ Total may not add due to rounding.
Source: USDA, World Agricultural Outlook Board, World Agricultural Supply and Demand Estimates and supporting materials.</t>
  </si>
  <si>
    <t>Date run: 9/14/2015</t>
  </si>
  <si>
    <t>X Variable 4</t>
  </si>
  <si>
    <t>X Variable 5</t>
  </si>
  <si>
    <t>Forecasts</t>
  </si>
  <si>
    <t>Corn Feed and Resudual Use</t>
  </si>
  <si>
    <t>1 Lag Corn Feed and Resudual Use</t>
  </si>
  <si>
    <t>2 Lag Corn Feed and Resudual Use</t>
  </si>
  <si>
    <t>3 Lag Corn Feed and Resudual Use</t>
  </si>
  <si>
    <t>4 Lag Corn Feed and Resudual Use</t>
  </si>
  <si>
    <t>5 Lag Corn Feed and Resudual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</si>
</sst>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[$-10409]#,##0;\-#,##0"/>
    <numFmt numFmtId="166" formatCode="[$-10409]#,##0.00;\-#,##0.00"/>
  </numFmts>
  <fonts count="17" x14ac:knownFonts="1">
    <font>
      <sz val="10"/>
      <name val="Arial"/>
      <family val="2"/>
      <charset val="1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  <font>
      <i/>
      <sz val="10"/>
      <name val="Arial"/>
      <family val="2"/>
      <charset val="1"/>
    </font>
    <font>
      <i/>
      <sz val="12"/>
      <name val="Arial"/>
      <family val="2"/>
      <charset val="1"/>
    </font>
    <font>
      <sz val="12"/>
      <name val="Arial"/>
      <family val="2"/>
      <charset val="1"/>
    </font>
    <font>
      <i/>
      <sz val="14"/>
      <name val="Arial"/>
      <family val="2"/>
      <charset val="1"/>
    </font>
    <font>
      <sz val="14"/>
      <name val="Arial"/>
      <family val="2"/>
      <charset val="1"/>
    </font>
    <font>
      <i/>
      <sz val="14"/>
      <name val="Arial"/>
      <family val="2"/>
    </font>
    <font>
      <b/>
      <sz val="14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i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4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2">
    <xf numFmtId="0" fontId="0" fillId="0" borderId="0" applyBorder="0">
      <protection locked="0"/>
    </xf>
    <xf numFmtId="0" fontId="12" fillId="0" borderId="0"/>
  </cellStyleXfs>
  <cellXfs count="56">
    <xf numFmtId="0" fontId="0" fillId="0" borderId="0" xfId="0" applyBorder="1">
      <protection locked="0"/>
    </xf>
    <xf numFmtId="0" fontId="1" fillId="0" borderId="0" xfId="0" applyFont="1" applyBorder="1">
      <protection locked="0"/>
    </xf>
    <xf numFmtId="0" fontId="2" fillId="0" borderId="0" xfId="0" applyFont="1" applyBorder="1">
      <protection locked="0"/>
    </xf>
    <xf numFmtId="14" fontId="2" fillId="0" borderId="0" xfId="0" applyNumberFormat="1" applyFont="1" applyBorder="1">
      <protection locked="0"/>
    </xf>
    <xf numFmtId="0" fontId="3" fillId="0" borderId="0" xfId="0" applyFont="1" applyBorder="1">
      <protection locked="0"/>
    </xf>
    <xf numFmtId="0" fontId="4" fillId="0" borderId="0" xfId="0" applyFont="1" applyBorder="1">
      <protection locked="0"/>
    </xf>
    <xf numFmtId="0" fontId="0" fillId="0" borderId="0" xfId="0" applyFill="1" applyBorder="1" applyAlignment="1">
      <protection locked="0"/>
    </xf>
    <xf numFmtId="0" fontId="0" fillId="0" borderId="1" xfId="0" applyFill="1" applyBorder="1" applyAlignment="1">
      <protection locked="0"/>
    </xf>
    <xf numFmtId="0" fontId="5" fillId="0" borderId="2" xfId="0" applyFont="1" applyFill="1" applyBorder="1" applyAlignment="1">
      <alignment horizontal="center"/>
      <protection locked="0"/>
    </xf>
    <xf numFmtId="0" fontId="5" fillId="0" borderId="2" xfId="0" applyFont="1" applyFill="1" applyBorder="1" applyAlignment="1">
      <alignment horizontal="centerContinuous"/>
      <protection locked="0"/>
    </xf>
    <xf numFmtId="0" fontId="2" fillId="2" borderId="0" xfId="0" applyFont="1" applyFill="1" applyBorder="1">
      <protection locked="0"/>
    </xf>
    <xf numFmtId="0" fontId="4" fillId="2" borderId="0" xfId="0" applyFont="1" applyFill="1" applyBorder="1">
      <protection locked="0"/>
    </xf>
    <xf numFmtId="0" fontId="8" fillId="2" borderId="2" xfId="0" applyFont="1" applyFill="1" applyBorder="1" applyAlignment="1">
      <alignment horizontal="center"/>
      <protection locked="0"/>
    </xf>
    <xf numFmtId="0" fontId="8" fillId="2" borderId="0" xfId="0" applyFont="1" applyFill="1" applyBorder="1" applyAlignment="1">
      <alignment horizontal="center"/>
      <protection locked="0"/>
    </xf>
    <xf numFmtId="0" fontId="9" fillId="2" borderId="0" xfId="0" applyFont="1" applyFill="1" applyBorder="1" applyAlignment="1">
      <protection locked="0"/>
    </xf>
    <xf numFmtId="0" fontId="10" fillId="2" borderId="1" xfId="0" applyFont="1" applyFill="1" applyBorder="1" applyAlignment="1">
      <alignment horizontal="center"/>
      <protection locked="0"/>
    </xf>
    <xf numFmtId="0" fontId="9" fillId="2" borderId="1" xfId="0" applyFont="1" applyFill="1" applyBorder="1" applyAlignment="1">
      <protection locked="0"/>
    </xf>
    <xf numFmtId="0" fontId="7" fillId="2" borderId="0" xfId="0" applyFont="1" applyFill="1" applyBorder="1">
      <protection locked="0"/>
    </xf>
    <xf numFmtId="0" fontId="6" fillId="2" borderId="2" xfId="0" applyFont="1" applyFill="1" applyBorder="1" applyAlignment="1">
      <alignment horizontal="centerContinuous"/>
      <protection locked="0"/>
    </xf>
    <xf numFmtId="0" fontId="7" fillId="2" borderId="0" xfId="0" applyFont="1" applyFill="1" applyBorder="1" applyAlignment="1">
      <protection locked="0"/>
    </xf>
    <xf numFmtId="0" fontId="7" fillId="2" borderId="1" xfId="0" applyFont="1" applyFill="1" applyBorder="1" applyAlignment="1">
      <protection locked="0"/>
    </xf>
    <xf numFmtId="0" fontId="6" fillId="2" borderId="2" xfId="0" applyFont="1" applyFill="1" applyBorder="1" applyAlignment="1">
      <alignment horizontal="center"/>
      <protection locked="0"/>
    </xf>
    <xf numFmtId="0" fontId="0" fillId="2" borderId="0" xfId="0" applyFill="1" applyBorder="1">
      <protection locked="0"/>
    </xf>
    <xf numFmtId="0" fontId="11" fillId="0" borderId="0" xfId="0" applyFont="1" applyBorder="1">
      <protection locked="0"/>
    </xf>
    <xf numFmtId="14" fontId="3" fillId="0" borderId="0" xfId="0" applyNumberFormat="1" applyFont="1" applyBorder="1">
      <protection locked="0"/>
    </xf>
    <xf numFmtId="2" fontId="3" fillId="0" borderId="0" xfId="0" applyNumberFormat="1" applyFont="1" applyBorder="1">
      <protection locked="0"/>
    </xf>
    <xf numFmtId="2" fontId="4" fillId="0" borderId="0" xfId="0" applyNumberFormat="1" applyFont="1" applyBorder="1">
      <protection locked="0"/>
    </xf>
    <xf numFmtId="0" fontId="11" fillId="2" borderId="0" xfId="0" applyFont="1" applyFill="1" applyBorder="1">
      <protection locked="0"/>
    </xf>
    <xf numFmtId="0" fontId="3" fillId="2" borderId="0" xfId="0" applyFont="1" applyFill="1" applyBorder="1">
      <protection locked="0"/>
    </xf>
    <xf numFmtId="0" fontId="5" fillId="2" borderId="2" xfId="0" applyFont="1" applyFill="1" applyBorder="1" applyAlignment="1">
      <alignment horizontal="centerContinuous"/>
      <protection locked="0"/>
    </xf>
    <xf numFmtId="0" fontId="0" fillId="2" borderId="0" xfId="0" applyFill="1" applyBorder="1" applyAlignment="1">
      <protection locked="0"/>
    </xf>
    <xf numFmtId="0" fontId="0" fillId="2" borderId="1" xfId="0" applyFill="1" applyBorder="1" applyAlignment="1">
      <protection locked="0"/>
    </xf>
    <xf numFmtId="0" fontId="5" fillId="2" borderId="2" xfId="0" applyFont="1" applyFill="1" applyBorder="1" applyAlignment="1">
      <alignment horizontal="center"/>
      <protection locked="0"/>
    </xf>
    <xf numFmtId="0" fontId="12" fillId="0" borderId="3" xfId="1" applyFont="1" applyBorder="1" applyAlignment="1" applyProtection="1">
      <alignment vertical="top" wrapText="1"/>
      <protection locked="0"/>
    </xf>
    <xf numFmtId="0" fontId="13" fillId="0" borderId="4" xfId="1" applyFont="1" applyBorder="1" applyAlignment="1" applyProtection="1">
      <alignment horizontal="right" wrapText="1" readingOrder="1"/>
      <protection locked="0"/>
    </xf>
    <xf numFmtId="0" fontId="13" fillId="0" borderId="5" xfId="1" applyFont="1" applyBorder="1" applyAlignment="1" applyProtection="1">
      <alignment horizontal="right" wrapText="1" readingOrder="1"/>
      <protection locked="0"/>
    </xf>
    <xf numFmtId="0" fontId="12" fillId="0" borderId="0" xfId="1" applyFont="1"/>
    <xf numFmtId="0" fontId="13" fillId="0" borderId="0" xfId="1" applyFont="1" applyAlignment="1" applyProtection="1">
      <alignment vertical="top" wrapText="1" readingOrder="1"/>
      <protection locked="0"/>
    </xf>
    <xf numFmtId="14" fontId="13" fillId="0" borderId="0" xfId="1" applyNumberFormat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horizontal="left" vertical="center" wrapText="1" readingOrder="1"/>
      <protection locked="0"/>
    </xf>
    <xf numFmtId="165" fontId="13" fillId="0" borderId="0" xfId="1" applyNumberFormat="1" applyFont="1" applyAlignment="1" applyProtection="1">
      <alignment horizontal="right" vertical="center" wrapText="1" readingOrder="1"/>
      <protection locked="0"/>
    </xf>
    <xf numFmtId="166" fontId="13" fillId="0" borderId="0" xfId="1" applyNumberFormat="1" applyFont="1" applyAlignment="1" applyProtection="1">
      <alignment horizontal="right" vertical="center" wrapText="1" readingOrder="1"/>
      <protection locked="0"/>
    </xf>
    <xf numFmtId="0" fontId="13" fillId="0" borderId="0" xfId="1" applyFont="1" applyAlignment="1" applyProtection="1">
      <alignment horizontal="right" vertical="center" wrapText="1" readingOrder="1"/>
      <protection locked="0"/>
    </xf>
    <xf numFmtId="0" fontId="12" fillId="0" borderId="0" xfId="1" applyFont="1" applyAlignment="1"/>
    <xf numFmtId="0" fontId="13" fillId="0" borderId="0" xfId="1" applyFont="1" applyAlignment="1" applyProtection="1">
      <alignment horizontal="left" vertical="top" wrapText="1" readingOrder="1"/>
      <protection locked="0"/>
    </xf>
    <xf numFmtId="14" fontId="12" fillId="0" borderId="0" xfId="1" applyNumberFormat="1" applyFont="1"/>
    <xf numFmtId="0" fontId="13" fillId="0" borderId="3" xfId="1" applyFont="1" applyBorder="1" applyAlignment="1" applyProtection="1">
      <alignment horizontal="left" vertical="top" wrapText="1" readingOrder="1"/>
      <protection locked="0"/>
    </xf>
    <xf numFmtId="0" fontId="13" fillId="0" borderId="3" xfId="1" applyFont="1" applyBorder="1" applyAlignment="1" applyProtection="1">
      <alignment horizontal="right" vertical="center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2" fillId="0" borderId="0" xfId="1" applyFont="1"/>
    <xf numFmtId="0" fontId="14" fillId="0" borderId="0" xfId="1" applyFont="1" applyAlignment="1" applyProtection="1">
      <alignment horizontal="right" vertical="top" wrapText="1" readingOrder="1"/>
      <protection locked="0"/>
    </xf>
    <xf numFmtId="14" fontId="15" fillId="0" borderId="0" xfId="1" applyNumberFormat="1" applyFont="1" applyAlignment="1" applyProtection="1">
      <alignment vertical="top" wrapText="1" readingOrder="1"/>
      <protection locked="0"/>
    </xf>
    <xf numFmtId="0" fontId="15" fillId="0" borderId="0" xfId="1" applyFont="1" applyAlignment="1" applyProtection="1">
      <alignment horizontal="left" vertical="center" wrapText="1" readingOrder="1"/>
      <protection locked="0"/>
    </xf>
    <xf numFmtId="165" fontId="16" fillId="0" borderId="0" xfId="1" applyNumberFormat="1" applyFont="1" applyAlignment="1" applyProtection="1">
      <alignment horizontal="right" vertical="center" wrapText="1" readingOrder="1"/>
      <protection locked="0"/>
    </xf>
    <xf numFmtId="165" fontId="1" fillId="0" borderId="0" xfId="0" applyNumberFormat="1" applyFont="1" applyBorder="1">
      <protection locked="0"/>
    </xf>
    <xf numFmtId="14" fontId="1" fillId="0" borderId="0" xfId="0" applyNumberFormat="1" applyFont="1" applyBorder="1">
      <protection locked="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March 2016 Corn Returns </a:t>
            </a:r>
          </a:p>
          <a:p>
            <a:pPr>
              <a:defRPr/>
            </a:pPr>
            <a:r>
              <a:rPr lang="en-US"/>
              <a:t>ln(p_t)-ln(p_t-1) </a:t>
            </a:r>
          </a:p>
          <a:p>
            <a:pPr>
              <a:defRPr/>
            </a:pPr>
            <a:r>
              <a:rPr lang="en-US"/>
              <a:t>1/2/2015 - 10/20/2015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'AR(p)'!$C$1:$C$2</c:f>
              <c:strCache>
                <c:ptCount val="2"/>
                <c:pt idx="0">
                  <c:v>Returns</c:v>
                </c:pt>
                <c:pt idx="1">
                  <c:v>ln(p_t)-ln(p_t-1)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'AR(p)'!$A$4:$A$212</c:f>
              <c:numCache>
                <c:formatCode>m/d/yyyy</c:formatCode>
                <c:ptCount val="209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42024</c:v>
                </c:pt>
                <c:pt idx="11">
                  <c:v>42025</c:v>
                </c:pt>
                <c:pt idx="12">
                  <c:v>42026</c:v>
                </c:pt>
                <c:pt idx="13">
                  <c:v>42027</c:v>
                </c:pt>
                <c:pt idx="14">
                  <c:v>42030</c:v>
                </c:pt>
                <c:pt idx="15">
                  <c:v>42031</c:v>
                </c:pt>
                <c:pt idx="16">
                  <c:v>42032</c:v>
                </c:pt>
                <c:pt idx="17">
                  <c:v>42033</c:v>
                </c:pt>
                <c:pt idx="18">
                  <c:v>42034</c:v>
                </c:pt>
                <c:pt idx="19">
                  <c:v>42037</c:v>
                </c:pt>
                <c:pt idx="20">
                  <c:v>42038</c:v>
                </c:pt>
                <c:pt idx="21">
                  <c:v>42039</c:v>
                </c:pt>
                <c:pt idx="22">
                  <c:v>42040</c:v>
                </c:pt>
                <c:pt idx="23">
                  <c:v>42041</c:v>
                </c:pt>
                <c:pt idx="24">
                  <c:v>42044</c:v>
                </c:pt>
                <c:pt idx="25">
                  <c:v>42045</c:v>
                </c:pt>
                <c:pt idx="26">
                  <c:v>42046</c:v>
                </c:pt>
                <c:pt idx="27">
                  <c:v>42047</c:v>
                </c:pt>
                <c:pt idx="28">
                  <c:v>42048</c:v>
                </c:pt>
                <c:pt idx="29">
                  <c:v>42052</c:v>
                </c:pt>
                <c:pt idx="30">
                  <c:v>42053</c:v>
                </c:pt>
                <c:pt idx="31">
                  <c:v>42054</c:v>
                </c:pt>
                <c:pt idx="32">
                  <c:v>42055</c:v>
                </c:pt>
                <c:pt idx="33">
                  <c:v>42058</c:v>
                </c:pt>
                <c:pt idx="34">
                  <c:v>42059</c:v>
                </c:pt>
                <c:pt idx="35">
                  <c:v>42060</c:v>
                </c:pt>
                <c:pt idx="36">
                  <c:v>42061</c:v>
                </c:pt>
                <c:pt idx="37">
                  <c:v>42062</c:v>
                </c:pt>
                <c:pt idx="38">
                  <c:v>42065</c:v>
                </c:pt>
                <c:pt idx="39">
                  <c:v>42066</c:v>
                </c:pt>
                <c:pt idx="40">
                  <c:v>42067</c:v>
                </c:pt>
                <c:pt idx="41">
                  <c:v>42068</c:v>
                </c:pt>
                <c:pt idx="42">
                  <c:v>42069</c:v>
                </c:pt>
                <c:pt idx="43">
                  <c:v>42072</c:v>
                </c:pt>
                <c:pt idx="44">
                  <c:v>42073</c:v>
                </c:pt>
                <c:pt idx="45">
                  <c:v>42074</c:v>
                </c:pt>
                <c:pt idx="46">
                  <c:v>42075</c:v>
                </c:pt>
                <c:pt idx="47">
                  <c:v>42076</c:v>
                </c:pt>
                <c:pt idx="48">
                  <c:v>42079</c:v>
                </c:pt>
                <c:pt idx="49">
                  <c:v>42080</c:v>
                </c:pt>
                <c:pt idx="50">
                  <c:v>42081</c:v>
                </c:pt>
                <c:pt idx="51">
                  <c:v>42082</c:v>
                </c:pt>
                <c:pt idx="52">
                  <c:v>42083</c:v>
                </c:pt>
                <c:pt idx="53">
                  <c:v>42086</c:v>
                </c:pt>
                <c:pt idx="54">
                  <c:v>42087</c:v>
                </c:pt>
                <c:pt idx="55">
                  <c:v>42088</c:v>
                </c:pt>
                <c:pt idx="56">
                  <c:v>42089</c:v>
                </c:pt>
                <c:pt idx="57">
                  <c:v>42090</c:v>
                </c:pt>
                <c:pt idx="58">
                  <c:v>42093</c:v>
                </c:pt>
                <c:pt idx="59">
                  <c:v>42094</c:v>
                </c:pt>
                <c:pt idx="60">
                  <c:v>42095</c:v>
                </c:pt>
                <c:pt idx="61">
                  <c:v>42096</c:v>
                </c:pt>
                <c:pt idx="62">
                  <c:v>42100</c:v>
                </c:pt>
                <c:pt idx="63">
                  <c:v>42101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42125</c:v>
                </c:pt>
                <c:pt idx="82">
                  <c:v>42128</c:v>
                </c:pt>
                <c:pt idx="83">
                  <c:v>42129</c:v>
                </c:pt>
                <c:pt idx="84">
                  <c:v>42130</c:v>
                </c:pt>
                <c:pt idx="85">
                  <c:v>42131</c:v>
                </c:pt>
                <c:pt idx="86">
                  <c:v>42132</c:v>
                </c:pt>
                <c:pt idx="87">
                  <c:v>42135</c:v>
                </c:pt>
                <c:pt idx="88">
                  <c:v>42136</c:v>
                </c:pt>
                <c:pt idx="89">
                  <c:v>42137</c:v>
                </c:pt>
                <c:pt idx="90">
                  <c:v>42138</c:v>
                </c:pt>
                <c:pt idx="91">
                  <c:v>42139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42145</c:v>
                </c:pt>
                <c:pt idx="96">
                  <c:v>42146</c:v>
                </c:pt>
                <c:pt idx="97">
                  <c:v>42150</c:v>
                </c:pt>
                <c:pt idx="98">
                  <c:v>42151</c:v>
                </c:pt>
                <c:pt idx="99">
                  <c:v>42152</c:v>
                </c:pt>
                <c:pt idx="100">
                  <c:v>42153</c:v>
                </c:pt>
                <c:pt idx="101">
                  <c:v>42156</c:v>
                </c:pt>
                <c:pt idx="102">
                  <c:v>42157</c:v>
                </c:pt>
                <c:pt idx="103">
                  <c:v>42158</c:v>
                </c:pt>
                <c:pt idx="104">
                  <c:v>42159</c:v>
                </c:pt>
                <c:pt idx="105">
                  <c:v>42160</c:v>
                </c:pt>
                <c:pt idx="106">
                  <c:v>42163</c:v>
                </c:pt>
                <c:pt idx="107">
                  <c:v>42164</c:v>
                </c:pt>
                <c:pt idx="108">
                  <c:v>42165</c:v>
                </c:pt>
                <c:pt idx="109">
                  <c:v>42166</c:v>
                </c:pt>
                <c:pt idx="110">
                  <c:v>42167</c:v>
                </c:pt>
                <c:pt idx="111">
                  <c:v>42170</c:v>
                </c:pt>
                <c:pt idx="112">
                  <c:v>42171</c:v>
                </c:pt>
                <c:pt idx="113">
                  <c:v>42172</c:v>
                </c:pt>
                <c:pt idx="114">
                  <c:v>42173</c:v>
                </c:pt>
                <c:pt idx="115">
                  <c:v>42174</c:v>
                </c:pt>
                <c:pt idx="116">
                  <c:v>42177</c:v>
                </c:pt>
                <c:pt idx="117">
                  <c:v>42178</c:v>
                </c:pt>
                <c:pt idx="118">
                  <c:v>42179</c:v>
                </c:pt>
                <c:pt idx="119">
                  <c:v>42180</c:v>
                </c:pt>
                <c:pt idx="120">
                  <c:v>42181</c:v>
                </c:pt>
                <c:pt idx="121">
                  <c:v>42184</c:v>
                </c:pt>
                <c:pt idx="122">
                  <c:v>42185</c:v>
                </c:pt>
                <c:pt idx="123">
                  <c:v>42186</c:v>
                </c:pt>
                <c:pt idx="124">
                  <c:v>42187</c:v>
                </c:pt>
                <c:pt idx="125">
                  <c:v>42191</c:v>
                </c:pt>
                <c:pt idx="126">
                  <c:v>42192</c:v>
                </c:pt>
                <c:pt idx="127">
                  <c:v>42193</c:v>
                </c:pt>
                <c:pt idx="128">
                  <c:v>42194</c:v>
                </c:pt>
                <c:pt idx="129">
                  <c:v>42195</c:v>
                </c:pt>
                <c:pt idx="130">
                  <c:v>42198</c:v>
                </c:pt>
                <c:pt idx="131">
                  <c:v>42199</c:v>
                </c:pt>
                <c:pt idx="132">
                  <c:v>42200</c:v>
                </c:pt>
                <c:pt idx="133">
                  <c:v>42201</c:v>
                </c:pt>
                <c:pt idx="134">
                  <c:v>42202</c:v>
                </c:pt>
                <c:pt idx="135">
                  <c:v>42205</c:v>
                </c:pt>
                <c:pt idx="136">
                  <c:v>42206</c:v>
                </c:pt>
                <c:pt idx="137">
                  <c:v>42207</c:v>
                </c:pt>
                <c:pt idx="138">
                  <c:v>42208</c:v>
                </c:pt>
                <c:pt idx="139">
                  <c:v>42209</c:v>
                </c:pt>
                <c:pt idx="140">
                  <c:v>42212</c:v>
                </c:pt>
                <c:pt idx="141">
                  <c:v>42213</c:v>
                </c:pt>
                <c:pt idx="142">
                  <c:v>42214</c:v>
                </c:pt>
                <c:pt idx="143">
                  <c:v>42215</c:v>
                </c:pt>
                <c:pt idx="144">
                  <c:v>42216</c:v>
                </c:pt>
                <c:pt idx="145">
                  <c:v>42219</c:v>
                </c:pt>
                <c:pt idx="146">
                  <c:v>42220</c:v>
                </c:pt>
                <c:pt idx="147">
                  <c:v>42221</c:v>
                </c:pt>
                <c:pt idx="148">
                  <c:v>42222</c:v>
                </c:pt>
                <c:pt idx="149">
                  <c:v>42223</c:v>
                </c:pt>
                <c:pt idx="150">
                  <c:v>42226</c:v>
                </c:pt>
                <c:pt idx="151">
                  <c:v>42227</c:v>
                </c:pt>
                <c:pt idx="152">
                  <c:v>42228</c:v>
                </c:pt>
                <c:pt idx="153">
                  <c:v>42229</c:v>
                </c:pt>
                <c:pt idx="154">
                  <c:v>42230</c:v>
                </c:pt>
                <c:pt idx="155">
                  <c:v>42233</c:v>
                </c:pt>
                <c:pt idx="156">
                  <c:v>42234</c:v>
                </c:pt>
                <c:pt idx="157">
                  <c:v>42235</c:v>
                </c:pt>
                <c:pt idx="158">
                  <c:v>42236</c:v>
                </c:pt>
                <c:pt idx="159">
                  <c:v>42237</c:v>
                </c:pt>
                <c:pt idx="160">
                  <c:v>42240</c:v>
                </c:pt>
                <c:pt idx="161">
                  <c:v>42241</c:v>
                </c:pt>
                <c:pt idx="162">
                  <c:v>42242</c:v>
                </c:pt>
                <c:pt idx="163">
                  <c:v>42243</c:v>
                </c:pt>
                <c:pt idx="164">
                  <c:v>42244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42255</c:v>
                </c:pt>
                <c:pt idx="171">
                  <c:v>42256</c:v>
                </c:pt>
                <c:pt idx="172">
                  <c:v>42257</c:v>
                </c:pt>
                <c:pt idx="173">
                  <c:v>42258</c:v>
                </c:pt>
                <c:pt idx="174">
                  <c:v>42261</c:v>
                </c:pt>
                <c:pt idx="175">
                  <c:v>42262</c:v>
                </c:pt>
                <c:pt idx="176">
                  <c:v>42263</c:v>
                </c:pt>
                <c:pt idx="177">
                  <c:v>42264</c:v>
                </c:pt>
                <c:pt idx="178">
                  <c:v>42265</c:v>
                </c:pt>
                <c:pt idx="179">
                  <c:v>42268</c:v>
                </c:pt>
                <c:pt idx="180">
                  <c:v>42269</c:v>
                </c:pt>
                <c:pt idx="181">
                  <c:v>42270</c:v>
                </c:pt>
                <c:pt idx="182">
                  <c:v>42271</c:v>
                </c:pt>
                <c:pt idx="183">
                  <c:v>42272</c:v>
                </c:pt>
                <c:pt idx="184">
                  <c:v>42275</c:v>
                </c:pt>
                <c:pt idx="185">
                  <c:v>42276</c:v>
                </c:pt>
                <c:pt idx="186">
                  <c:v>42277</c:v>
                </c:pt>
                <c:pt idx="187">
                  <c:v>42278</c:v>
                </c:pt>
                <c:pt idx="188">
                  <c:v>42279</c:v>
                </c:pt>
                <c:pt idx="189">
                  <c:v>42282</c:v>
                </c:pt>
                <c:pt idx="190">
                  <c:v>42283</c:v>
                </c:pt>
                <c:pt idx="191">
                  <c:v>42284</c:v>
                </c:pt>
                <c:pt idx="192">
                  <c:v>42285</c:v>
                </c:pt>
                <c:pt idx="193">
                  <c:v>42286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42296</c:v>
                </c:pt>
                <c:pt idx="200">
                  <c:v>42297</c:v>
                </c:pt>
                <c:pt idx="201">
                  <c:v>42298</c:v>
                </c:pt>
                <c:pt idx="202">
                  <c:v>42299</c:v>
                </c:pt>
                <c:pt idx="203">
                  <c:v>42300</c:v>
                </c:pt>
                <c:pt idx="204">
                  <c:v>42303</c:v>
                </c:pt>
                <c:pt idx="205">
                  <c:v>42304</c:v>
                </c:pt>
                <c:pt idx="206">
                  <c:v>42305</c:v>
                </c:pt>
                <c:pt idx="207">
                  <c:v>42306</c:v>
                </c:pt>
                <c:pt idx="208">
                  <c:v>42307</c:v>
                </c:pt>
              </c:numCache>
            </c:numRef>
          </c:xVal>
          <c:yVal>
            <c:numRef>
              <c:f>'AR(p)'!$C$3:$C$434</c:f>
              <c:numCache>
                <c:formatCode>General</c:formatCode>
                <c:ptCount val="432"/>
                <c:pt idx="1">
                  <c:v>2.1966201126408791E-2</c:v>
                </c:pt>
                <c:pt idx="2">
                  <c:v>-2.2896403820746869E-3</c:v>
                </c:pt>
                <c:pt idx="3">
                  <c:v>-1.7924735478802134E-2</c:v>
                </c:pt>
                <c:pt idx="4">
                  <c:v>-7.0257900244055094E-3</c:v>
                </c:pt>
                <c:pt idx="5">
                  <c:v>9.9386962495291442E-3</c:v>
                </c:pt>
                <c:pt idx="6">
                  <c:v>1.0416760858255714E-2</c:v>
                </c:pt>
                <c:pt idx="7">
                  <c:v>-3.3365693843800059E-2</c:v>
                </c:pt>
                <c:pt idx="8">
                  <c:v>-7.1684894786123721E-3</c:v>
                </c:pt>
                <c:pt idx="9">
                  <c:v>-3.0021037257643712E-3</c:v>
                </c:pt>
                <c:pt idx="10">
                  <c:v>1.7288060973240427E-2</c:v>
                </c:pt>
                <c:pt idx="11">
                  <c:v>4.7169898781396213E-3</c:v>
                </c:pt>
                <c:pt idx="12">
                  <c:v>-2.9455102297575309E-3</c:v>
                </c:pt>
                <c:pt idx="13">
                  <c:v>-4.1383446586475969E-3</c:v>
                </c:pt>
                <c:pt idx="14">
                  <c:v>8.8470055067855213E-3</c:v>
                </c:pt>
                <c:pt idx="15">
                  <c:v>-7.071331764107569E-3</c:v>
                </c:pt>
                <c:pt idx="16">
                  <c:v>-7.1216918210401658E-3</c:v>
                </c:pt>
                <c:pt idx="17">
                  <c:v>-1.6817213157412247E-2</c:v>
                </c:pt>
                <c:pt idx="18">
                  <c:v>-2.4257137424879005E-3</c:v>
                </c:pt>
                <c:pt idx="19">
                  <c:v>-6.7012130149475269E-3</c:v>
                </c:pt>
                <c:pt idx="20">
                  <c:v>0</c:v>
                </c:pt>
                <c:pt idx="21">
                  <c:v>3.6018299189155556E-2</c:v>
                </c:pt>
                <c:pt idx="22">
                  <c:v>-4.7281411959456676E-3</c:v>
                </c:pt>
                <c:pt idx="23">
                  <c:v>4.7281411959456676E-3</c:v>
                </c:pt>
                <c:pt idx="24">
                  <c:v>1.1785505194445989E-3</c:v>
                </c:pt>
                <c:pt idx="25">
                  <c:v>1.1127494026182738E-2</c:v>
                </c:pt>
                <c:pt idx="26">
                  <c:v>-5.8411381030349929E-3</c:v>
                </c:pt>
                <c:pt idx="27">
                  <c:v>-8.2353406613053792E-3</c:v>
                </c:pt>
                <c:pt idx="28">
                  <c:v>-4.1432435713346649E-3</c:v>
                </c:pt>
                <c:pt idx="29">
                  <c:v>1.0619568827460846E-2</c:v>
                </c:pt>
                <c:pt idx="30">
                  <c:v>8.1823951549395701E-3</c:v>
                </c:pt>
                <c:pt idx="31">
                  <c:v>-1.4068227332201033E-2</c:v>
                </c:pt>
                <c:pt idx="32">
                  <c:v>1.2320484388040676E-2</c:v>
                </c:pt>
                <c:pt idx="33">
                  <c:v>-8.1967672041791673E-3</c:v>
                </c:pt>
                <c:pt idx="34">
                  <c:v>-1.3613705368710427E-2</c:v>
                </c:pt>
                <c:pt idx="35">
                  <c:v>-1.7894427679845393E-3</c:v>
                </c:pt>
                <c:pt idx="36">
                  <c:v>-1.7926506145196086E-3</c:v>
                </c:pt>
                <c:pt idx="37">
                  <c:v>1.0708014272472255E-2</c:v>
                </c:pt>
                <c:pt idx="38">
                  <c:v>8.2498994721422747E-3</c:v>
                </c:pt>
                <c:pt idx="39">
                  <c:v>-8.841790581461062E-3</c:v>
                </c:pt>
                <c:pt idx="40">
                  <c:v>7.6673923255192733E-3</c:v>
                </c:pt>
                <c:pt idx="41">
                  <c:v>-6.4839602347390723E-3</c:v>
                </c:pt>
                <c:pt idx="42">
                  <c:v>1.1820332345546802E-3</c:v>
                </c:pt>
                <c:pt idx="43">
                  <c:v>-7.7083097358308095E-3</c:v>
                </c:pt>
                <c:pt idx="44">
                  <c:v>4.1580101486635712E-3</c:v>
                </c:pt>
                <c:pt idx="45">
                  <c:v>-5.9294398416742666E-4</c:v>
                </c:pt>
                <c:pt idx="46">
                  <c:v>4.1432435713346649E-3</c:v>
                </c:pt>
                <c:pt idx="47">
                  <c:v>-6.5185416002417895E-3</c:v>
                </c:pt>
                <c:pt idx="48">
                  <c:v>-1.6182552721730303E-2</c:v>
                </c:pt>
                <c:pt idx="49">
                  <c:v>0</c:v>
                </c:pt>
                <c:pt idx="50">
                  <c:v>-1.7063180592125526E-2</c:v>
                </c:pt>
                <c:pt idx="51">
                  <c:v>6.7381571939773011E-3</c:v>
                </c:pt>
                <c:pt idx="52">
                  <c:v>-2.4449889930666657E-3</c:v>
                </c:pt>
                <c:pt idx="53">
                  <c:v>2.4782168839218244E-2</c:v>
                </c:pt>
                <c:pt idx="54">
                  <c:v>1.1869575555383705E-2</c:v>
                </c:pt>
                <c:pt idx="55">
                  <c:v>5.8823699030670085E-3</c:v>
                </c:pt>
                <c:pt idx="56">
                  <c:v>1.1723330768234064E-3</c:v>
                </c:pt>
                <c:pt idx="57">
                  <c:v>-7.0547029798904148E-3</c:v>
                </c:pt>
                <c:pt idx="58">
                  <c:v>0</c:v>
                </c:pt>
                <c:pt idx="59">
                  <c:v>7.6403545339651657E-3</c:v>
                </c:pt>
                <c:pt idx="60">
                  <c:v>-4.0626853530270957E-2</c:v>
                </c:pt>
                <c:pt idx="61">
                  <c:v>1.512888159629977E-2</c:v>
                </c:pt>
                <c:pt idx="62">
                  <c:v>8.9686699827602467E-3</c:v>
                </c:pt>
                <c:pt idx="63">
                  <c:v>-1.7873105740955353E-3</c:v>
                </c:pt>
                <c:pt idx="64">
                  <c:v>-4.1828564124077872E-3</c:v>
                </c:pt>
                <c:pt idx="65">
                  <c:v>-6.6086152203563842E-3</c:v>
                </c:pt>
                <c:pt idx="66">
                  <c:v>-2.4140023792815768E-3</c:v>
                </c:pt>
                <c:pt idx="67">
                  <c:v>-2.4198438910350006E-3</c:v>
                </c:pt>
                <c:pt idx="68">
                  <c:v>-1.4028897357643011E-2</c:v>
                </c:pt>
                <c:pt idx="69">
                  <c:v>6.1237178505297862E-3</c:v>
                </c:pt>
                <c:pt idx="70">
                  <c:v>3.6563112031098299E-3</c:v>
                </c:pt>
                <c:pt idx="71">
                  <c:v>-1.217285603750895E-3</c:v>
                </c:pt>
                <c:pt idx="72">
                  <c:v>6.0716640685498646E-3</c:v>
                </c:pt>
                <c:pt idx="73">
                  <c:v>-4.2462908814515643E-3</c:v>
                </c:pt>
                <c:pt idx="74">
                  <c:v>-8.5470605784587761E-3</c:v>
                </c:pt>
                <c:pt idx="75">
                  <c:v>0</c:v>
                </c:pt>
                <c:pt idx="76">
                  <c:v>-6.1500808853374167E-3</c:v>
                </c:pt>
                <c:pt idx="77">
                  <c:v>-1.4916373520663662E-2</c:v>
                </c:pt>
                <c:pt idx="78">
                  <c:v>-1.2602561251974009E-2</c:v>
                </c:pt>
                <c:pt idx="79">
                  <c:v>-1.2690357033049438E-3</c:v>
                </c:pt>
                <c:pt idx="80">
                  <c:v>8.220090547347958E-3</c:v>
                </c:pt>
                <c:pt idx="81">
                  <c:v>-5.6836275514395851E-3</c:v>
                </c:pt>
                <c:pt idx="82">
                  <c:v>-8.2671377048937345E-3</c:v>
                </c:pt>
                <c:pt idx="83">
                  <c:v>-6.406171812411543E-3</c:v>
                </c:pt>
                <c:pt idx="84">
                  <c:v>2.5673955052463171E-3</c:v>
                </c:pt>
                <c:pt idx="85">
                  <c:v>1.0204170174241689E-2</c:v>
                </c:pt>
                <c:pt idx="86">
                  <c:v>-1.3414445804490249E-2</c:v>
                </c:pt>
                <c:pt idx="87">
                  <c:v>1.9274018173591756E-3</c:v>
                </c:pt>
                <c:pt idx="88">
                  <c:v>-7.085375857627696E-3</c:v>
                </c:pt>
                <c:pt idx="89">
                  <c:v>1.937359340226763E-3</c:v>
                </c:pt>
                <c:pt idx="90">
                  <c:v>5.7896591444839274E-3</c:v>
                </c:pt>
                <c:pt idx="91">
                  <c:v>1.4645279269823064E-2</c:v>
                </c:pt>
                <c:pt idx="92">
                  <c:v>-5.069719350251134E-3</c:v>
                </c:pt>
                <c:pt idx="93">
                  <c:v>6.9642573340322755E-3</c:v>
                </c:pt>
                <c:pt idx="94">
                  <c:v>-1.3977355889903897E-2</c:v>
                </c:pt>
                <c:pt idx="95">
                  <c:v>-7.0626296783125042E-3</c:v>
                </c:pt>
                <c:pt idx="96">
                  <c:v>1.2167937512456817E-2</c:v>
                </c:pt>
                <c:pt idx="97">
                  <c:v>-1.1523815106934343E-2</c:v>
                </c:pt>
                <c:pt idx="98">
                  <c:v>-1.0356079610090774E-2</c:v>
                </c:pt>
                <c:pt idx="99">
                  <c:v>-1.7722813729625919E-2</c:v>
                </c:pt>
                <c:pt idx="100">
                  <c:v>7.9156086126612735E-3</c:v>
                </c:pt>
                <c:pt idx="101">
                  <c:v>-5.2701044242375872E-3</c:v>
                </c:pt>
                <c:pt idx="102">
                  <c:v>1.3201322049232189E-3</c:v>
                </c:pt>
                <c:pt idx="103">
                  <c:v>1.8948623129529274E-2</c:v>
                </c:pt>
                <c:pt idx="104">
                  <c:v>3.2310205814463089E-3</c:v>
                </c:pt>
                <c:pt idx="105">
                  <c:v>1.0908032442728199E-2</c:v>
                </c:pt>
                <c:pt idx="106">
                  <c:v>-7.0445376176841989E-3</c:v>
                </c:pt>
                <c:pt idx="107">
                  <c:v>1.3405882224701848E-2</c:v>
                </c:pt>
                <c:pt idx="108">
                  <c:v>-6.3431654521384218E-4</c:v>
                </c:pt>
                <c:pt idx="109">
                  <c:v>-1.9219041270456927E-2</c:v>
                </c:pt>
                <c:pt idx="110">
                  <c:v>-1.9423767842070561E-3</c:v>
                </c:pt>
                <c:pt idx="111">
                  <c:v>-1.2390116116568706E-2</c:v>
                </c:pt>
                <c:pt idx="112">
                  <c:v>-1.5873349156290573E-2</c:v>
                </c:pt>
                <c:pt idx="113">
                  <c:v>1.5873349156290573E-2</c:v>
                </c:pt>
                <c:pt idx="114">
                  <c:v>1.3685453085254373E-2</c:v>
                </c:pt>
                <c:pt idx="115">
                  <c:v>-4.5410392662565968E-3</c:v>
                </c:pt>
                <c:pt idx="116">
                  <c:v>-1.2430647469816591E-2</c:v>
                </c:pt>
                <c:pt idx="117">
                  <c:v>1.3730192811902242E-2</c:v>
                </c:pt>
                <c:pt idx="118">
                  <c:v>1.9293202934678177E-2</c:v>
                </c:pt>
                <c:pt idx="119">
                  <c:v>-2.551021791605379E-3</c:v>
                </c:pt>
                <c:pt idx="120">
                  <c:v>2.8951046515825141E-2</c:v>
                </c:pt>
                <c:pt idx="121">
                  <c:v>2.3905520853555018E-2</c:v>
                </c:pt>
                <c:pt idx="122">
                  <c:v>-6.0587702550218836E-4</c:v>
                </c:pt>
                <c:pt idx="123">
                  <c:v>6.6241615503244589E-2</c:v>
                </c:pt>
                <c:pt idx="124">
                  <c:v>1.7001987660343332E-3</c:v>
                </c:pt>
                <c:pt idx="125">
                  <c:v>1.1261380272538979E-2</c:v>
                </c:pt>
                <c:pt idx="126">
                  <c:v>-4.4893453625940438E-3</c:v>
                </c:pt>
                <c:pt idx="127">
                  <c:v>-3.9447782910162488E-3</c:v>
                </c:pt>
                <c:pt idx="128">
                  <c:v>2.8192857692816986E-3</c:v>
                </c:pt>
                <c:pt idx="129">
                  <c:v>1.1198325310029844E-2</c:v>
                </c:pt>
                <c:pt idx="130">
                  <c:v>1.272492965597749E-2</c:v>
                </c:pt>
                <c:pt idx="131">
                  <c:v>1.5275801681116974E-2</c:v>
                </c:pt>
                <c:pt idx="132">
                  <c:v>-2.8000731337094464E-2</c:v>
                </c:pt>
                <c:pt idx="133">
                  <c:v>3.3351893061377424E-3</c:v>
                </c:pt>
                <c:pt idx="134">
                  <c:v>1.1092624542863305E-3</c:v>
                </c:pt>
                <c:pt idx="135">
                  <c:v>-2.1289319458664302E-2</c:v>
                </c:pt>
                <c:pt idx="136">
                  <c:v>-3.5151991446287667E-2</c:v>
                </c:pt>
                <c:pt idx="137">
                  <c:v>3.5128841745759587E-3</c:v>
                </c:pt>
                <c:pt idx="138">
                  <c:v>-9.9853986801932137E-3</c:v>
                </c:pt>
                <c:pt idx="139">
                  <c:v>0</c:v>
                </c:pt>
                <c:pt idx="140">
                  <c:v>-2.5711431291871811E-2</c:v>
                </c:pt>
                <c:pt idx="141">
                  <c:v>-4.5856856957089853E-2</c:v>
                </c:pt>
                <c:pt idx="142">
                  <c:v>5.6908152317545202E-3</c:v>
                </c:pt>
                <c:pt idx="143">
                  <c:v>-1.9096697456456369E-2</c:v>
                </c:pt>
                <c:pt idx="144">
                  <c:v>1.4673309517305277E-2</c:v>
                </c:pt>
                <c:pt idx="145">
                  <c:v>-6.9908133452889487E-3</c:v>
                </c:pt>
                <c:pt idx="146">
                  <c:v>-1.219136049348446E-2</c:v>
                </c:pt>
                <c:pt idx="147">
                  <c:v>6.4350286409080582E-3</c:v>
                </c:pt>
                <c:pt idx="148">
                  <c:v>1.2113632348043524E-2</c:v>
                </c:pt>
                <c:pt idx="149">
                  <c:v>-7.6336248550719077E-3</c:v>
                </c:pt>
                <c:pt idx="150">
                  <c:v>8.2671377048937345E-3</c:v>
                </c:pt>
                <c:pt idx="151">
                  <c:v>4.2770696213775494E-2</c:v>
                </c:pt>
                <c:pt idx="152">
                  <c:v>-3.2688695250472577E-2</c:v>
                </c:pt>
                <c:pt idx="153">
                  <c:v>-4.8821512623171692E-2</c:v>
                </c:pt>
                <c:pt idx="154">
                  <c:v>1.8911551553899564E-2</c:v>
                </c:pt>
                <c:pt idx="155">
                  <c:v>0</c:v>
                </c:pt>
                <c:pt idx="156">
                  <c:v>-2.5873235649509496E-3</c:v>
                </c:pt>
                <c:pt idx="157">
                  <c:v>7.0990940286126403E-3</c:v>
                </c:pt>
                <c:pt idx="158">
                  <c:v>3.2102756302485602E-3</c:v>
                </c:pt>
                <c:pt idx="159">
                  <c:v>9.5694510161505875E-3</c:v>
                </c:pt>
                <c:pt idx="160">
                  <c:v>-1.2779726646399148E-2</c:v>
                </c:pt>
                <c:pt idx="161">
                  <c:v>7.6874177426864421E-3</c:v>
                </c:pt>
                <c:pt idx="162">
                  <c:v>-9.6185416128564682E-3</c:v>
                </c:pt>
                <c:pt idx="163">
                  <c:v>-9.7119572045683E-3</c:v>
                </c:pt>
                <c:pt idx="164">
                  <c:v>5.19144579325026E-3</c:v>
                </c:pt>
                <c:pt idx="165">
                  <c:v>6.4703981552138856E-4</c:v>
                </c:pt>
                <c:pt idx="166">
                  <c:v>-6.4703981552138856E-4</c:v>
                </c:pt>
                <c:pt idx="167">
                  <c:v>-1.565589707255377E-2</c:v>
                </c:pt>
                <c:pt idx="168">
                  <c:v>-3.9525743158232984E-3</c:v>
                </c:pt>
                <c:pt idx="169">
                  <c:v>-1.5297937179762577E-2</c:v>
                </c:pt>
                <c:pt idx="170">
                  <c:v>4.0133833134579078E-3</c:v>
                </c:pt>
                <c:pt idx="171">
                  <c:v>1.392133851860855E-2</c:v>
                </c:pt>
                <c:pt idx="172">
                  <c:v>1.3157896635194177E-3</c:v>
                </c:pt>
                <c:pt idx="173">
                  <c:v>1.3712261863982E-2</c:v>
                </c:pt>
                <c:pt idx="174">
                  <c:v>3.2538755786774232E-2</c:v>
                </c:pt>
                <c:pt idx="175">
                  <c:v>1.6189643767586581E-2</c:v>
                </c:pt>
                <c:pt idx="176">
                  <c:v>-7.4395879401230047E-3</c:v>
                </c:pt>
                <c:pt idx="177">
                  <c:v>-1.1264199200796021E-2</c:v>
                </c:pt>
                <c:pt idx="178">
                  <c:v>-1.585824543145975E-2</c:v>
                </c:pt>
                <c:pt idx="179">
                  <c:v>-6.4143901776638756E-3</c:v>
                </c:pt>
                <c:pt idx="180">
                  <c:v>1.9121041446778619E-2</c:v>
                </c:pt>
                <c:pt idx="181">
                  <c:v>-9.5148196413390451E-3</c:v>
                </c:pt>
                <c:pt idx="182">
                  <c:v>6.3532615226096212E-3</c:v>
                </c:pt>
                <c:pt idx="183">
                  <c:v>-5.07937600002073E-3</c:v>
                </c:pt>
                <c:pt idx="184">
                  <c:v>1.8916074741093247E-2</c:v>
                </c:pt>
                <c:pt idx="185">
                  <c:v>-5.6373465923860167E-3</c:v>
                </c:pt>
                <c:pt idx="186">
                  <c:v>4.3873464296257936E-3</c:v>
                </c:pt>
                <c:pt idx="187">
                  <c:v>-2.5046976150093769E-3</c:v>
                </c:pt>
                <c:pt idx="188">
                  <c:v>2.5046976150093769E-3</c:v>
                </c:pt>
                <c:pt idx="189">
                  <c:v>-6.2558650773425484E-4</c:v>
                </c:pt>
                <c:pt idx="190">
                  <c:v>1.0582109330536937E-2</c:v>
                </c:pt>
                <c:pt idx="191">
                  <c:v>1.1696039763191557E-2</c:v>
                </c:pt>
                <c:pt idx="192">
                  <c:v>-5.5231806561106822E-3</c:v>
                </c:pt>
                <c:pt idx="193">
                  <c:v>-1.11387290263254E-2</c:v>
                </c:pt>
                <c:pt idx="194">
                  <c:v>-2.0748936760163872E-2</c:v>
                </c:pt>
                <c:pt idx="195">
                  <c:v>-4.4571866213276579E-3</c:v>
                </c:pt>
                <c:pt idx="196">
                  <c:v>9.5269059715787918E-3</c:v>
                </c:pt>
                <c:pt idx="197">
                  <c:v>-1.4645279269823064E-2</c:v>
                </c:pt>
                <c:pt idx="198">
                  <c:v>-8.3736399104088477E-3</c:v>
                </c:pt>
                <c:pt idx="199">
                  <c:v>3.2289340291713486E-3</c:v>
                </c:pt>
                <c:pt idx="200">
                  <c:v>-1.0369503155241766E-2</c:v>
                </c:pt>
                <c:pt idx="201">
                  <c:v>9.0791803955712069E-3</c:v>
                </c:pt>
                <c:pt idx="202">
                  <c:v>7.7170800985637555E-3</c:v>
                </c:pt>
                <c:pt idx="203">
                  <c:v>-5.7822197722678936E-3</c:v>
                </c:pt>
                <c:pt idx="204">
                  <c:v>1.9311238701700262E-3</c:v>
                </c:pt>
                <c:pt idx="205">
                  <c:v>1.21446043640141E-2</c:v>
                </c:pt>
                <c:pt idx="206">
                  <c:v>-9.5755599195719299E-3</c:v>
                </c:pt>
                <c:pt idx="207">
                  <c:v>-9.6681384730548103E-3</c:v>
                </c:pt>
                <c:pt idx="208">
                  <c:v>9.6681384730548103E-3</c:v>
                </c:pt>
                <c:pt idx="209">
                  <c:v>4.480007492971616E-3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'AR(p)'!$F$1</c:f>
              <c:strCache>
                <c:ptCount val="1"/>
                <c:pt idx="0">
                  <c:v>Forecast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'AR(p)'!$A$213:$A$216</c:f>
              <c:numCache>
                <c:formatCode>m/d/yyyy</c:formatCode>
                <c:ptCount val="4"/>
                <c:pt idx="0">
                  <c:v>42310</c:v>
                </c:pt>
                <c:pt idx="1">
                  <c:v>42311</c:v>
                </c:pt>
                <c:pt idx="2">
                  <c:v>53270</c:v>
                </c:pt>
                <c:pt idx="3">
                  <c:v>42313</c:v>
                </c:pt>
              </c:numCache>
            </c:numRef>
          </c:xVal>
          <c:yVal>
            <c:numRef>
              <c:f>'AR(p)'!$F$213:$F$216</c:f>
              <c:numCache>
                <c:formatCode>General</c:formatCode>
                <c:ptCount val="4"/>
                <c:pt idx="0">
                  <c:v>-7.8056823899213721E-4</c:v>
                </c:pt>
                <c:pt idx="1">
                  <c:v>-7.3121272958745454E-4</c:v>
                </c:pt>
                <c:pt idx="2">
                  <c:v>-5.1669999088608306E-4</c:v>
                </c:pt>
                <c:pt idx="3">
                  <c:v>-5.1214484881089003E-4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94206464"/>
        <c:axId val="-1694207008"/>
      </c:scatterChart>
      <c:valAx>
        <c:axId val="-1694206464"/>
        <c:scaling>
          <c:orientation val="minMax"/>
          <c:max val="42325"/>
          <c:min val="4198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162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94207008"/>
        <c:crosses val="autoZero"/>
        <c:crossBetween val="midCat"/>
      </c:valAx>
      <c:valAx>
        <c:axId val="-169420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94206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March</a:t>
            </a:r>
            <a:r>
              <a:rPr lang="en-US" baseline="0"/>
              <a:t> 2016 Corn Returns 1/2/2015 - 10/30/2015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534892229380412E-2"/>
          <c:y val="0.10379746835443038"/>
          <c:w val="0.81736113894854057"/>
          <c:h val="0.738167665750641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'MA(q)'!$C$4:$C$5</c:f>
              <c:strCache>
                <c:ptCount val="2"/>
                <c:pt idx="0">
                  <c:v>Returns</c:v>
                </c:pt>
                <c:pt idx="1">
                  <c:v>ln(p_t)-ln(p_t-1)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'MA(q)'!$A$7:$A$215</c:f>
              <c:numCache>
                <c:formatCode>m/d/yyyy</c:formatCode>
                <c:ptCount val="209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42024</c:v>
                </c:pt>
                <c:pt idx="11">
                  <c:v>42025</c:v>
                </c:pt>
                <c:pt idx="12">
                  <c:v>42026</c:v>
                </c:pt>
                <c:pt idx="13">
                  <c:v>42027</c:v>
                </c:pt>
                <c:pt idx="14">
                  <c:v>42030</c:v>
                </c:pt>
                <c:pt idx="15">
                  <c:v>42031</c:v>
                </c:pt>
                <c:pt idx="16">
                  <c:v>42032</c:v>
                </c:pt>
                <c:pt idx="17">
                  <c:v>42033</c:v>
                </c:pt>
                <c:pt idx="18">
                  <c:v>42034</c:v>
                </c:pt>
                <c:pt idx="19">
                  <c:v>42037</c:v>
                </c:pt>
                <c:pt idx="20">
                  <c:v>42038</c:v>
                </c:pt>
                <c:pt idx="21">
                  <c:v>42039</c:v>
                </c:pt>
                <c:pt idx="22">
                  <c:v>42040</c:v>
                </c:pt>
                <c:pt idx="23">
                  <c:v>42041</c:v>
                </c:pt>
                <c:pt idx="24">
                  <c:v>42044</c:v>
                </c:pt>
                <c:pt idx="25">
                  <c:v>42045</c:v>
                </c:pt>
                <c:pt idx="26">
                  <c:v>42046</c:v>
                </c:pt>
                <c:pt idx="27">
                  <c:v>42047</c:v>
                </c:pt>
                <c:pt idx="28">
                  <c:v>42048</c:v>
                </c:pt>
                <c:pt idx="29">
                  <c:v>42052</c:v>
                </c:pt>
                <c:pt idx="30">
                  <c:v>42053</c:v>
                </c:pt>
                <c:pt idx="31">
                  <c:v>42054</c:v>
                </c:pt>
                <c:pt idx="32">
                  <c:v>42055</c:v>
                </c:pt>
                <c:pt idx="33">
                  <c:v>42058</c:v>
                </c:pt>
                <c:pt idx="34">
                  <c:v>42059</c:v>
                </c:pt>
                <c:pt idx="35">
                  <c:v>42060</c:v>
                </c:pt>
                <c:pt idx="36">
                  <c:v>42061</c:v>
                </c:pt>
                <c:pt idx="37">
                  <c:v>42062</c:v>
                </c:pt>
                <c:pt idx="38">
                  <c:v>42065</c:v>
                </c:pt>
                <c:pt idx="39">
                  <c:v>42066</c:v>
                </c:pt>
                <c:pt idx="40">
                  <c:v>42067</c:v>
                </c:pt>
                <c:pt idx="41">
                  <c:v>42068</c:v>
                </c:pt>
                <c:pt idx="42">
                  <c:v>42069</c:v>
                </c:pt>
                <c:pt idx="43">
                  <c:v>42072</c:v>
                </c:pt>
                <c:pt idx="44">
                  <c:v>42073</c:v>
                </c:pt>
                <c:pt idx="45">
                  <c:v>42074</c:v>
                </c:pt>
                <c:pt idx="46">
                  <c:v>42075</c:v>
                </c:pt>
                <c:pt idx="47">
                  <c:v>42076</c:v>
                </c:pt>
                <c:pt idx="48">
                  <c:v>42079</c:v>
                </c:pt>
                <c:pt idx="49">
                  <c:v>42080</c:v>
                </c:pt>
                <c:pt idx="50">
                  <c:v>42081</c:v>
                </c:pt>
                <c:pt idx="51">
                  <c:v>42082</c:v>
                </c:pt>
                <c:pt idx="52">
                  <c:v>42083</c:v>
                </c:pt>
                <c:pt idx="53">
                  <c:v>42086</c:v>
                </c:pt>
                <c:pt idx="54">
                  <c:v>42087</c:v>
                </c:pt>
                <c:pt idx="55">
                  <c:v>42088</c:v>
                </c:pt>
                <c:pt idx="56">
                  <c:v>42089</c:v>
                </c:pt>
                <c:pt idx="57">
                  <c:v>42090</c:v>
                </c:pt>
                <c:pt idx="58">
                  <c:v>42093</c:v>
                </c:pt>
                <c:pt idx="59">
                  <c:v>42094</c:v>
                </c:pt>
                <c:pt idx="60">
                  <c:v>42095</c:v>
                </c:pt>
                <c:pt idx="61">
                  <c:v>42096</c:v>
                </c:pt>
                <c:pt idx="62">
                  <c:v>42100</c:v>
                </c:pt>
                <c:pt idx="63">
                  <c:v>42101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42125</c:v>
                </c:pt>
                <c:pt idx="82">
                  <c:v>42128</c:v>
                </c:pt>
                <c:pt idx="83">
                  <c:v>42129</c:v>
                </c:pt>
                <c:pt idx="84">
                  <c:v>42130</c:v>
                </c:pt>
                <c:pt idx="85">
                  <c:v>42131</c:v>
                </c:pt>
                <c:pt idx="86">
                  <c:v>42132</c:v>
                </c:pt>
                <c:pt idx="87">
                  <c:v>42135</c:v>
                </c:pt>
                <c:pt idx="88">
                  <c:v>42136</c:v>
                </c:pt>
                <c:pt idx="89">
                  <c:v>42137</c:v>
                </c:pt>
                <c:pt idx="90">
                  <c:v>42138</c:v>
                </c:pt>
                <c:pt idx="91">
                  <c:v>42139</c:v>
                </c:pt>
                <c:pt idx="92">
                  <c:v>42142</c:v>
                </c:pt>
                <c:pt idx="93">
                  <c:v>42143</c:v>
                </c:pt>
                <c:pt idx="94">
                  <c:v>42144</c:v>
                </c:pt>
                <c:pt idx="95">
                  <c:v>42145</c:v>
                </c:pt>
                <c:pt idx="96">
                  <c:v>42146</c:v>
                </c:pt>
                <c:pt idx="97">
                  <c:v>42150</c:v>
                </c:pt>
                <c:pt idx="98">
                  <c:v>42151</c:v>
                </c:pt>
                <c:pt idx="99">
                  <c:v>42152</c:v>
                </c:pt>
                <c:pt idx="100">
                  <c:v>42153</c:v>
                </c:pt>
                <c:pt idx="101">
                  <c:v>42156</c:v>
                </c:pt>
                <c:pt idx="102">
                  <c:v>42157</c:v>
                </c:pt>
                <c:pt idx="103">
                  <c:v>42158</c:v>
                </c:pt>
                <c:pt idx="104">
                  <c:v>42159</c:v>
                </c:pt>
                <c:pt idx="105">
                  <c:v>42160</c:v>
                </c:pt>
                <c:pt idx="106">
                  <c:v>42163</c:v>
                </c:pt>
                <c:pt idx="107">
                  <c:v>42164</c:v>
                </c:pt>
                <c:pt idx="108">
                  <c:v>42165</c:v>
                </c:pt>
                <c:pt idx="109">
                  <c:v>42166</c:v>
                </c:pt>
                <c:pt idx="110">
                  <c:v>42167</c:v>
                </c:pt>
                <c:pt idx="111">
                  <c:v>42170</c:v>
                </c:pt>
                <c:pt idx="112">
                  <c:v>42171</c:v>
                </c:pt>
                <c:pt idx="113">
                  <c:v>42172</c:v>
                </c:pt>
                <c:pt idx="114">
                  <c:v>42173</c:v>
                </c:pt>
                <c:pt idx="115">
                  <c:v>42174</c:v>
                </c:pt>
                <c:pt idx="116">
                  <c:v>42177</c:v>
                </c:pt>
                <c:pt idx="117">
                  <c:v>42178</c:v>
                </c:pt>
                <c:pt idx="118">
                  <c:v>42179</c:v>
                </c:pt>
                <c:pt idx="119">
                  <c:v>42180</c:v>
                </c:pt>
                <c:pt idx="120">
                  <c:v>42181</c:v>
                </c:pt>
                <c:pt idx="121">
                  <c:v>42184</c:v>
                </c:pt>
                <c:pt idx="122">
                  <c:v>42185</c:v>
                </c:pt>
                <c:pt idx="123">
                  <c:v>42186</c:v>
                </c:pt>
                <c:pt idx="124">
                  <c:v>42187</c:v>
                </c:pt>
                <c:pt idx="125">
                  <c:v>42191</c:v>
                </c:pt>
                <c:pt idx="126">
                  <c:v>42192</c:v>
                </c:pt>
                <c:pt idx="127">
                  <c:v>42193</c:v>
                </c:pt>
                <c:pt idx="128">
                  <c:v>42194</c:v>
                </c:pt>
                <c:pt idx="129">
                  <c:v>42195</c:v>
                </c:pt>
                <c:pt idx="130">
                  <c:v>42198</c:v>
                </c:pt>
                <c:pt idx="131">
                  <c:v>42199</c:v>
                </c:pt>
                <c:pt idx="132">
                  <c:v>42200</c:v>
                </c:pt>
                <c:pt idx="133">
                  <c:v>42201</c:v>
                </c:pt>
                <c:pt idx="134">
                  <c:v>42202</c:v>
                </c:pt>
                <c:pt idx="135">
                  <c:v>42205</c:v>
                </c:pt>
                <c:pt idx="136">
                  <c:v>42206</c:v>
                </c:pt>
                <c:pt idx="137">
                  <c:v>42207</c:v>
                </c:pt>
                <c:pt idx="138">
                  <c:v>42208</c:v>
                </c:pt>
                <c:pt idx="139">
                  <c:v>42209</c:v>
                </c:pt>
                <c:pt idx="140">
                  <c:v>42212</c:v>
                </c:pt>
                <c:pt idx="141">
                  <c:v>42213</c:v>
                </c:pt>
                <c:pt idx="142">
                  <c:v>42214</c:v>
                </c:pt>
                <c:pt idx="143">
                  <c:v>42215</c:v>
                </c:pt>
                <c:pt idx="144">
                  <c:v>42216</c:v>
                </c:pt>
                <c:pt idx="145">
                  <c:v>42219</c:v>
                </c:pt>
                <c:pt idx="146">
                  <c:v>42220</c:v>
                </c:pt>
                <c:pt idx="147">
                  <c:v>42221</c:v>
                </c:pt>
                <c:pt idx="148">
                  <c:v>42222</c:v>
                </c:pt>
                <c:pt idx="149">
                  <c:v>42223</c:v>
                </c:pt>
                <c:pt idx="150">
                  <c:v>42226</c:v>
                </c:pt>
                <c:pt idx="151">
                  <c:v>42227</c:v>
                </c:pt>
                <c:pt idx="152">
                  <c:v>42228</c:v>
                </c:pt>
                <c:pt idx="153">
                  <c:v>42229</c:v>
                </c:pt>
                <c:pt idx="154">
                  <c:v>42230</c:v>
                </c:pt>
                <c:pt idx="155">
                  <c:v>42233</c:v>
                </c:pt>
                <c:pt idx="156">
                  <c:v>42234</c:v>
                </c:pt>
                <c:pt idx="157">
                  <c:v>42235</c:v>
                </c:pt>
                <c:pt idx="158">
                  <c:v>42236</c:v>
                </c:pt>
                <c:pt idx="159">
                  <c:v>42237</c:v>
                </c:pt>
                <c:pt idx="160">
                  <c:v>42240</c:v>
                </c:pt>
                <c:pt idx="161">
                  <c:v>42241</c:v>
                </c:pt>
                <c:pt idx="162">
                  <c:v>42242</c:v>
                </c:pt>
                <c:pt idx="163">
                  <c:v>42243</c:v>
                </c:pt>
                <c:pt idx="164">
                  <c:v>42244</c:v>
                </c:pt>
                <c:pt idx="165">
                  <c:v>42247</c:v>
                </c:pt>
                <c:pt idx="166">
                  <c:v>42248</c:v>
                </c:pt>
                <c:pt idx="167">
                  <c:v>42249</c:v>
                </c:pt>
                <c:pt idx="168">
                  <c:v>42250</c:v>
                </c:pt>
                <c:pt idx="169">
                  <c:v>42251</c:v>
                </c:pt>
                <c:pt idx="170">
                  <c:v>42255</c:v>
                </c:pt>
                <c:pt idx="171">
                  <c:v>42256</c:v>
                </c:pt>
                <c:pt idx="172">
                  <c:v>42257</c:v>
                </c:pt>
                <c:pt idx="173">
                  <c:v>42258</c:v>
                </c:pt>
                <c:pt idx="174">
                  <c:v>42261</c:v>
                </c:pt>
                <c:pt idx="175">
                  <c:v>42262</c:v>
                </c:pt>
                <c:pt idx="176">
                  <c:v>42263</c:v>
                </c:pt>
                <c:pt idx="177">
                  <c:v>42264</c:v>
                </c:pt>
                <c:pt idx="178">
                  <c:v>42265</c:v>
                </c:pt>
                <c:pt idx="179">
                  <c:v>42268</c:v>
                </c:pt>
                <c:pt idx="180">
                  <c:v>42269</c:v>
                </c:pt>
                <c:pt idx="181">
                  <c:v>42270</c:v>
                </c:pt>
                <c:pt idx="182">
                  <c:v>42271</c:v>
                </c:pt>
                <c:pt idx="183">
                  <c:v>42272</c:v>
                </c:pt>
                <c:pt idx="184">
                  <c:v>42275</c:v>
                </c:pt>
                <c:pt idx="185">
                  <c:v>42276</c:v>
                </c:pt>
                <c:pt idx="186">
                  <c:v>42277</c:v>
                </c:pt>
                <c:pt idx="187">
                  <c:v>42278</c:v>
                </c:pt>
                <c:pt idx="188">
                  <c:v>42279</c:v>
                </c:pt>
                <c:pt idx="189">
                  <c:v>42282</c:v>
                </c:pt>
                <c:pt idx="190">
                  <c:v>42283</c:v>
                </c:pt>
                <c:pt idx="191">
                  <c:v>42284</c:v>
                </c:pt>
                <c:pt idx="192">
                  <c:v>42285</c:v>
                </c:pt>
                <c:pt idx="193">
                  <c:v>42286</c:v>
                </c:pt>
                <c:pt idx="194">
                  <c:v>42289</c:v>
                </c:pt>
                <c:pt idx="195">
                  <c:v>42290</c:v>
                </c:pt>
                <c:pt idx="196">
                  <c:v>42291</c:v>
                </c:pt>
                <c:pt idx="197">
                  <c:v>42292</c:v>
                </c:pt>
                <c:pt idx="198">
                  <c:v>42293</c:v>
                </c:pt>
                <c:pt idx="199">
                  <c:v>42296</c:v>
                </c:pt>
                <c:pt idx="200">
                  <c:v>42297</c:v>
                </c:pt>
                <c:pt idx="201">
                  <c:v>42298</c:v>
                </c:pt>
                <c:pt idx="202">
                  <c:v>42299</c:v>
                </c:pt>
                <c:pt idx="203">
                  <c:v>42300</c:v>
                </c:pt>
                <c:pt idx="204">
                  <c:v>42303</c:v>
                </c:pt>
                <c:pt idx="205">
                  <c:v>42304</c:v>
                </c:pt>
                <c:pt idx="206">
                  <c:v>42305</c:v>
                </c:pt>
                <c:pt idx="207">
                  <c:v>42306</c:v>
                </c:pt>
                <c:pt idx="208">
                  <c:v>42307</c:v>
                </c:pt>
              </c:numCache>
            </c:numRef>
          </c:xVal>
          <c:yVal>
            <c:numRef>
              <c:f>'MA(q)'!$C$6:$C$215</c:f>
              <c:numCache>
                <c:formatCode>0.00</c:formatCode>
                <c:ptCount val="210"/>
                <c:pt idx="1">
                  <c:v>2.1966201126408791E-2</c:v>
                </c:pt>
                <c:pt idx="2">
                  <c:v>-2.2896403820746869E-3</c:v>
                </c:pt>
                <c:pt idx="3">
                  <c:v>-1.7924735478802134E-2</c:v>
                </c:pt>
                <c:pt idx="4">
                  <c:v>-7.0257900244055094E-3</c:v>
                </c:pt>
                <c:pt idx="5">
                  <c:v>9.9386962495291442E-3</c:v>
                </c:pt>
                <c:pt idx="6">
                  <c:v>1.0416760858255714E-2</c:v>
                </c:pt>
                <c:pt idx="7">
                  <c:v>-3.3365693843800059E-2</c:v>
                </c:pt>
                <c:pt idx="8">
                  <c:v>-7.1684894786123721E-3</c:v>
                </c:pt>
                <c:pt idx="9">
                  <c:v>-3.0021037257643712E-3</c:v>
                </c:pt>
                <c:pt idx="10">
                  <c:v>1.7288060973240427E-2</c:v>
                </c:pt>
                <c:pt idx="11">
                  <c:v>4.7169898781396213E-3</c:v>
                </c:pt>
                <c:pt idx="12">
                  <c:v>-2.9455102297575309E-3</c:v>
                </c:pt>
                <c:pt idx="13">
                  <c:v>-4.1383446586475969E-3</c:v>
                </c:pt>
                <c:pt idx="14">
                  <c:v>8.8470055067855213E-3</c:v>
                </c:pt>
                <c:pt idx="15">
                  <c:v>-7.071331764107569E-3</c:v>
                </c:pt>
                <c:pt idx="16">
                  <c:v>-7.1216918210401658E-3</c:v>
                </c:pt>
                <c:pt idx="17">
                  <c:v>-1.6817213157412247E-2</c:v>
                </c:pt>
                <c:pt idx="18">
                  <c:v>-2.4257137424879005E-3</c:v>
                </c:pt>
                <c:pt idx="19">
                  <c:v>-6.7012130149475269E-3</c:v>
                </c:pt>
                <c:pt idx="20">
                  <c:v>0</c:v>
                </c:pt>
                <c:pt idx="21">
                  <c:v>3.6018299189155556E-2</c:v>
                </c:pt>
                <c:pt idx="22">
                  <c:v>-4.7281411959456676E-3</c:v>
                </c:pt>
                <c:pt idx="23">
                  <c:v>4.7281411959456676E-3</c:v>
                </c:pt>
                <c:pt idx="24">
                  <c:v>1.1785505194445989E-3</c:v>
                </c:pt>
                <c:pt idx="25">
                  <c:v>1.1127494026182738E-2</c:v>
                </c:pt>
                <c:pt idx="26">
                  <c:v>-5.8411381030349929E-3</c:v>
                </c:pt>
                <c:pt idx="27">
                  <c:v>-8.2353406613053792E-3</c:v>
                </c:pt>
                <c:pt idx="28">
                  <c:v>-4.1432435713346649E-3</c:v>
                </c:pt>
                <c:pt idx="29">
                  <c:v>1.0619568827460846E-2</c:v>
                </c:pt>
                <c:pt idx="30">
                  <c:v>8.1823951549395701E-3</c:v>
                </c:pt>
                <c:pt idx="31">
                  <c:v>-1.4068227332201033E-2</c:v>
                </c:pt>
                <c:pt idx="32">
                  <c:v>1.2320484388040676E-2</c:v>
                </c:pt>
                <c:pt idx="33">
                  <c:v>-8.1967672041791673E-3</c:v>
                </c:pt>
                <c:pt idx="34">
                  <c:v>-1.3613705368710427E-2</c:v>
                </c:pt>
                <c:pt idx="35">
                  <c:v>-1.7894427679845393E-3</c:v>
                </c:pt>
                <c:pt idx="36">
                  <c:v>-1.7926506145196086E-3</c:v>
                </c:pt>
                <c:pt idx="37">
                  <c:v>1.0708014272472255E-2</c:v>
                </c:pt>
                <c:pt idx="38">
                  <c:v>8.2498994721422747E-3</c:v>
                </c:pt>
                <c:pt idx="39">
                  <c:v>-8.841790581461062E-3</c:v>
                </c:pt>
                <c:pt idx="40">
                  <c:v>7.6673923255192733E-3</c:v>
                </c:pt>
                <c:pt idx="41">
                  <c:v>-6.4839602347390723E-3</c:v>
                </c:pt>
                <c:pt idx="42">
                  <c:v>1.1820332345546802E-3</c:v>
                </c:pt>
                <c:pt idx="43">
                  <c:v>-7.7083097358308095E-3</c:v>
                </c:pt>
                <c:pt idx="44">
                  <c:v>4.1580101486635712E-3</c:v>
                </c:pt>
                <c:pt idx="45">
                  <c:v>-5.9294398416742666E-4</c:v>
                </c:pt>
                <c:pt idx="46">
                  <c:v>4.1432435713346649E-3</c:v>
                </c:pt>
                <c:pt idx="47">
                  <c:v>-6.5185416002417895E-3</c:v>
                </c:pt>
                <c:pt idx="48">
                  <c:v>-1.6182552721730303E-2</c:v>
                </c:pt>
                <c:pt idx="49">
                  <c:v>0</c:v>
                </c:pt>
                <c:pt idx="50">
                  <c:v>-1.7063180592125526E-2</c:v>
                </c:pt>
                <c:pt idx="51">
                  <c:v>6.7381571939773011E-3</c:v>
                </c:pt>
                <c:pt idx="52">
                  <c:v>-2.4449889930666657E-3</c:v>
                </c:pt>
                <c:pt idx="53">
                  <c:v>2.4782168839218244E-2</c:v>
                </c:pt>
                <c:pt idx="54">
                  <c:v>1.1869575555383705E-2</c:v>
                </c:pt>
                <c:pt idx="55">
                  <c:v>5.8823699030670085E-3</c:v>
                </c:pt>
                <c:pt idx="56">
                  <c:v>1.1723330768234064E-3</c:v>
                </c:pt>
                <c:pt idx="57">
                  <c:v>-7.0547029798904148E-3</c:v>
                </c:pt>
                <c:pt idx="58">
                  <c:v>0</c:v>
                </c:pt>
                <c:pt idx="59">
                  <c:v>7.6403545339651657E-3</c:v>
                </c:pt>
                <c:pt idx="60">
                  <c:v>-4.0626853530270957E-2</c:v>
                </c:pt>
                <c:pt idx="61">
                  <c:v>1.512888159629977E-2</c:v>
                </c:pt>
                <c:pt idx="62">
                  <c:v>8.9686699827602467E-3</c:v>
                </c:pt>
                <c:pt idx="63">
                  <c:v>-1.7873105740955353E-3</c:v>
                </c:pt>
                <c:pt idx="64">
                  <c:v>-4.1828564124077872E-3</c:v>
                </c:pt>
                <c:pt idx="65">
                  <c:v>-6.6086152203563842E-3</c:v>
                </c:pt>
                <c:pt idx="66">
                  <c:v>-2.4140023792815768E-3</c:v>
                </c:pt>
                <c:pt idx="67">
                  <c:v>-2.4198438910350006E-3</c:v>
                </c:pt>
                <c:pt idx="68">
                  <c:v>-1.4028897357643011E-2</c:v>
                </c:pt>
                <c:pt idx="69">
                  <c:v>6.1237178505297862E-3</c:v>
                </c:pt>
                <c:pt idx="70">
                  <c:v>3.6563112031098299E-3</c:v>
                </c:pt>
                <c:pt idx="71">
                  <c:v>-1.217285603750895E-3</c:v>
                </c:pt>
                <c:pt idx="72">
                  <c:v>6.0716640685498646E-3</c:v>
                </c:pt>
                <c:pt idx="73">
                  <c:v>-4.2462908814515643E-3</c:v>
                </c:pt>
                <c:pt idx="74">
                  <c:v>-8.5470605784587761E-3</c:v>
                </c:pt>
                <c:pt idx="75">
                  <c:v>0</c:v>
                </c:pt>
                <c:pt idx="76">
                  <c:v>-6.1500808853374167E-3</c:v>
                </c:pt>
                <c:pt idx="77">
                  <c:v>-1.4916373520663662E-2</c:v>
                </c:pt>
                <c:pt idx="78">
                  <c:v>-1.2602561251974009E-2</c:v>
                </c:pt>
                <c:pt idx="79">
                  <c:v>-1.2690357033049438E-3</c:v>
                </c:pt>
                <c:pt idx="80">
                  <c:v>8.220090547347958E-3</c:v>
                </c:pt>
                <c:pt idx="81">
                  <c:v>-5.6836275514395851E-3</c:v>
                </c:pt>
                <c:pt idx="82">
                  <c:v>-8.2671377048937345E-3</c:v>
                </c:pt>
                <c:pt idx="83">
                  <c:v>-6.406171812411543E-3</c:v>
                </c:pt>
                <c:pt idx="84">
                  <c:v>2.5673955052463171E-3</c:v>
                </c:pt>
                <c:pt idx="85">
                  <c:v>1.0204170174241689E-2</c:v>
                </c:pt>
                <c:pt idx="86">
                  <c:v>-1.3414445804490249E-2</c:v>
                </c:pt>
                <c:pt idx="87">
                  <c:v>1.9274018173591756E-3</c:v>
                </c:pt>
                <c:pt idx="88">
                  <c:v>-7.085375857627696E-3</c:v>
                </c:pt>
                <c:pt idx="89">
                  <c:v>1.937359340226763E-3</c:v>
                </c:pt>
                <c:pt idx="90">
                  <c:v>5.7896591444839274E-3</c:v>
                </c:pt>
                <c:pt idx="91">
                  <c:v>1.4645279269823064E-2</c:v>
                </c:pt>
                <c:pt idx="92">
                  <c:v>-5.069719350251134E-3</c:v>
                </c:pt>
                <c:pt idx="93">
                  <c:v>6.9642573340322755E-3</c:v>
                </c:pt>
                <c:pt idx="94">
                  <c:v>-1.3977355889903897E-2</c:v>
                </c:pt>
                <c:pt idx="95">
                  <c:v>-7.0626296783125042E-3</c:v>
                </c:pt>
                <c:pt idx="96">
                  <c:v>1.2167937512456817E-2</c:v>
                </c:pt>
                <c:pt idx="97">
                  <c:v>-1.1523815106934343E-2</c:v>
                </c:pt>
                <c:pt idx="98">
                  <c:v>-1.0356079610090774E-2</c:v>
                </c:pt>
                <c:pt idx="99">
                  <c:v>-1.7722813729625919E-2</c:v>
                </c:pt>
                <c:pt idx="100">
                  <c:v>7.9156086126612735E-3</c:v>
                </c:pt>
                <c:pt idx="101">
                  <c:v>-5.2701044242375872E-3</c:v>
                </c:pt>
                <c:pt idx="102">
                  <c:v>1.3201322049232189E-3</c:v>
                </c:pt>
                <c:pt idx="103">
                  <c:v>1.8948623129529274E-2</c:v>
                </c:pt>
                <c:pt idx="104">
                  <c:v>3.2310205814463089E-3</c:v>
                </c:pt>
                <c:pt idx="105">
                  <c:v>1.0908032442728199E-2</c:v>
                </c:pt>
                <c:pt idx="106">
                  <c:v>-7.0445376176841989E-3</c:v>
                </c:pt>
                <c:pt idx="107">
                  <c:v>1.3405882224701848E-2</c:v>
                </c:pt>
                <c:pt idx="108">
                  <c:v>-6.3431654521384218E-4</c:v>
                </c:pt>
                <c:pt idx="109">
                  <c:v>-1.9219041270456927E-2</c:v>
                </c:pt>
                <c:pt idx="110">
                  <c:v>-1.9423767842070561E-3</c:v>
                </c:pt>
                <c:pt idx="111">
                  <c:v>-1.2390116116568706E-2</c:v>
                </c:pt>
                <c:pt idx="112">
                  <c:v>-1.5873349156290573E-2</c:v>
                </c:pt>
                <c:pt idx="113">
                  <c:v>1.5873349156290573E-2</c:v>
                </c:pt>
                <c:pt idx="114">
                  <c:v>1.3685453085254373E-2</c:v>
                </c:pt>
                <c:pt idx="115">
                  <c:v>-4.5410392662565968E-3</c:v>
                </c:pt>
                <c:pt idx="116">
                  <c:v>-1.2430647469816591E-2</c:v>
                </c:pt>
                <c:pt idx="117">
                  <c:v>1.3730192811902242E-2</c:v>
                </c:pt>
                <c:pt idx="118">
                  <c:v>1.9293202934678177E-2</c:v>
                </c:pt>
                <c:pt idx="119">
                  <c:v>-2.551021791605379E-3</c:v>
                </c:pt>
                <c:pt idx="120">
                  <c:v>2.8951046515825141E-2</c:v>
                </c:pt>
                <c:pt idx="121">
                  <c:v>2.3905520853555018E-2</c:v>
                </c:pt>
                <c:pt idx="122">
                  <c:v>-6.0587702550218836E-4</c:v>
                </c:pt>
                <c:pt idx="123">
                  <c:v>6.6241615503244589E-2</c:v>
                </c:pt>
                <c:pt idx="124">
                  <c:v>1.7001987660343332E-3</c:v>
                </c:pt>
                <c:pt idx="125">
                  <c:v>1.1261380272538979E-2</c:v>
                </c:pt>
                <c:pt idx="126">
                  <c:v>-4.4893453625940438E-3</c:v>
                </c:pt>
                <c:pt idx="127">
                  <c:v>-3.9447782910162488E-3</c:v>
                </c:pt>
                <c:pt idx="128">
                  <c:v>2.8192857692816986E-3</c:v>
                </c:pt>
                <c:pt idx="129">
                  <c:v>1.1198325310029844E-2</c:v>
                </c:pt>
                <c:pt idx="130">
                  <c:v>1.272492965597749E-2</c:v>
                </c:pt>
                <c:pt idx="131">
                  <c:v>1.5275801681116974E-2</c:v>
                </c:pt>
                <c:pt idx="132">
                  <c:v>-2.8000731337094464E-2</c:v>
                </c:pt>
                <c:pt idx="133">
                  <c:v>3.3351893061377424E-3</c:v>
                </c:pt>
                <c:pt idx="134">
                  <c:v>1.1092624542863305E-3</c:v>
                </c:pt>
                <c:pt idx="135">
                  <c:v>-2.1289319458664302E-2</c:v>
                </c:pt>
                <c:pt idx="136">
                  <c:v>-3.5151991446287667E-2</c:v>
                </c:pt>
                <c:pt idx="137">
                  <c:v>3.5128841745759587E-3</c:v>
                </c:pt>
                <c:pt idx="138">
                  <c:v>-9.9853986801932137E-3</c:v>
                </c:pt>
                <c:pt idx="139">
                  <c:v>0</c:v>
                </c:pt>
                <c:pt idx="140">
                  <c:v>-2.5711431291871811E-2</c:v>
                </c:pt>
                <c:pt idx="141">
                  <c:v>-4.5856856957089853E-2</c:v>
                </c:pt>
                <c:pt idx="142">
                  <c:v>5.6908152317545202E-3</c:v>
                </c:pt>
                <c:pt idx="143">
                  <c:v>-1.9096697456456369E-2</c:v>
                </c:pt>
                <c:pt idx="144">
                  <c:v>1.4673309517305277E-2</c:v>
                </c:pt>
                <c:pt idx="145">
                  <c:v>-6.9908133452889487E-3</c:v>
                </c:pt>
                <c:pt idx="146">
                  <c:v>-1.219136049348446E-2</c:v>
                </c:pt>
                <c:pt idx="147">
                  <c:v>6.4350286409080582E-3</c:v>
                </c:pt>
                <c:pt idx="148">
                  <c:v>1.2113632348043524E-2</c:v>
                </c:pt>
                <c:pt idx="149">
                  <c:v>-7.6336248550719077E-3</c:v>
                </c:pt>
                <c:pt idx="150">
                  <c:v>8.2671377048937345E-3</c:v>
                </c:pt>
                <c:pt idx="151">
                  <c:v>4.2770696213775494E-2</c:v>
                </c:pt>
                <c:pt idx="152">
                  <c:v>-3.2688695250472577E-2</c:v>
                </c:pt>
                <c:pt idx="153">
                  <c:v>-4.8821512623171692E-2</c:v>
                </c:pt>
                <c:pt idx="154">
                  <c:v>1.8911551553899564E-2</c:v>
                </c:pt>
                <c:pt idx="155">
                  <c:v>0</c:v>
                </c:pt>
                <c:pt idx="156">
                  <c:v>-2.5873235649509496E-3</c:v>
                </c:pt>
                <c:pt idx="157">
                  <c:v>7.0990940286126403E-3</c:v>
                </c:pt>
                <c:pt idx="158">
                  <c:v>3.2102756302485602E-3</c:v>
                </c:pt>
                <c:pt idx="159">
                  <c:v>9.5694510161505875E-3</c:v>
                </c:pt>
                <c:pt idx="160">
                  <c:v>-1.2779726646399148E-2</c:v>
                </c:pt>
                <c:pt idx="161">
                  <c:v>7.6874177426864421E-3</c:v>
                </c:pt>
                <c:pt idx="162">
                  <c:v>-9.6185416128564682E-3</c:v>
                </c:pt>
                <c:pt idx="163">
                  <c:v>-9.7119572045683E-3</c:v>
                </c:pt>
                <c:pt idx="164">
                  <c:v>5.19144579325026E-3</c:v>
                </c:pt>
                <c:pt idx="165">
                  <c:v>6.4703981552138856E-4</c:v>
                </c:pt>
                <c:pt idx="166">
                  <c:v>-6.4703981552138856E-4</c:v>
                </c:pt>
                <c:pt idx="167">
                  <c:v>-1.565589707255377E-2</c:v>
                </c:pt>
                <c:pt idx="168">
                  <c:v>-3.9525743158232984E-3</c:v>
                </c:pt>
                <c:pt idx="169">
                  <c:v>-1.5297937179762577E-2</c:v>
                </c:pt>
                <c:pt idx="170">
                  <c:v>4.0133833134579078E-3</c:v>
                </c:pt>
                <c:pt idx="171">
                  <c:v>1.392133851860855E-2</c:v>
                </c:pt>
                <c:pt idx="172">
                  <c:v>1.3157896635194177E-3</c:v>
                </c:pt>
                <c:pt idx="173">
                  <c:v>1.3712261863982E-2</c:v>
                </c:pt>
                <c:pt idx="174">
                  <c:v>3.2538755786774232E-2</c:v>
                </c:pt>
                <c:pt idx="175">
                  <c:v>1.6189643767586581E-2</c:v>
                </c:pt>
                <c:pt idx="176">
                  <c:v>-7.4395879401230047E-3</c:v>
                </c:pt>
                <c:pt idx="177">
                  <c:v>-1.1264199200796021E-2</c:v>
                </c:pt>
                <c:pt idx="178">
                  <c:v>-1.585824543145975E-2</c:v>
                </c:pt>
                <c:pt idx="179">
                  <c:v>-6.4143901776638756E-3</c:v>
                </c:pt>
                <c:pt idx="180">
                  <c:v>1.9121041446778619E-2</c:v>
                </c:pt>
                <c:pt idx="181">
                  <c:v>-9.5148196413390451E-3</c:v>
                </c:pt>
                <c:pt idx="182">
                  <c:v>6.3532615226096212E-3</c:v>
                </c:pt>
                <c:pt idx="183">
                  <c:v>-5.07937600002073E-3</c:v>
                </c:pt>
                <c:pt idx="184">
                  <c:v>1.8916074741093247E-2</c:v>
                </c:pt>
                <c:pt idx="185">
                  <c:v>-5.6373465923860167E-3</c:v>
                </c:pt>
                <c:pt idx="186">
                  <c:v>4.3873464296257936E-3</c:v>
                </c:pt>
                <c:pt idx="187">
                  <c:v>-2.5046976150093769E-3</c:v>
                </c:pt>
                <c:pt idx="188">
                  <c:v>2.5046976150093769E-3</c:v>
                </c:pt>
                <c:pt idx="189">
                  <c:v>-6.2558650773425484E-4</c:v>
                </c:pt>
                <c:pt idx="190">
                  <c:v>1.0582109330536937E-2</c:v>
                </c:pt>
                <c:pt idx="191">
                  <c:v>1.1696039763191557E-2</c:v>
                </c:pt>
                <c:pt idx="192">
                  <c:v>-5.5231806561106822E-3</c:v>
                </c:pt>
                <c:pt idx="193">
                  <c:v>-1.11387290263254E-2</c:v>
                </c:pt>
                <c:pt idx="194">
                  <c:v>-2.0748936760163872E-2</c:v>
                </c:pt>
                <c:pt idx="195">
                  <c:v>-4.4571866213276579E-3</c:v>
                </c:pt>
                <c:pt idx="196">
                  <c:v>9.5269059715787918E-3</c:v>
                </c:pt>
                <c:pt idx="197">
                  <c:v>-1.4645279269823064E-2</c:v>
                </c:pt>
                <c:pt idx="198">
                  <c:v>-8.3736399104088477E-3</c:v>
                </c:pt>
                <c:pt idx="199">
                  <c:v>3.2289340291713486E-3</c:v>
                </c:pt>
                <c:pt idx="200">
                  <c:v>-1.0369503155241766E-2</c:v>
                </c:pt>
                <c:pt idx="201">
                  <c:v>9.0791803955712069E-3</c:v>
                </c:pt>
                <c:pt idx="202">
                  <c:v>7.7170800985637555E-3</c:v>
                </c:pt>
                <c:pt idx="203">
                  <c:v>-5.7822197722678936E-3</c:v>
                </c:pt>
                <c:pt idx="204">
                  <c:v>1.9311238701700262E-3</c:v>
                </c:pt>
                <c:pt idx="205">
                  <c:v>1.21446043640141E-2</c:v>
                </c:pt>
                <c:pt idx="206">
                  <c:v>-9.5755599195719299E-3</c:v>
                </c:pt>
                <c:pt idx="207">
                  <c:v>-9.6681384730548103E-3</c:v>
                </c:pt>
                <c:pt idx="208">
                  <c:v>9.6681384730548103E-3</c:v>
                </c:pt>
                <c:pt idx="209">
                  <c:v>4.480007492971616E-3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'MA(q)'!$K$4</c:f>
              <c:strCache>
                <c:ptCount val="1"/>
                <c:pt idx="0">
                  <c:v>Forecast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'MA(q)'!$A$216:$A$220</c:f>
              <c:numCache>
                <c:formatCode>m/d/yyyy</c:formatCode>
                <c:ptCount val="5"/>
                <c:pt idx="0">
                  <c:v>42310</c:v>
                </c:pt>
                <c:pt idx="1">
                  <c:v>42311</c:v>
                </c:pt>
                <c:pt idx="2">
                  <c:v>42312</c:v>
                </c:pt>
                <c:pt idx="3">
                  <c:v>42313</c:v>
                </c:pt>
                <c:pt idx="4">
                  <c:v>42314</c:v>
                </c:pt>
              </c:numCache>
            </c:numRef>
          </c:xVal>
          <c:yVal>
            <c:numRef>
              <c:f>'MA(q)'!$K$216:$K$220</c:f>
              <c:numCache>
                <c:formatCode>General</c:formatCode>
                <c:ptCount val="5"/>
                <c:pt idx="0">
                  <c:v>-6.2694590231151897E-4</c:v>
                </c:pt>
                <c:pt idx="1">
                  <c:v>-1.554989679574939E-3</c:v>
                </c:pt>
                <c:pt idx="2">
                  <c:v>3.4185480597834174E-4</c:v>
                </c:pt>
                <c:pt idx="3">
                  <c:v>-3.9753420167933166E-4</c:v>
                </c:pt>
                <c:pt idx="4">
                  <c:v>-5.6599539993745687E-4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47249200"/>
        <c:axId val="-347236144"/>
      </c:scatterChart>
      <c:valAx>
        <c:axId val="-347249200"/>
        <c:scaling>
          <c:orientation val="minMax"/>
          <c:min val="41990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9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7236144"/>
        <c:crosses val="autoZero"/>
        <c:crossBetween val="midCat"/>
      </c:valAx>
      <c:valAx>
        <c:axId val="-34723614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47249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831050664121534E-2"/>
          <c:y val="0.86608439767813838"/>
          <c:w val="0.57100733317426233"/>
          <c:h val="0.110519476204714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Quarterly Corn Feed and Residual Use 1990- 2015</a:t>
            </a:r>
          </a:p>
        </c:rich>
      </c:tx>
      <c:layout>
        <c:manualLayout>
          <c:xMode val="edge"/>
          <c:yMode val="edge"/>
          <c:x val="0.2194793100190546"/>
          <c:y val="2.94511440936752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804552308827898E-2"/>
          <c:y val="2.9451144093675299E-2"/>
          <c:w val="0.81148284340866139"/>
          <c:h val="0.85542165626741218"/>
        </c:manualLayout>
      </c:layout>
      <c:scatterChart>
        <c:scatterStyle val="lineMarker"/>
        <c:varyColors val="0"/>
        <c:ser>
          <c:idx val="0"/>
          <c:order val="0"/>
          <c:tx>
            <c:strRef>
              <c:f>Seasonalilty!$C$2</c:f>
              <c:strCache>
                <c:ptCount val="1"/>
                <c:pt idx="0">
                  <c:v>Corn Feed and Resudual Use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Seasonalilty!$A$3:$A$101</c:f>
              <c:numCache>
                <c:formatCode>m/d/yyyy</c:formatCode>
                <c:ptCount val="99"/>
                <c:pt idx="0">
                  <c:v>33117</c:v>
                </c:pt>
                <c:pt idx="1">
                  <c:v>33208</c:v>
                </c:pt>
                <c:pt idx="2">
                  <c:v>33298</c:v>
                </c:pt>
                <c:pt idx="3">
                  <c:v>33390</c:v>
                </c:pt>
                <c:pt idx="4">
                  <c:v>33482</c:v>
                </c:pt>
                <c:pt idx="5">
                  <c:v>33573</c:v>
                </c:pt>
                <c:pt idx="6">
                  <c:v>33664</c:v>
                </c:pt>
                <c:pt idx="7">
                  <c:v>33756</c:v>
                </c:pt>
                <c:pt idx="8">
                  <c:v>33848</c:v>
                </c:pt>
                <c:pt idx="9">
                  <c:v>33939</c:v>
                </c:pt>
                <c:pt idx="10">
                  <c:v>34029</c:v>
                </c:pt>
                <c:pt idx="11">
                  <c:v>34121</c:v>
                </c:pt>
                <c:pt idx="12">
                  <c:v>34213</c:v>
                </c:pt>
                <c:pt idx="13">
                  <c:v>34304</c:v>
                </c:pt>
                <c:pt idx="14">
                  <c:v>34394</c:v>
                </c:pt>
                <c:pt idx="15">
                  <c:v>34486</c:v>
                </c:pt>
                <c:pt idx="16">
                  <c:v>34578</c:v>
                </c:pt>
                <c:pt idx="17">
                  <c:v>34669</c:v>
                </c:pt>
                <c:pt idx="18">
                  <c:v>34759</c:v>
                </c:pt>
                <c:pt idx="19">
                  <c:v>34851</c:v>
                </c:pt>
                <c:pt idx="20">
                  <c:v>34943</c:v>
                </c:pt>
                <c:pt idx="21">
                  <c:v>35034</c:v>
                </c:pt>
                <c:pt idx="22">
                  <c:v>35125</c:v>
                </c:pt>
                <c:pt idx="23">
                  <c:v>35217</c:v>
                </c:pt>
                <c:pt idx="24">
                  <c:v>35309</c:v>
                </c:pt>
                <c:pt idx="25">
                  <c:v>35400</c:v>
                </c:pt>
                <c:pt idx="26">
                  <c:v>35490</c:v>
                </c:pt>
                <c:pt idx="27">
                  <c:v>35582</c:v>
                </c:pt>
                <c:pt idx="28">
                  <c:v>35674</c:v>
                </c:pt>
                <c:pt idx="29">
                  <c:v>35765</c:v>
                </c:pt>
                <c:pt idx="30">
                  <c:v>35855</c:v>
                </c:pt>
                <c:pt idx="31">
                  <c:v>35947</c:v>
                </c:pt>
                <c:pt idx="32">
                  <c:v>36039</c:v>
                </c:pt>
                <c:pt idx="33">
                  <c:v>36130</c:v>
                </c:pt>
                <c:pt idx="34">
                  <c:v>36220</c:v>
                </c:pt>
                <c:pt idx="35">
                  <c:v>36312</c:v>
                </c:pt>
                <c:pt idx="36">
                  <c:v>36404</c:v>
                </c:pt>
                <c:pt idx="37">
                  <c:v>36495</c:v>
                </c:pt>
                <c:pt idx="38">
                  <c:v>36586</c:v>
                </c:pt>
                <c:pt idx="39">
                  <c:v>36678</c:v>
                </c:pt>
                <c:pt idx="40">
                  <c:v>36770</c:v>
                </c:pt>
                <c:pt idx="41">
                  <c:v>36861</c:v>
                </c:pt>
                <c:pt idx="42">
                  <c:v>36951</c:v>
                </c:pt>
                <c:pt idx="43">
                  <c:v>37043</c:v>
                </c:pt>
                <c:pt idx="44">
                  <c:v>37135</c:v>
                </c:pt>
                <c:pt idx="45">
                  <c:v>37226</c:v>
                </c:pt>
                <c:pt idx="46">
                  <c:v>37316</c:v>
                </c:pt>
                <c:pt idx="47">
                  <c:v>37408</c:v>
                </c:pt>
                <c:pt idx="48">
                  <c:v>37500</c:v>
                </c:pt>
                <c:pt idx="49">
                  <c:v>37591</c:v>
                </c:pt>
                <c:pt idx="50">
                  <c:v>37681</c:v>
                </c:pt>
                <c:pt idx="51">
                  <c:v>37773</c:v>
                </c:pt>
                <c:pt idx="52">
                  <c:v>37865</c:v>
                </c:pt>
                <c:pt idx="53">
                  <c:v>37956</c:v>
                </c:pt>
                <c:pt idx="54">
                  <c:v>38047</c:v>
                </c:pt>
                <c:pt idx="55">
                  <c:v>38139</c:v>
                </c:pt>
                <c:pt idx="56">
                  <c:v>38231</c:v>
                </c:pt>
                <c:pt idx="57">
                  <c:v>38322</c:v>
                </c:pt>
                <c:pt idx="58">
                  <c:v>38412</c:v>
                </c:pt>
                <c:pt idx="59">
                  <c:v>38504</c:v>
                </c:pt>
                <c:pt idx="60">
                  <c:v>38596</c:v>
                </c:pt>
                <c:pt idx="61">
                  <c:v>38687</c:v>
                </c:pt>
                <c:pt idx="62">
                  <c:v>38777</c:v>
                </c:pt>
                <c:pt idx="63">
                  <c:v>38869</c:v>
                </c:pt>
                <c:pt idx="64">
                  <c:v>38961</c:v>
                </c:pt>
                <c:pt idx="65">
                  <c:v>39052</c:v>
                </c:pt>
                <c:pt idx="66">
                  <c:v>39142</c:v>
                </c:pt>
                <c:pt idx="67">
                  <c:v>39234</c:v>
                </c:pt>
                <c:pt idx="68">
                  <c:v>39326</c:v>
                </c:pt>
                <c:pt idx="69">
                  <c:v>39417</c:v>
                </c:pt>
                <c:pt idx="70">
                  <c:v>39508</c:v>
                </c:pt>
                <c:pt idx="71">
                  <c:v>39600</c:v>
                </c:pt>
                <c:pt idx="72">
                  <c:v>39692</c:v>
                </c:pt>
                <c:pt idx="73">
                  <c:v>39783</c:v>
                </c:pt>
                <c:pt idx="74">
                  <c:v>39873</c:v>
                </c:pt>
                <c:pt idx="75">
                  <c:v>39965</c:v>
                </c:pt>
                <c:pt idx="76">
                  <c:v>40057</c:v>
                </c:pt>
                <c:pt idx="77">
                  <c:v>40148</c:v>
                </c:pt>
                <c:pt idx="78">
                  <c:v>40238</c:v>
                </c:pt>
                <c:pt idx="79">
                  <c:v>40330</c:v>
                </c:pt>
                <c:pt idx="80">
                  <c:v>40422</c:v>
                </c:pt>
                <c:pt idx="81">
                  <c:v>40513</c:v>
                </c:pt>
                <c:pt idx="82">
                  <c:v>40603</c:v>
                </c:pt>
                <c:pt idx="83">
                  <c:v>40695</c:v>
                </c:pt>
                <c:pt idx="84">
                  <c:v>40787</c:v>
                </c:pt>
                <c:pt idx="85">
                  <c:v>40878</c:v>
                </c:pt>
                <c:pt idx="86">
                  <c:v>40969</c:v>
                </c:pt>
                <c:pt idx="87">
                  <c:v>41061</c:v>
                </c:pt>
                <c:pt idx="88">
                  <c:v>41153</c:v>
                </c:pt>
                <c:pt idx="89">
                  <c:v>41244</c:v>
                </c:pt>
                <c:pt idx="90">
                  <c:v>41334</c:v>
                </c:pt>
                <c:pt idx="91">
                  <c:v>41426</c:v>
                </c:pt>
                <c:pt idx="92">
                  <c:v>41518</c:v>
                </c:pt>
                <c:pt idx="93">
                  <c:v>41609</c:v>
                </c:pt>
                <c:pt idx="94">
                  <c:v>41699</c:v>
                </c:pt>
                <c:pt idx="95">
                  <c:v>41791</c:v>
                </c:pt>
                <c:pt idx="96">
                  <c:v>41883</c:v>
                </c:pt>
                <c:pt idx="97">
                  <c:v>41974</c:v>
                </c:pt>
                <c:pt idx="98">
                  <c:v>42064</c:v>
                </c:pt>
              </c:numCache>
            </c:numRef>
          </c:xVal>
          <c:yVal>
            <c:numRef>
              <c:f>Seasonalilty!$C$3:$C$101</c:f>
              <c:numCache>
                <c:formatCode>[$-10409]#,##0;\-#,##0</c:formatCode>
                <c:ptCount val="99"/>
                <c:pt idx="0">
                  <c:v>1618.7439999999999</c:v>
                </c:pt>
                <c:pt idx="1">
                  <c:v>1351.049</c:v>
                </c:pt>
                <c:pt idx="2">
                  <c:v>960.02499999999998</c:v>
                </c:pt>
                <c:pt idx="3">
                  <c:v>679.08900000000006</c:v>
                </c:pt>
                <c:pt idx="4">
                  <c:v>1673.65</c:v>
                </c:pt>
                <c:pt idx="5">
                  <c:v>1266.825</c:v>
                </c:pt>
                <c:pt idx="6">
                  <c:v>1041.847</c:v>
                </c:pt>
                <c:pt idx="7">
                  <c:v>815.59100000000001</c:v>
                </c:pt>
                <c:pt idx="8">
                  <c:v>1814.316</c:v>
                </c:pt>
                <c:pt idx="9">
                  <c:v>1401.098</c:v>
                </c:pt>
                <c:pt idx="10">
                  <c:v>1145.7639999999999</c:v>
                </c:pt>
                <c:pt idx="11">
                  <c:v>890.91099999999994</c:v>
                </c:pt>
                <c:pt idx="12">
                  <c:v>1701.1790000000001</c:v>
                </c:pt>
                <c:pt idx="13">
                  <c:v>1239.9159999999999</c:v>
                </c:pt>
                <c:pt idx="14">
                  <c:v>949.50699999999995</c:v>
                </c:pt>
                <c:pt idx="15">
                  <c:v>789.24800000000005</c:v>
                </c:pt>
                <c:pt idx="16">
                  <c:v>1962.546</c:v>
                </c:pt>
                <c:pt idx="17">
                  <c:v>1491.634</c:v>
                </c:pt>
                <c:pt idx="18">
                  <c:v>1159.076</c:v>
                </c:pt>
                <c:pt idx="19">
                  <c:v>846.40499999999997</c:v>
                </c:pt>
                <c:pt idx="20">
                  <c:v>1778.124</c:v>
                </c:pt>
                <c:pt idx="21">
                  <c:v>1343.51</c:v>
                </c:pt>
                <c:pt idx="22">
                  <c:v>1044.0050000000001</c:v>
                </c:pt>
                <c:pt idx="23">
                  <c:v>526.846</c:v>
                </c:pt>
                <c:pt idx="24">
                  <c:v>1884.5070000000001</c:v>
                </c:pt>
                <c:pt idx="25">
                  <c:v>1486.1769999999999</c:v>
                </c:pt>
                <c:pt idx="26">
                  <c:v>1097.4090000000001</c:v>
                </c:pt>
                <c:pt idx="27">
                  <c:v>808.95699999999999</c:v>
                </c:pt>
                <c:pt idx="28">
                  <c:v>2026.623</c:v>
                </c:pt>
                <c:pt idx="29">
                  <c:v>1494.932</c:v>
                </c:pt>
                <c:pt idx="30">
                  <c:v>1074.2550000000001</c:v>
                </c:pt>
                <c:pt idx="31">
                  <c:v>854.66399999999999</c:v>
                </c:pt>
                <c:pt idx="32">
                  <c:v>2118.172</c:v>
                </c:pt>
                <c:pt idx="33">
                  <c:v>1453.0029999999999</c:v>
                </c:pt>
                <c:pt idx="34">
                  <c:v>1091.693</c:v>
                </c:pt>
                <c:pt idx="35">
                  <c:v>789.52700000000004</c:v>
                </c:pt>
                <c:pt idx="36">
                  <c:v>2183.0320000000002</c:v>
                </c:pt>
                <c:pt idx="37">
                  <c:v>1521.742</c:v>
                </c:pt>
                <c:pt idx="38">
                  <c:v>1050.174</c:v>
                </c:pt>
                <c:pt idx="39">
                  <c:v>887.81700000000001</c:v>
                </c:pt>
                <c:pt idx="40">
                  <c:v>2125.163</c:v>
                </c:pt>
                <c:pt idx="41">
                  <c:v>1601.9659999999999</c:v>
                </c:pt>
                <c:pt idx="42">
                  <c:v>1147.7529999999999</c:v>
                </c:pt>
                <c:pt idx="43">
                  <c:v>947.17200000000003</c:v>
                </c:pt>
                <c:pt idx="44">
                  <c:v>2194.268</c:v>
                </c:pt>
                <c:pt idx="45">
                  <c:v>1537.61</c:v>
                </c:pt>
                <c:pt idx="46">
                  <c:v>1162.953</c:v>
                </c:pt>
                <c:pt idx="47">
                  <c:v>953.91600000000005</c:v>
                </c:pt>
                <c:pt idx="48">
                  <c:v>1982.5630000000001</c:v>
                </c:pt>
                <c:pt idx="49">
                  <c:v>1554.296</c:v>
                </c:pt>
                <c:pt idx="50">
                  <c:v>1137.2170000000001</c:v>
                </c:pt>
                <c:pt idx="51">
                  <c:v>874.23599999999999</c:v>
                </c:pt>
                <c:pt idx="52">
                  <c:v>2160.4839999999999</c:v>
                </c:pt>
                <c:pt idx="53">
                  <c:v>1569.345</c:v>
                </c:pt>
                <c:pt idx="54">
                  <c:v>1162.4590000000001</c:v>
                </c:pt>
                <c:pt idx="55">
                  <c:v>888.952</c:v>
                </c:pt>
                <c:pt idx="56">
                  <c:v>2168.6590000000001</c:v>
                </c:pt>
                <c:pt idx="57">
                  <c:v>1618.961</c:v>
                </c:pt>
                <c:pt idx="58">
                  <c:v>1304.6469999999999</c:v>
                </c:pt>
                <c:pt idx="59">
                  <c:v>1042.808</c:v>
                </c:pt>
                <c:pt idx="60">
                  <c:v>2229.9229999999998</c:v>
                </c:pt>
                <c:pt idx="61">
                  <c:v>1639.028</c:v>
                </c:pt>
                <c:pt idx="62">
                  <c:v>1283.165</c:v>
                </c:pt>
                <c:pt idx="63">
                  <c:v>962.94600000000003</c:v>
                </c:pt>
                <c:pt idx="64">
                  <c:v>2159.36</c:v>
                </c:pt>
                <c:pt idx="65">
                  <c:v>1521.752</c:v>
                </c:pt>
                <c:pt idx="66">
                  <c:v>1113.106</c:v>
                </c:pt>
                <c:pt idx="67">
                  <c:v>745.91399999999999</c:v>
                </c:pt>
                <c:pt idx="68">
                  <c:v>2386.7600000000002</c:v>
                </c:pt>
                <c:pt idx="69">
                  <c:v>1734.1130000000001</c:v>
                </c:pt>
                <c:pt idx="70">
                  <c:v>1068.799</c:v>
                </c:pt>
                <c:pt idx="71">
                  <c:v>668.06799999999998</c:v>
                </c:pt>
                <c:pt idx="72">
                  <c:v>1930.03</c:v>
                </c:pt>
                <c:pt idx="73">
                  <c:v>1572.89</c:v>
                </c:pt>
                <c:pt idx="74">
                  <c:v>946.82100000000003</c:v>
                </c:pt>
                <c:pt idx="75">
                  <c:v>683.66899999999998</c:v>
                </c:pt>
                <c:pt idx="76">
                  <c:v>1990.077</c:v>
                </c:pt>
                <c:pt idx="77">
                  <c:v>1341.241</c:v>
                </c:pt>
                <c:pt idx="78">
                  <c:v>1273.3630000000001</c:v>
                </c:pt>
                <c:pt idx="79">
                  <c:v>496.31299999999999</c:v>
                </c:pt>
                <c:pt idx="80">
                  <c:v>2047.327</c:v>
                </c:pt>
                <c:pt idx="81">
                  <c:v>1562.4159999999999</c:v>
                </c:pt>
                <c:pt idx="82">
                  <c:v>714.93799999999999</c:v>
                </c:pt>
                <c:pt idx="83">
                  <c:v>452.01299999999998</c:v>
                </c:pt>
                <c:pt idx="84">
                  <c:v>1781.86</c:v>
                </c:pt>
                <c:pt idx="85">
                  <c:v>1546.1949999999999</c:v>
                </c:pt>
                <c:pt idx="86">
                  <c:v>861.99199999999996</c:v>
                </c:pt>
                <c:pt idx="87">
                  <c:v>328.48099999999999</c:v>
                </c:pt>
                <c:pt idx="88">
                  <c:v>2059.6979999999999</c:v>
                </c:pt>
                <c:pt idx="89">
                  <c:v>1087.335</c:v>
                </c:pt>
                <c:pt idx="90">
                  <c:v>920.66700000000003</c:v>
                </c:pt>
                <c:pt idx="91">
                  <c:v>247.31700000000001</c:v>
                </c:pt>
                <c:pt idx="92">
                  <c:v>2311.9369999999999</c:v>
                </c:pt>
                <c:pt idx="93">
                  <c:v>1458.8130000000001</c:v>
                </c:pt>
                <c:pt idx="94">
                  <c:v>864.81200000000001</c:v>
                </c:pt>
                <c:pt idx="95">
                  <c:v>405.04399999999998</c:v>
                </c:pt>
                <c:pt idx="96">
                  <c:v>2229.7579999999998</c:v>
                </c:pt>
                <c:pt idx="97">
                  <c:v>1437.8510000000001</c:v>
                </c:pt>
                <c:pt idx="98">
                  <c:v>1117.25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Seasonalilty!$I$2</c:f>
              <c:strCache>
                <c:ptCount val="1"/>
                <c:pt idx="0">
                  <c:v>Forecasts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Seasonalilty!$A$102:$A$113</c:f>
              <c:numCache>
                <c:formatCode>m/d/yyyy</c:formatCode>
                <c:ptCount val="12"/>
                <c:pt idx="0">
                  <c:v>42156</c:v>
                </c:pt>
                <c:pt idx="1">
                  <c:v>42248</c:v>
                </c:pt>
                <c:pt idx="2">
                  <c:v>42339</c:v>
                </c:pt>
                <c:pt idx="3">
                  <c:v>42430</c:v>
                </c:pt>
                <c:pt idx="4">
                  <c:v>42522</c:v>
                </c:pt>
                <c:pt idx="5">
                  <c:v>42614</c:v>
                </c:pt>
                <c:pt idx="6">
                  <c:v>42705</c:v>
                </c:pt>
                <c:pt idx="7">
                  <c:v>42795</c:v>
                </c:pt>
                <c:pt idx="8">
                  <c:v>42887</c:v>
                </c:pt>
                <c:pt idx="9">
                  <c:v>42979</c:v>
                </c:pt>
                <c:pt idx="10">
                  <c:v>43070</c:v>
                </c:pt>
                <c:pt idx="11">
                  <c:v>43160</c:v>
                </c:pt>
              </c:numCache>
            </c:numRef>
          </c:xVal>
          <c:yVal>
            <c:numRef>
              <c:f>Seasonalilty!$I$102:$I$113</c:f>
              <c:numCache>
                <c:formatCode>General</c:formatCode>
                <c:ptCount val="12"/>
                <c:pt idx="0">
                  <c:v>905.77440971349597</c:v>
                </c:pt>
                <c:pt idx="1">
                  <c:v>59.301299591949359</c:v>
                </c:pt>
                <c:pt idx="2">
                  <c:v>1848.4733945310477</c:v>
                </c:pt>
                <c:pt idx="3">
                  <c:v>1092.7149662674728</c:v>
                </c:pt>
                <c:pt idx="4">
                  <c:v>601.82848074724757</c:v>
                </c:pt>
                <c:pt idx="5">
                  <c:v>-214.28829005799213</c:v>
                </c:pt>
                <c:pt idx="6">
                  <c:v>1568.3049445646843</c:v>
                </c:pt>
                <c:pt idx="7">
                  <c:v>843.47426099256086</c:v>
                </c:pt>
                <c:pt idx="8">
                  <c:v>385.09346176304746</c:v>
                </c:pt>
                <c:pt idx="9">
                  <c:v>-406.71389064257983</c:v>
                </c:pt>
                <c:pt idx="10">
                  <c:v>1363.2939788951901</c:v>
                </c:pt>
                <c:pt idx="11">
                  <c:v>663.24867821374198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73550752"/>
        <c:axId val="-1673554560"/>
      </c:scatterChart>
      <c:valAx>
        <c:axId val="-1673550752"/>
        <c:scaling>
          <c:orientation val="minMax"/>
          <c:min val="32000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3554560"/>
        <c:crosses val="autoZero"/>
        <c:crossBetween val="midCat"/>
      </c:valAx>
      <c:valAx>
        <c:axId val="-1673554560"/>
        <c:scaling>
          <c:orientation val="minMax"/>
        </c:scaling>
        <c:delete val="0"/>
        <c:axPos val="l"/>
        <c:numFmt formatCode="[$-10409]#,##0;\-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3550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103643198295096"/>
          <c:y val="0.86981223999667745"/>
          <c:w val="0.75901254039330968"/>
          <c:h val="9.036209728406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66674</xdr:colOff>
      <xdr:row>2</xdr:row>
      <xdr:rowOff>114300</xdr:rowOff>
    </xdr:from>
    <xdr:to>
      <xdr:col>18</xdr:col>
      <xdr:colOff>266699</xdr:colOff>
      <xdr:row>27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114299</xdr:colOff>
      <xdr:row>30</xdr:row>
      <xdr:rowOff>9524</xdr:rowOff>
    </xdr:from>
    <xdr:to>
      <xdr:col>19</xdr:col>
      <xdr:colOff>761999</xdr:colOff>
      <xdr:row>52</xdr:row>
      <xdr:rowOff>38099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447674</xdr:colOff>
      <xdr:row>6</xdr:row>
      <xdr:rowOff>247650</xdr:rowOff>
    </xdr:from>
    <xdr:to>
      <xdr:col>11</xdr:col>
      <xdr:colOff>114300</xdr:colOff>
      <xdr:row>19</xdr:row>
      <xdr:rowOff>38099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eedGrains_Cor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GYearbookTable04"/>
      <sheetName val="Figures"/>
    </sheetNames>
    <sheetDataSet>
      <sheetData sheetId="0">
        <row r="1">
          <cell r="H1" t="str">
            <v>Food, alcohol, and industrial use</v>
          </cell>
          <cell r="J1" t="str">
            <v>Feed and residual use</v>
          </cell>
          <cell r="L1" t="str">
            <v>Exports</v>
          </cell>
          <cell r="P1" t="str">
            <v>Food, alcohol, and industrial use</v>
          </cell>
          <cell r="R1" t="str">
            <v>Feed and residual use</v>
          </cell>
          <cell r="T1" t="str">
            <v>Exports</v>
          </cell>
        </row>
        <row r="2">
          <cell r="B2">
            <v>33117</v>
          </cell>
          <cell r="H2">
            <v>337.53199999999998</v>
          </cell>
          <cell r="J2">
            <v>1618.7439999999999</v>
          </cell>
          <cell r="L2">
            <v>382.80500000000001</v>
          </cell>
          <cell r="P2">
            <v>4.2542325285466594E-2</v>
          </cell>
          <cell r="R2">
            <v>0.17444546343124584</v>
          </cell>
          <cell r="T2">
            <v>4.1253339396963372E-2</v>
          </cell>
        </row>
        <row r="3">
          <cell r="B3">
            <v>33208</v>
          </cell>
          <cell r="H3">
            <v>329.87200000000001</v>
          </cell>
          <cell r="J3">
            <v>1351.049</v>
          </cell>
          <cell r="L3">
            <v>470.66899999999998</v>
          </cell>
          <cell r="P3">
            <v>4.1576863605724608E-2</v>
          </cell>
          <cell r="R3">
            <v>0.19465982879777494</v>
          </cell>
          <cell r="T3">
            <v>6.781422950642052E-2</v>
          </cell>
        </row>
        <row r="4">
          <cell r="B4">
            <v>33298</v>
          </cell>
          <cell r="H4">
            <v>366.43700000000001</v>
          </cell>
          <cell r="J4">
            <v>960.02499999999998</v>
          </cell>
          <cell r="L4">
            <v>453.738</v>
          </cell>
          <cell r="P4">
            <v>4.6185493673579173E-2</v>
          </cell>
          <cell r="R4">
            <v>0.2004329238414391</v>
          </cell>
          <cell r="T4">
            <v>9.4730901797314554E-2</v>
          </cell>
        </row>
        <row r="5">
          <cell r="B5">
            <v>33390</v>
          </cell>
          <cell r="H5">
            <v>371.976</v>
          </cell>
          <cell r="J5">
            <v>679.08900000000006</v>
          </cell>
          <cell r="L5">
            <v>419.41899999999998</v>
          </cell>
          <cell r="P5">
            <v>4.6883625820327325E-2</v>
          </cell>
          <cell r="R5">
            <v>0.22685989879833462</v>
          </cell>
          <cell r="T5">
            <v>0.14011322800707815</v>
          </cell>
        </row>
        <row r="6">
          <cell r="B6">
            <v>33482</v>
          </cell>
          <cell r="H6">
            <v>1405.817</v>
          </cell>
          <cell r="J6">
            <v>4608.9070000000002</v>
          </cell>
          <cell r="L6">
            <v>1726.6309999999999</v>
          </cell>
          <cell r="P6">
            <v>0.17718830838509769</v>
          </cell>
          <cell r="R6">
            <v>0.49654779732597853</v>
          </cell>
          <cell r="T6">
            <v>0.18602128874476132</v>
          </cell>
        </row>
        <row r="7">
          <cell r="B7">
            <v>33482</v>
          </cell>
          <cell r="H7">
            <v>360.45100000000002</v>
          </cell>
          <cell r="J7">
            <v>1673.65</v>
          </cell>
          <cell r="L7">
            <v>421.07400000000001</v>
          </cell>
          <cell r="P7">
            <v>4.8222385586704067E-2</v>
          </cell>
          <cell r="R7">
            <v>0.18590965544980828</v>
          </cell>
          <cell r="T7">
            <v>4.6773054257982595E-2</v>
          </cell>
        </row>
        <row r="8">
          <cell r="B8">
            <v>33573</v>
          </cell>
          <cell r="H8">
            <v>362.22199999999998</v>
          </cell>
          <cell r="J8">
            <v>1266.825</v>
          </cell>
          <cell r="L8">
            <v>361.68900000000002</v>
          </cell>
          <cell r="P8">
            <v>4.8459316112279112E-2</v>
          </cell>
          <cell r="R8">
            <v>0.19335759260811017</v>
          </cell>
          <cell r="T8">
            <v>5.5205189598275028E-2</v>
          </cell>
        </row>
        <row r="9">
          <cell r="B9">
            <v>33664</v>
          </cell>
          <cell r="H9">
            <v>394.63299999999998</v>
          </cell>
          <cell r="J9">
            <v>1041.847</v>
          </cell>
          <cell r="L9">
            <v>371.45800000000003</v>
          </cell>
          <cell r="P9">
            <v>5.2795372162201752E-2</v>
          </cell>
          <cell r="R9">
            <v>0.2281555513557868</v>
          </cell>
          <cell r="T9">
            <v>8.1346113964447617E-2</v>
          </cell>
        </row>
        <row r="10">
          <cell r="B10">
            <v>33756</v>
          </cell>
          <cell r="H10">
            <v>396</v>
          </cell>
          <cell r="J10">
            <v>815.59100000000001</v>
          </cell>
          <cell r="L10">
            <v>429.69600000000003</v>
          </cell>
          <cell r="P10">
            <v>5.2978254165850031E-2</v>
          </cell>
          <cell r="R10">
            <v>0.29745490167759703</v>
          </cell>
          <cell r="T10">
            <v>0.15671480120704709</v>
          </cell>
        </row>
        <row r="11">
          <cell r="B11">
            <v>33848</v>
          </cell>
          <cell r="H11">
            <v>1513.306</v>
          </cell>
          <cell r="J11">
            <v>4797.9130000000005</v>
          </cell>
          <cell r="L11">
            <v>1583.9169999999999</v>
          </cell>
          <cell r="P11">
            <v>0.20245532802703495</v>
          </cell>
          <cell r="R11">
            <v>0.53217622650931207</v>
          </cell>
          <cell r="T11">
            <v>0.1756853390555331</v>
          </cell>
        </row>
        <row r="12">
          <cell r="B12">
            <v>33848</v>
          </cell>
          <cell r="H12">
            <v>370.07400000000001</v>
          </cell>
          <cell r="J12">
            <v>1814.316</v>
          </cell>
          <cell r="L12">
            <v>487.51400000000001</v>
          </cell>
          <cell r="P12">
            <v>3.9050943693678959E-2</v>
          </cell>
          <cell r="R12">
            <v>0.17151353808709877</v>
          </cell>
          <cell r="T12">
            <v>4.608637690842933E-2</v>
          </cell>
        </row>
        <row r="13">
          <cell r="B13">
            <v>33939</v>
          </cell>
          <cell r="H13">
            <v>365.04700000000003</v>
          </cell>
          <cell r="J13">
            <v>1401.098</v>
          </cell>
          <cell r="L13">
            <v>463.04199999999997</v>
          </cell>
          <cell r="P13">
            <v>3.8520484666705643E-2</v>
          </cell>
          <cell r="R13">
            <v>0.17718815863920917</v>
          </cell>
          <cell r="T13">
            <v>5.8558044728217934E-2</v>
          </cell>
        </row>
        <row r="14">
          <cell r="B14">
            <v>34029</v>
          </cell>
          <cell r="H14">
            <v>397.31599999999997</v>
          </cell>
          <cell r="J14">
            <v>1145.7639999999999</v>
          </cell>
          <cell r="L14">
            <v>411.291</v>
          </cell>
          <cell r="P14">
            <v>4.1925573654452208E-2</v>
          </cell>
          <cell r="R14">
            <v>0.20171141439389431</v>
          </cell>
          <cell r="T14">
            <v>7.2407659288892992E-2</v>
          </cell>
        </row>
        <row r="15">
          <cell r="B15">
            <v>34121</v>
          </cell>
          <cell r="H15">
            <v>404.61500000000001</v>
          </cell>
          <cell r="J15">
            <v>890.91099999999994</v>
          </cell>
          <cell r="L15">
            <v>301.43099999999998</v>
          </cell>
          <cell r="P15">
            <v>4.2695778635132194E-2</v>
          </cell>
          <cell r="R15">
            <v>0.23999296381320376</v>
          </cell>
          <cell r="T15">
            <v>8.1199265779834148E-2</v>
          </cell>
        </row>
        <row r="16">
          <cell r="B16">
            <v>34213</v>
          </cell>
          <cell r="H16">
            <v>1537.0520000000001</v>
          </cell>
          <cell r="J16">
            <v>5252.0889999999999</v>
          </cell>
          <cell r="L16">
            <v>1663.278</v>
          </cell>
          <cell r="P16">
            <v>0.162192780649969</v>
          </cell>
          <cell r="R16">
            <v>0.49622443098610175</v>
          </cell>
          <cell r="T16">
            <v>0.15714874198089587</v>
          </cell>
        </row>
        <row r="17">
          <cell r="B17">
            <v>34213</v>
          </cell>
          <cell r="H17">
            <v>382.78300000000002</v>
          </cell>
          <cell r="J17">
            <v>1701.1790000000001</v>
          </cell>
          <cell r="L17">
            <v>435.41</v>
          </cell>
          <cell r="P17">
            <v>6.0397492477590561E-2</v>
          </cell>
          <cell r="R17">
            <v>0.20118201212878078</v>
          </cell>
          <cell r="T17">
            <v>5.1491735967227698E-2</v>
          </cell>
        </row>
        <row r="18">
          <cell r="B18">
            <v>34304</v>
          </cell>
          <cell r="H18">
            <v>378.87700000000001</v>
          </cell>
          <cell r="J18">
            <v>1239.9159999999999</v>
          </cell>
          <cell r="L18">
            <v>329.995</v>
          </cell>
          <cell r="P18">
            <v>5.9781183483676337E-2</v>
          </cell>
          <cell r="R18">
            <v>0.20858198045858173</v>
          </cell>
          <cell r="T18">
            <v>5.5512640083223125E-2</v>
          </cell>
        </row>
        <row r="19">
          <cell r="B19">
            <v>34394</v>
          </cell>
          <cell r="H19">
            <v>403.25099999999998</v>
          </cell>
          <cell r="J19">
            <v>949.50699999999995</v>
          </cell>
          <cell r="L19">
            <v>269.84899999999999</v>
          </cell>
          <cell r="P19">
            <v>6.3627039965413482E-2</v>
          </cell>
          <cell r="R19">
            <v>0.23725883236031692</v>
          </cell>
          <cell r="T19">
            <v>6.7428737917255122E-2</v>
          </cell>
        </row>
        <row r="20">
          <cell r="B20">
            <v>34486</v>
          </cell>
          <cell r="H20">
            <v>428.2</v>
          </cell>
          <cell r="J20">
            <v>789.24800000000005</v>
          </cell>
          <cell r="L20">
            <v>293.06799999999998</v>
          </cell>
          <cell r="P20">
            <v>6.7563622937550194E-2</v>
          </cell>
          <cell r="R20">
            <v>0.33424880540423563</v>
          </cell>
          <cell r="T20">
            <v>0.12411514365853131</v>
          </cell>
        </row>
        <row r="21">
          <cell r="B21">
            <v>34578</v>
          </cell>
          <cell r="H21">
            <v>1593.1110000000001</v>
          </cell>
          <cell r="J21">
            <v>4679.8500000000004</v>
          </cell>
          <cell r="L21">
            <v>1328.3219999999999</v>
          </cell>
          <cell r="P21">
            <v>0.25136933886423063</v>
          </cell>
          <cell r="R21">
            <v>0.55242113404361859</v>
          </cell>
          <cell r="T21">
            <v>0.15679843277350503</v>
          </cell>
        </row>
        <row r="22">
          <cell r="B22">
            <v>34578</v>
          </cell>
          <cell r="H22">
            <v>410.39299999999997</v>
          </cell>
          <cell r="J22">
            <v>1962.546</v>
          </cell>
          <cell r="L22">
            <v>449.30399999999997</v>
          </cell>
          <cell r="P22">
            <v>4.0833011625269137E-2</v>
          </cell>
          <cell r="R22">
            <v>0.18000512349070963</v>
          </cell>
          <cell r="T22">
            <v>4.1210255456366265E-2</v>
          </cell>
        </row>
        <row r="23">
          <cell r="B23">
            <v>34669</v>
          </cell>
          <cell r="H23">
            <v>410.45699999999999</v>
          </cell>
          <cell r="J23">
            <v>1491.634</v>
          </cell>
          <cell r="L23">
            <v>590.43499999999995</v>
          </cell>
          <cell r="P23">
            <v>4.0839379454993371E-2</v>
          </cell>
          <cell r="R23">
            <v>0.1845118248281003</v>
          </cell>
          <cell r="T23">
            <v>7.3035502872942956E-2</v>
          </cell>
        </row>
        <row r="24">
          <cell r="B24">
            <v>34759</v>
          </cell>
          <cell r="H24">
            <v>437.86200000000002</v>
          </cell>
          <cell r="J24">
            <v>1159.076</v>
          </cell>
          <cell r="L24">
            <v>568.16200000000003</v>
          </cell>
          <cell r="P24">
            <v>4.3566104042377908E-2</v>
          </cell>
          <cell r="R24">
            <v>0.20717408059347639</v>
          </cell>
          <cell r="T24">
            <v>0.10155368584816762</v>
          </cell>
        </row>
        <row r="25">
          <cell r="B25">
            <v>34851</v>
          </cell>
          <cell r="H25">
            <v>438.22500000000002</v>
          </cell>
          <cell r="J25">
            <v>846.40499999999997</v>
          </cell>
          <cell r="L25">
            <v>569.58100000000002</v>
          </cell>
          <cell r="P25">
            <v>4.3602221576595039E-2</v>
          </cell>
          <cell r="R25">
            <v>0.24780195634741367</v>
          </cell>
          <cell r="T25">
            <v>0.16675620547883843</v>
          </cell>
        </row>
        <row r="26">
          <cell r="B26">
            <v>34943</v>
          </cell>
          <cell r="H26">
            <v>1696.9369999999999</v>
          </cell>
          <cell r="J26">
            <v>5459.6610000000001</v>
          </cell>
          <cell r="L26">
            <v>2177.482</v>
          </cell>
          <cell r="P26">
            <v>0.16884071669923545</v>
          </cell>
          <cell r="R26">
            <v>0.50041713182685599</v>
          </cell>
          <cell r="T26">
            <v>0.19958185994416244</v>
          </cell>
        </row>
        <row r="27">
          <cell r="B27">
            <v>34943</v>
          </cell>
          <cell r="H27">
            <v>417.22</v>
          </cell>
          <cell r="J27">
            <v>1778.124</v>
          </cell>
          <cell r="L27">
            <v>660.42100000000005</v>
          </cell>
          <cell r="P27">
            <v>5.6380692511443502E-2</v>
          </cell>
          <cell r="R27">
            <v>0.19841725846419905</v>
          </cell>
          <cell r="T27">
            <v>7.369504278227211E-2</v>
          </cell>
        </row>
        <row r="28">
          <cell r="B28">
            <v>35034</v>
          </cell>
          <cell r="H28">
            <v>405.50400000000002</v>
          </cell>
          <cell r="J28">
            <v>1343.51</v>
          </cell>
          <cell r="L28">
            <v>562.18100000000004</v>
          </cell>
          <cell r="P28">
            <v>5.479746017966633E-2</v>
          </cell>
          <cell r="R28">
            <v>0.21986058635162767</v>
          </cell>
          <cell r="T28">
            <v>9.19989016053058E-2</v>
          </cell>
        </row>
        <row r="29">
          <cell r="B29">
            <v>35125</v>
          </cell>
          <cell r="H29">
            <v>415.39299999999997</v>
          </cell>
          <cell r="J29">
            <v>1044.0050000000001</v>
          </cell>
          <cell r="L29">
            <v>609.72</v>
          </cell>
          <cell r="P29">
            <v>5.6133802321092108E-2</v>
          </cell>
          <cell r="R29">
            <v>0.27440865087527794</v>
          </cell>
          <cell r="T29">
            <v>0.1602601928263509</v>
          </cell>
        </row>
        <row r="30">
          <cell r="B30">
            <v>35217</v>
          </cell>
          <cell r="H30">
            <v>369.863</v>
          </cell>
          <cell r="J30">
            <v>526.846</v>
          </cell>
          <cell r="L30">
            <v>395.50200000000001</v>
          </cell>
          <cell r="P30">
            <v>4.9981142021859035E-2</v>
          </cell>
          <cell r="R30">
            <v>0.30617248651604623</v>
          </cell>
          <cell r="T30">
            <v>0.22984293467553954</v>
          </cell>
        </row>
        <row r="31">
          <cell r="B31">
            <v>35309</v>
          </cell>
          <cell r="H31">
            <v>1607.98</v>
          </cell>
          <cell r="J31">
            <v>4692.4850000000006</v>
          </cell>
          <cell r="L31">
            <v>2227.8240000000001</v>
          </cell>
          <cell r="P31">
            <v>0.21729309703406097</v>
          </cell>
          <cell r="R31">
            <v>0.52287579150332208</v>
          </cell>
          <cell r="T31">
            <v>0.24824271943972048</v>
          </cell>
        </row>
        <row r="32">
          <cell r="B32">
            <v>35309</v>
          </cell>
          <cell r="H32">
            <v>387.92500000000001</v>
          </cell>
          <cell r="J32">
            <v>1884.5070000000001</v>
          </cell>
          <cell r="L32">
            <v>486.53100000000001</v>
          </cell>
          <cell r="P32">
            <v>4.2017070677169928E-2</v>
          </cell>
          <cell r="R32">
            <v>0.19504443053189022</v>
          </cell>
          <cell r="T32">
            <v>5.0355430800262918E-2</v>
          </cell>
        </row>
        <row r="33">
          <cell r="B33">
            <v>35400</v>
          </cell>
          <cell r="H33">
            <v>400.30099999999999</v>
          </cell>
          <cell r="J33">
            <v>1486.1769999999999</v>
          </cell>
          <cell r="L33">
            <v>524.71799999999996</v>
          </cell>
          <cell r="P33">
            <v>4.3357544394256105E-2</v>
          </cell>
          <cell r="R33">
            <v>0.21522190703868491</v>
          </cell>
          <cell r="T33">
            <v>7.5987455476383137E-2</v>
          </cell>
        </row>
        <row r="34">
          <cell r="B34">
            <v>35490</v>
          </cell>
          <cell r="H34">
            <v>451.315</v>
          </cell>
          <cell r="J34">
            <v>1097.4090000000001</v>
          </cell>
          <cell r="L34">
            <v>432.858</v>
          </cell>
          <cell r="P34">
            <v>4.8882990920066885E-2</v>
          </cell>
          <cell r="R34">
            <v>0.24398540012588249</v>
          </cell>
          <cell r="T34">
            <v>9.6236710586198246E-2</v>
          </cell>
        </row>
        <row r="35">
          <cell r="B35">
            <v>35582</v>
          </cell>
          <cell r="H35">
            <v>454.38</v>
          </cell>
          <cell r="J35">
            <v>808.95699999999999</v>
          </cell>
          <cell r="L35">
            <v>353.262</v>
          </cell>
          <cell r="P35">
            <v>4.921496829101623E-2</v>
          </cell>
          <cell r="R35">
            <v>0.32354345711561472</v>
          </cell>
          <cell r="T35">
            <v>0.14128761942547785</v>
          </cell>
        </row>
        <row r="36">
          <cell r="B36">
            <v>35674</v>
          </cell>
          <cell r="H36">
            <v>1693.9209999999998</v>
          </cell>
          <cell r="J36">
            <v>5277.0500000000011</v>
          </cell>
          <cell r="L36">
            <v>1797.3689999999999</v>
          </cell>
          <cell r="P36">
            <v>0.18347257428250913</v>
          </cell>
          <cell r="R36">
            <v>0.54561424187531549</v>
          </cell>
          <cell r="T36">
            <v>0.18583680736494701</v>
          </cell>
        </row>
        <row r="37">
          <cell r="B37">
            <v>35674</v>
          </cell>
          <cell r="H37">
            <v>438.73200000000003</v>
          </cell>
          <cell r="J37">
            <v>2026.623</v>
          </cell>
          <cell r="L37">
            <v>380.08699999999999</v>
          </cell>
          <cell r="P37">
            <v>4.7652873431382262E-2</v>
          </cell>
          <cell r="R37">
            <v>0.20081086399612849</v>
          </cell>
          <cell r="T37">
            <v>3.7661468790049502E-2</v>
          </cell>
        </row>
        <row r="38">
          <cell r="B38">
            <v>35765</v>
          </cell>
          <cell r="H38">
            <v>433.01100000000002</v>
          </cell>
          <cell r="J38">
            <v>1494.932</v>
          </cell>
          <cell r="L38">
            <v>379.90100000000001</v>
          </cell>
          <cell r="P38">
            <v>4.7031487052223826E-2</v>
          </cell>
          <cell r="R38">
            <v>0.20626175711000749</v>
          </cell>
          <cell r="T38">
            <v>5.2416462948046437E-2</v>
          </cell>
        </row>
        <row r="39">
          <cell r="B39">
            <v>35855</v>
          </cell>
          <cell r="H39">
            <v>459.42599999999999</v>
          </cell>
          <cell r="J39">
            <v>1074.2550000000001</v>
          </cell>
          <cell r="L39">
            <v>350.322</v>
          </cell>
          <cell r="P39">
            <v>4.9900552111736149E-2</v>
          </cell>
          <cell r="R39">
            <v>0.21730634438520849</v>
          </cell>
          <cell r="T39">
            <v>7.0865104819353875E-2</v>
          </cell>
        </row>
        <row r="40">
          <cell r="B40">
            <v>35947</v>
          </cell>
          <cell r="H40">
            <v>484.50900000000001</v>
          </cell>
          <cell r="J40">
            <v>854.66399999999999</v>
          </cell>
          <cell r="L40">
            <v>394.11599999999999</v>
          </cell>
          <cell r="P40">
            <v>5.2624941999593347E-2</v>
          </cell>
          <cell r="R40">
            <v>0.28097597154813531</v>
          </cell>
          <cell r="T40">
            <v>0.12956802439632989</v>
          </cell>
        </row>
        <row r="41">
          <cell r="B41">
            <v>36039</v>
          </cell>
          <cell r="H41">
            <v>1815.6780000000001</v>
          </cell>
          <cell r="J41">
            <v>5450.4740000000002</v>
          </cell>
          <cell r="L41">
            <v>1504.4259999999999</v>
          </cell>
          <cell r="P41">
            <v>0.19720985459493559</v>
          </cell>
          <cell r="R41">
            <v>0.53971485531503094</v>
          </cell>
          <cell r="T41">
            <v>0.14897072455022639</v>
          </cell>
        </row>
        <row r="42">
          <cell r="B42">
            <v>36039</v>
          </cell>
          <cell r="H42">
            <v>450.27600000000001</v>
          </cell>
          <cell r="J42">
            <v>2118.172</v>
          </cell>
          <cell r="L42">
            <v>450.21899999999999</v>
          </cell>
          <cell r="P42">
            <v>4.614105281603003E-2</v>
          </cell>
          <cell r="R42">
            <v>0.19133458404321463</v>
          </cell>
          <cell r="T42">
            <v>4.0668305073125341E-2</v>
          </cell>
        </row>
        <row r="43">
          <cell r="B43">
            <v>36130</v>
          </cell>
          <cell r="H43">
            <v>441.04899999999998</v>
          </cell>
          <cell r="J43">
            <v>1453.0029999999999</v>
          </cell>
          <cell r="L43">
            <v>465.08199999999999</v>
          </cell>
          <cell r="P43">
            <v>4.5195536078887676E-2</v>
          </cell>
          <cell r="R43">
            <v>0.18032787088700031</v>
          </cell>
          <cell r="T43">
            <v>5.771994059741644E-2</v>
          </cell>
        </row>
        <row r="44">
          <cell r="B44">
            <v>36220</v>
          </cell>
          <cell r="H44">
            <v>481.49</v>
          </cell>
          <cell r="J44">
            <v>1091.693</v>
          </cell>
          <cell r="L44">
            <v>497.35300000000001</v>
          </cell>
          <cell r="P44">
            <v>4.933963951085623E-2</v>
          </cell>
          <cell r="R44">
            <v>0.19133499472366317</v>
          </cell>
          <cell r="T44">
            <v>8.7168309800280883E-2</v>
          </cell>
        </row>
        <row r="45">
          <cell r="B45">
            <v>36312</v>
          </cell>
          <cell r="H45">
            <v>469.178</v>
          </cell>
          <cell r="J45">
            <v>789.52700000000004</v>
          </cell>
          <cell r="L45">
            <v>571.53899999999999</v>
          </cell>
          <cell r="P45">
            <v>4.8077994114985784E-2</v>
          </cell>
          <cell r="R45">
            <v>0.21821862851725585</v>
          </cell>
          <cell r="T45">
            <v>0.15796857703932085</v>
          </cell>
        </row>
        <row r="46">
          <cell r="B46">
            <v>36404</v>
          </cell>
          <cell r="H46">
            <v>1841.9929999999999</v>
          </cell>
          <cell r="J46">
            <v>5452.3950000000004</v>
          </cell>
          <cell r="L46">
            <v>1984.193</v>
          </cell>
          <cell r="P46">
            <v>0.18875422252075971</v>
          </cell>
          <cell r="R46">
            <v>0.49185840267294673</v>
          </cell>
          <cell r="T46">
            <v>0.17899326801797047</v>
          </cell>
        </row>
        <row r="47">
          <cell r="B47">
            <v>36404</v>
          </cell>
          <cell r="H47">
            <v>463.64400000000001</v>
          </cell>
          <cell r="J47">
            <v>2183.0320000000002</v>
          </cell>
          <cell r="L47">
            <v>535.01700000000005</v>
          </cell>
          <cell r="P47">
            <v>4.9163723414768844E-2</v>
          </cell>
          <cell r="R47">
            <v>0.19454643451429518</v>
          </cell>
          <cell r="T47">
            <v>4.7679397166204923E-2</v>
          </cell>
        </row>
        <row r="48">
          <cell r="B48">
            <v>36495</v>
          </cell>
          <cell r="H48">
            <v>454.10899999999998</v>
          </cell>
          <cell r="J48">
            <v>1521.742</v>
          </cell>
          <cell r="L48">
            <v>465.1</v>
          </cell>
          <cell r="P48">
            <v>4.8152654355836079E-2</v>
          </cell>
          <cell r="R48">
            <v>0.18920441843596159</v>
          </cell>
          <cell r="T48">
            <v>5.7827788820027141E-2</v>
          </cell>
        </row>
        <row r="49">
          <cell r="B49">
            <v>36586</v>
          </cell>
          <cell r="H49">
            <v>500.161</v>
          </cell>
          <cell r="J49">
            <v>1050.174</v>
          </cell>
          <cell r="L49">
            <v>451.14800000000002</v>
          </cell>
          <cell r="P49">
            <v>5.3035900533284587E-2</v>
          </cell>
          <cell r="R49">
            <v>0.18728325554935341</v>
          </cell>
          <cell r="T49">
            <v>8.0455682748363316E-2</v>
          </cell>
        </row>
        <row r="50">
          <cell r="B50">
            <v>36678</v>
          </cell>
          <cell r="H50">
            <v>497.29199999999997</v>
          </cell>
          <cell r="J50">
            <v>887.81700000000001</v>
          </cell>
          <cell r="L50">
            <v>485.30099999999999</v>
          </cell>
          <cell r="P50">
            <v>5.273167849552076E-2</v>
          </cell>
          <cell r="R50">
            <v>0.24742567130137336</v>
          </cell>
          <cell r="T50">
            <v>0.13524850921780929</v>
          </cell>
        </row>
        <row r="51">
          <cell r="B51">
            <v>36770</v>
          </cell>
          <cell r="H51">
            <v>1915.2059999999999</v>
          </cell>
          <cell r="J51">
            <v>5642.7650000000003</v>
          </cell>
          <cell r="L51">
            <v>1936.566</v>
          </cell>
          <cell r="P51">
            <v>0.20308395679941027</v>
          </cell>
          <cell r="R51">
            <v>0.50236802986521145</v>
          </cell>
          <cell r="T51">
            <v>0.17240995258954661</v>
          </cell>
        </row>
        <row r="52">
          <cell r="B52">
            <v>36770</v>
          </cell>
          <cell r="H52">
            <v>472.42</v>
          </cell>
          <cell r="J52">
            <v>2125.163</v>
          </cell>
          <cell r="L52">
            <v>506.67500000000001</v>
          </cell>
          <cell r="P52">
            <v>4.7646754414072102E-2</v>
          </cell>
          <cell r="R52">
            <v>0.18266999556124469</v>
          </cell>
          <cell r="T52">
            <v>4.355163345164284E-2</v>
          </cell>
        </row>
        <row r="53">
          <cell r="B53">
            <v>36861</v>
          </cell>
          <cell r="H53">
            <v>470.29300000000001</v>
          </cell>
          <cell r="J53">
            <v>1601.9659999999999</v>
          </cell>
          <cell r="L53">
            <v>415.28699999999998</v>
          </cell>
          <cell r="P53">
            <v>4.743223206819612E-2</v>
          </cell>
          <cell r="R53">
            <v>0.18779175304743131</v>
          </cell>
          <cell r="T53">
            <v>4.8682352651559777E-2</v>
          </cell>
        </row>
        <row r="54">
          <cell r="B54">
            <v>36951</v>
          </cell>
          <cell r="H54">
            <v>500.54199999999997</v>
          </cell>
          <cell r="J54">
            <v>1147.7529999999999</v>
          </cell>
          <cell r="L54">
            <v>455.18900000000002</v>
          </cell>
          <cell r="P54">
            <v>5.0483048448263151E-2</v>
          </cell>
          <cell r="R54">
            <v>0.18983292100291724</v>
          </cell>
          <cell r="T54">
            <v>7.5286109013347743E-2</v>
          </cell>
        </row>
        <row r="55">
          <cell r="B55">
            <v>37043</v>
          </cell>
          <cell r="H55">
            <v>514.36099999999999</v>
          </cell>
          <cell r="J55">
            <v>947.17200000000003</v>
          </cell>
          <cell r="L55">
            <v>564.197</v>
          </cell>
          <cell r="P55">
            <v>5.1876788127463998E-2</v>
          </cell>
          <cell r="R55">
            <v>0.24128967437158894</v>
          </cell>
          <cell r="T55">
            <v>0.14372776054552644</v>
          </cell>
        </row>
        <row r="56">
          <cell r="B56">
            <v>37135</v>
          </cell>
          <cell r="H56">
            <v>1957.616</v>
          </cell>
          <cell r="J56">
            <v>5822.0540000000001</v>
          </cell>
          <cell r="L56">
            <v>1941.348</v>
          </cell>
          <cell r="P56">
            <v>0.19743882305799537</v>
          </cell>
          <cell r="R56">
            <v>0.50020121270605833</v>
          </cell>
          <cell r="T56">
            <v>0.16679072778859161</v>
          </cell>
        </row>
        <row r="57">
          <cell r="B57">
            <v>37135</v>
          </cell>
          <cell r="H57">
            <v>497.27300000000002</v>
          </cell>
          <cell r="J57">
            <v>2194.268</v>
          </cell>
          <cell r="L57">
            <v>447.88099999999997</v>
          </cell>
          <cell r="P57">
            <v>5.2330314504061004E-2</v>
          </cell>
          <cell r="R57">
            <v>0.19240982461013928</v>
          </cell>
          <cell r="T57">
            <v>3.9273554851191279E-2</v>
          </cell>
        </row>
        <row r="58">
          <cell r="B58">
            <v>37226</v>
          </cell>
          <cell r="H58">
            <v>485.14800000000002</v>
          </cell>
          <cell r="J58">
            <v>1537.61</v>
          </cell>
          <cell r="L58">
            <v>448.37799999999999</v>
          </cell>
          <cell r="P58">
            <v>5.1054345240976663E-2</v>
          </cell>
          <cell r="R58">
            <v>0.18600723241159783</v>
          </cell>
          <cell r="T58">
            <v>5.4241030465623549E-2</v>
          </cell>
        </row>
        <row r="59">
          <cell r="B59">
            <v>37316</v>
          </cell>
          <cell r="H59">
            <v>524.11500000000001</v>
          </cell>
          <cell r="J59">
            <v>1162.953</v>
          </cell>
          <cell r="L59">
            <v>496.88600000000002</v>
          </cell>
          <cell r="P59">
            <v>5.5155021057439142E-2</v>
          </cell>
          <cell r="R59">
            <v>0.2005293637375494</v>
          </cell>
          <cell r="T59">
            <v>8.5678641725070545E-2</v>
          </cell>
        </row>
        <row r="60">
          <cell r="B60">
            <v>37408</v>
          </cell>
          <cell r="H60">
            <v>535.29600000000005</v>
          </cell>
          <cell r="J60">
            <v>953.91600000000005</v>
          </cell>
          <cell r="L60">
            <v>511.62299999999999</v>
          </cell>
          <cell r="P60">
            <v>5.6331648878515106E-2</v>
          </cell>
          <cell r="R60">
            <v>0.26506907269061858</v>
          </cell>
          <cell r="T60">
            <v>0.14216706101710458</v>
          </cell>
        </row>
        <row r="61">
          <cell r="B61">
            <v>37500</v>
          </cell>
          <cell r="H61">
            <v>2041.8320000000001</v>
          </cell>
          <cell r="J61">
            <v>5848.7470000000003</v>
          </cell>
          <cell r="L61">
            <v>1904.768</v>
          </cell>
          <cell r="P61">
            <v>0.2148713296809919</v>
          </cell>
          <cell r="R61">
            <v>0.51251622439454925</v>
          </cell>
          <cell r="T61">
            <v>0.16691173403594939</v>
          </cell>
        </row>
        <row r="62">
          <cell r="B62">
            <v>37500</v>
          </cell>
          <cell r="H62">
            <v>552.68200000000002</v>
          </cell>
          <cell r="J62">
            <v>1982.5630000000001</v>
          </cell>
          <cell r="L62">
            <v>393.42599999999999</v>
          </cell>
          <cell r="P62">
            <v>6.1636570602156604E-2</v>
          </cell>
          <cell r="R62">
            <v>0.18762469666332976</v>
          </cell>
          <cell r="T62">
            <v>3.7232831395253102E-2</v>
          </cell>
        </row>
        <row r="63">
          <cell r="B63">
            <v>37591</v>
          </cell>
          <cell r="H63">
            <v>565.673</v>
          </cell>
          <cell r="J63">
            <v>1554.296</v>
          </cell>
          <cell r="L63">
            <v>390.18900000000002</v>
          </cell>
          <cell r="P63">
            <v>6.3085361568196052E-2</v>
          </cell>
          <cell r="R63">
            <v>0.20338781666810826</v>
          </cell>
          <cell r="T63">
            <v>5.1058285421768115E-2</v>
          </cell>
        </row>
        <row r="64">
          <cell r="B64">
            <v>37681</v>
          </cell>
          <cell r="H64">
            <v>602.59400000000005</v>
          </cell>
          <cell r="J64">
            <v>1137.2170000000001</v>
          </cell>
          <cell r="L64">
            <v>393.41399999999999</v>
          </cell>
          <cell r="P64">
            <v>6.7202889953781667E-2</v>
          </cell>
          <cell r="R64">
            <v>0.22137657496313531</v>
          </cell>
          <cell r="T64">
            <v>7.6584015067086494E-2</v>
          </cell>
        </row>
        <row r="65">
          <cell r="B65">
            <v>37773</v>
          </cell>
          <cell r="H65">
            <v>613.86500000000001</v>
          </cell>
          <cell r="J65">
            <v>874.23599999999999</v>
          </cell>
          <cell r="L65">
            <v>410.858</v>
          </cell>
          <cell r="P65">
            <v>6.8459861932707894E-2</v>
          </cell>
          <cell r="R65">
            <v>0.2927074254961039</v>
          </cell>
          <cell r="T65">
            <v>0.13756146786963505</v>
          </cell>
        </row>
        <row r="66">
          <cell r="B66">
            <v>37865</v>
          </cell>
          <cell r="H66">
            <v>2334.8140000000003</v>
          </cell>
          <cell r="J66">
            <v>5548.3120000000008</v>
          </cell>
          <cell r="L66">
            <v>1587.8869999999999</v>
          </cell>
          <cell r="P66">
            <v>0.26038468405684223</v>
          </cell>
          <cell r="R66">
            <v>0.52453118407390531</v>
          </cell>
          <cell r="T66">
            <v>0.15011705331018896</v>
          </cell>
        </row>
        <row r="67">
          <cell r="B67">
            <v>37865</v>
          </cell>
          <cell r="H67">
            <v>592.61800000000005</v>
          </cell>
          <cell r="J67">
            <v>2160.4839999999999</v>
          </cell>
          <cell r="L67">
            <v>469.54899999999998</v>
          </cell>
          <cell r="P67">
            <v>5.8748968504133726E-2</v>
          </cell>
          <cell r="R67">
            <v>0.19330723435201916</v>
          </cell>
          <cell r="T67">
            <v>4.2012446554918363E-2</v>
          </cell>
        </row>
        <row r="68">
          <cell r="B68">
            <v>37956</v>
          </cell>
          <cell r="H68">
            <v>610.60199999999998</v>
          </cell>
          <cell r="J68">
            <v>1569.345</v>
          </cell>
          <cell r="L68">
            <v>505.892</v>
          </cell>
          <cell r="P68">
            <v>6.0531805761149769E-2</v>
          </cell>
          <cell r="R68">
            <v>0.19722084054160094</v>
          </cell>
          <cell r="T68">
            <v>6.3575852004034539E-2</v>
          </cell>
        </row>
        <row r="69">
          <cell r="B69">
            <v>38047</v>
          </cell>
          <cell r="H69">
            <v>659.36400000000003</v>
          </cell>
          <cell r="J69">
            <v>1162.4590000000001</v>
          </cell>
          <cell r="L69">
            <v>464.89400000000001</v>
          </cell>
          <cell r="P69">
            <v>6.5365808781980339E-2</v>
          </cell>
          <cell r="R69">
            <v>0.22030530369849274</v>
          </cell>
          <cell r="T69">
            <v>8.8105140790003839E-2</v>
          </cell>
        </row>
        <row r="70">
          <cell r="B70">
            <v>38139</v>
          </cell>
          <cell r="H70">
            <v>665.75</v>
          </cell>
          <cell r="J70">
            <v>888.952</v>
          </cell>
          <cell r="L70">
            <v>459.48200000000003</v>
          </cell>
          <cell r="P70">
            <v>6.5998882554406085E-2</v>
          </cell>
          <cell r="R70">
            <v>0.29899744678045775</v>
          </cell>
          <cell r="T70">
            <v>0.15454596518324759</v>
          </cell>
        </row>
        <row r="71">
          <cell r="B71">
            <v>38231</v>
          </cell>
          <cell r="H71">
            <v>2528.3339999999998</v>
          </cell>
          <cell r="J71">
            <v>5781.24</v>
          </cell>
          <cell r="L71">
            <v>1899.817</v>
          </cell>
          <cell r="P71">
            <v>0.25064546560166989</v>
          </cell>
          <cell r="R71">
            <v>0.51673389470060038</v>
          </cell>
          <cell r="T71">
            <v>0.16980783320332846</v>
          </cell>
        </row>
        <row r="72">
          <cell r="B72">
            <v>38231</v>
          </cell>
          <cell r="H72">
            <v>645.27</v>
          </cell>
          <cell r="J72">
            <v>2168.6590000000001</v>
          </cell>
          <cell r="L72">
            <v>498.89</v>
          </cell>
          <cell r="P72">
            <v>5.4658046901715385E-2</v>
          </cell>
          <cell r="R72">
            <v>0.1698869443562932</v>
          </cell>
          <cell r="T72">
            <v>3.908170794482263E-2</v>
          </cell>
        </row>
        <row r="73">
          <cell r="B73">
            <v>38322</v>
          </cell>
          <cell r="H73">
            <v>639.68899999999996</v>
          </cell>
          <cell r="J73">
            <v>1618.961</v>
          </cell>
          <cell r="L73">
            <v>439.20800000000003</v>
          </cell>
          <cell r="P73">
            <v>5.4185304391202768E-2</v>
          </cell>
          <cell r="R73">
            <v>0.17124266145642061</v>
          </cell>
          <cell r="T73">
            <v>4.6456429063424995E-2</v>
          </cell>
        </row>
        <row r="74">
          <cell r="B74">
            <v>38412</v>
          </cell>
          <cell r="H74">
            <v>685.99800000000005</v>
          </cell>
          <cell r="J74">
            <v>1304.6469999999999</v>
          </cell>
          <cell r="L74">
            <v>428.41300000000001</v>
          </cell>
          <cell r="P74">
            <v>5.8107940642650291E-2</v>
          </cell>
          <cell r="R74">
            <v>0.19298541197632071</v>
          </cell>
          <cell r="T74">
            <v>6.3371516817201504E-2</v>
          </cell>
        </row>
        <row r="75">
          <cell r="B75">
            <v>38504</v>
          </cell>
          <cell r="H75">
            <v>715.65099999999995</v>
          </cell>
          <cell r="J75">
            <v>1042.808</v>
          </cell>
          <cell r="L75">
            <v>451.54500000000002</v>
          </cell>
          <cell r="P75">
            <v>6.0619718758441445E-2</v>
          </cell>
          <cell r="R75">
            <v>0.24115081800560462</v>
          </cell>
          <cell r="T75">
            <v>0.10442041690928794</v>
          </cell>
        </row>
        <row r="76">
          <cell r="B76">
            <v>38596</v>
          </cell>
          <cell r="H76">
            <v>2686.6079999999997</v>
          </cell>
          <cell r="J76">
            <v>6135.0749999999998</v>
          </cell>
          <cell r="L76">
            <v>1818.056</v>
          </cell>
          <cell r="P76">
            <v>0.22757101069400987</v>
          </cell>
          <cell r="R76">
            <v>0.48025942616001777</v>
          </cell>
          <cell r="T76">
            <v>0.14231912915274506</v>
          </cell>
        </row>
        <row r="77">
          <cell r="B77">
            <v>38596</v>
          </cell>
          <cell r="H77">
            <v>706.06399999999996</v>
          </cell>
          <cell r="J77">
            <v>2229.9229999999998</v>
          </cell>
          <cell r="L77">
            <v>477.32900000000001</v>
          </cell>
          <cell r="P77">
            <v>6.3539607459809661E-2</v>
          </cell>
          <cell r="R77">
            <v>0.16857249619810538</v>
          </cell>
          <cell r="T77">
            <v>3.6083999778353533E-2</v>
          </cell>
        </row>
        <row r="78">
          <cell r="B78">
            <v>38687</v>
          </cell>
          <cell r="H78">
            <v>715.59299999999996</v>
          </cell>
          <cell r="J78">
            <v>1639.028</v>
          </cell>
          <cell r="L78">
            <v>474.24299999999999</v>
          </cell>
          <cell r="P78">
            <v>6.4397134425473582E-2</v>
          </cell>
          <cell r="R78">
            <v>0.16697187667070895</v>
          </cell>
          <cell r="T78">
            <v>4.8312319074443527E-2</v>
          </cell>
        </row>
        <row r="79">
          <cell r="B79">
            <v>38777</v>
          </cell>
          <cell r="H79">
            <v>764.73800000000006</v>
          </cell>
          <cell r="J79">
            <v>1283.165</v>
          </cell>
          <cell r="L79">
            <v>562.37599999999998</v>
          </cell>
          <cell r="P79">
            <v>6.8819756183008798E-2</v>
          </cell>
          <cell r="R79">
            <v>0.18353306495848867</v>
          </cell>
          <cell r="T79">
            <v>8.0437504872011803E-2</v>
          </cell>
        </row>
        <row r="80">
          <cell r="B80">
            <v>38869</v>
          </cell>
          <cell r="H80">
            <v>812.64099999999996</v>
          </cell>
          <cell r="J80">
            <v>962.94600000000003</v>
          </cell>
          <cell r="L80">
            <v>619.86300000000006</v>
          </cell>
          <cell r="P80">
            <v>7.3130608763153457E-2</v>
          </cell>
          <cell r="R80">
            <v>0.22070635035052569</v>
          </cell>
          <cell r="T80">
            <v>0.14207203773350521</v>
          </cell>
        </row>
        <row r="81">
          <cell r="B81">
            <v>38961</v>
          </cell>
          <cell r="H81">
            <v>2999.0360000000001</v>
          </cell>
          <cell r="J81">
            <v>6115.0619999999999</v>
          </cell>
          <cell r="L81">
            <v>2133.8109999999997</v>
          </cell>
          <cell r="P81">
            <v>0.26988710683144551</v>
          </cell>
          <cell r="R81">
            <v>0.46203839602144769</v>
          </cell>
          <cell r="T81">
            <v>0.16122528469096817</v>
          </cell>
        </row>
        <row r="82">
          <cell r="B82">
            <v>38961</v>
          </cell>
          <cell r="H82">
            <v>811.43100000000004</v>
          </cell>
          <cell r="J82">
            <v>2159.36</v>
          </cell>
          <cell r="L82">
            <v>595.93899999999996</v>
          </cell>
          <cell r="P82">
            <v>7.7050757075005208E-2</v>
          </cell>
          <cell r="R82">
            <v>0.17275658095640628</v>
          </cell>
          <cell r="T82">
            <v>4.7677267384122979E-2</v>
          </cell>
        </row>
        <row r="83">
          <cell r="B83">
            <v>39052</v>
          </cell>
          <cell r="H83">
            <v>831.39499999999998</v>
          </cell>
          <cell r="J83">
            <v>1521.752</v>
          </cell>
          <cell r="L83">
            <v>512.99400000000003</v>
          </cell>
          <cell r="P83">
            <v>7.8946471330740328E-2</v>
          </cell>
          <cell r="R83">
            <v>0.17032520739242327</v>
          </cell>
          <cell r="T83">
            <v>5.741790346986158E-2</v>
          </cell>
        </row>
        <row r="84">
          <cell r="B84">
            <v>39142</v>
          </cell>
          <cell r="H84">
            <v>908.49599999999998</v>
          </cell>
          <cell r="J84">
            <v>1113.106</v>
          </cell>
          <cell r="L84">
            <v>495.26900000000001</v>
          </cell>
          <cell r="P84">
            <v>8.6267722825001669E-2</v>
          </cell>
          <cell r="R84">
            <v>0.18326575811948054</v>
          </cell>
          <cell r="T84">
            <v>8.1542861828143062E-2</v>
          </cell>
        </row>
        <row r="85">
          <cell r="B85">
            <v>39234</v>
          </cell>
          <cell r="H85">
            <v>966.05200000000002</v>
          </cell>
          <cell r="J85">
            <v>745.91399999999999</v>
          </cell>
          <cell r="L85">
            <v>521.16700000000003</v>
          </cell>
          <cell r="P85">
            <v>9.1733046893479456E-2</v>
          </cell>
          <cell r="R85">
            <v>0.21088215163043983</v>
          </cell>
          <cell r="T85">
            <v>0.14734247958716615</v>
          </cell>
        </row>
        <row r="86">
          <cell r="B86">
            <v>39326</v>
          </cell>
          <cell r="H86">
            <v>3517.3740000000003</v>
          </cell>
          <cell r="J86">
            <v>5540.1319999999996</v>
          </cell>
          <cell r="L86">
            <v>2125.3690000000001</v>
          </cell>
          <cell r="P86">
            <v>0.33399799812422665</v>
          </cell>
          <cell r="R86">
            <v>0.44284682333318703</v>
          </cell>
          <cell r="T86">
            <v>0.16988997916671164</v>
          </cell>
        </row>
        <row r="87">
          <cell r="B87">
            <v>39326</v>
          </cell>
          <cell r="H87">
            <v>985.702</v>
          </cell>
          <cell r="J87">
            <v>2386.7600000000002</v>
          </cell>
          <cell r="L87">
            <v>693.15899999999999</v>
          </cell>
          <cell r="P87">
            <v>7.5602964440140738E-2</v>
          </cell>
          <cell r="R87">
            <v>0.16639772176033171</v>
          </cell>
          <cell r="T87">
            <v>4.8324958696169602E-2</v>
          </cell>
        </row>
        <row r="88">
          <cell r="B88">
            <v>39417</v>
          </cell>
          <cell r="H88">
            <v>1045.962</v>
          </cell>
          <cell r="J88">
            <v>1734.1130000000001</v>
          </cell>
          <cell r="L88">
            <v>642.10599999999999</v>
          </cell>
          <cell r="P88">
            <v>8.0224883272772593E-2</v>
          </cell>
          <cell r="R88">
            <v>0.16867321868516805</v>
          </cell>
          <cell r="T88">
            <v>6.2456186971125018E-2</v>
          </cell>
        </row>
        <row r="89">
          <cell r="B89">
            <v>39508</v>
          </cell>
          <cell r="H89">
            <v>1167.4749999999999</v>
          </cell>
          <cell r="J89">
            <v>1068.799</v>
          </cell>
          <cell r="L89">
            <v>583.42700000000002</v>
          </cell>
          <cell r="P89">
            <v>8.9544883656270668E-2</v>
          </cell>
          <cell r="R89">
            <v>0.15561028904114096</v>
          </cell>
          <cell r="T89">
            <v>8.494323451313647E-2</v>
          </cell>
        </row>
        <row r="90">
          <cell r="B90">
            <v>39600</v>
          </cell>
          <cell r="H90">
            <v>1221.271</v>
          </cell>
          <cell r="J90">
            <v>668.06799999999998</v>
          </cell>
          <cell r="L90">
            <v>518.71</v>
          </cell>
          <cell r="P90">
            <v>9.3671016174031424E-2</v>
          </cell>
          <cell r="R90">
            <v>0.16563707750728682</v>
          </cell>
          <cell r="T90">
            <v>0.12860608272481955</v>
          </cell>
        </row>
        <row r="91">
          <cell r="B91">
            <v>39692</v>
          </cell>
          <cell r="H91">
            <v>4420.41</v>
          </cell>
          <cell r="J91">
            <v>5857.7400000000007</v>
          </cell>
          <cell r="L91">
            <v>2437.402</v>
          </cell>
          <cell r="P91">
            <v>0.33904374754321542</v>
          </cell>
          <cell r="R91">
            <v>0.40787678594145488</v>
          </cell>
          <cell r="T91">
            <v>0.16971727898596967</v>
          </cell>
        </row>
        <row r="92">
          <cell r="B92">
            <v>39692</v>
          </cell>
          <cell r="H92">
            <v>1219.2439999999999</v>
          </cell>
          <cell r="J92">
            <v>1930.03</v>
          </cell>
          <cell r="L92">
            <v>448.78800000000001</v>
          </cell>
          <cell r="P92">
            <v>0.10123918030776363</v>
          </cell>
          <cell r="R92">
            <v>0.14118553627139038</v>
          </cell>
          <cell r="T92">
            <v>3.2829735523367383E-2</v>
          </cell>
        </row>
        <row r="93">
          <cell r="B93">
            <v>39783</v>
          </cell>
          <cell r="H93">
            <v>1178.2439999999999</v>
          </cell>
          <cell r="J93">
            <v>1572.89</v>
          </cell>
          <cell r="L93">
            <v>370.935</v>
          </cell>
          <cell r="P93">
            <v>9.7834770367982674E-2</v>
          </cell>
          <cell r="R93">
            <v>0.15609930475871198</v>
          </cell>
          <cell r="T93">
            <v>3.6812933905532377E-2</v>
          </cell>
        </row>
        <row r="94">
          <cell r="B94">
            <v>39873</v>
          </cell>
          <cell r="H94">
            <v>1237.6110000000001</v>
          </cell>
          <cell r="J94">
            <v>946.82100000000003</v>
          </cell>
          <cell r="L94">
            <v>492.99400000000003</v>
          </cell>
          <cell r="P94">
            <v>0.10276427292639675</v>
          </cell>
          <cell r="R94">
            <v>0.13605184799661343</v>
          </cell>
          <cell r="T94">
            <v>7.0839942028369088E-2</v>
          </cell>
        </row>
        <row r="95">
          <cell r="B95">
            <v>39965</v>
          </cell>
          <cell r="H95">
            <v>1368.171</v>
          </cell>
          <cell r="J95">
            <v>683.66899999999998</v>
          </cell>
          <cell r="L95">
            <v>536.23</v>
          </cell>
          <cell r="P95">
            <v>0.11360524272487976</v>
          </cell>
          <cell r="R95">
            <v>0.16037601518023006</v>
          </cell>
          <cell r="T95">
            <v>0.12578957159106932</v>
          </cell>
        </row>
        <row r="96">
          <cell r="B96">
            <v>40057</v>
          </cell>
          <cell r="H96">
            <v>5003.2700000000004</v>
          </cell>
          <cell r="J96">
            <v>5133.41</v>
          </cell>
          <cell r="L96">
            <v>1848.9470000000001</v>
          </cell>
          <cell r="P96">
            <v>0.41544346632702284</v>
          </cell>
          <cell r="R96">
            <v>0.37522504943577106</v>
          </cell>
          <cell r="T96">
            <v>0.13514822106146221</v>
          </cell>
        </row>
        <row r="97">
          <cell r="B97">
            <v>40057</v>
          </cell>
          <cell r="H97">
            <v>1382.029</v>
          </cell>
          <cell r="J97">
            <v>1990.077</v>
          </cell>
          <cell r="L97">
            <v>466.88099999999997</v>
          </cell>
          <cell r="P97">
            <v>0.10576356477262534</v>
          </cell>
          <cell r="R97">
            <v>0.13499875554957394</v>
          </cell>
          <cell r="T97">
            <v>3.1671314220374704E-2</v>
          </cell>
        </row>
        <row r="98">
          <cell r="B98">
            <v>40148</v>
          </cell>
          <cell r="H98">
            <v>1447.24</v>
          </cell>
          <cell r="J98">
            <v>1341.241</v>
          </cell>
          <cell r="L98">
            <v>421.51100000000002</v>
          </cell>
          <cell r="P98">
            <v>0.11075401564043469</v>
          </cell>
          <cell r="R98">
            <v>0.12300698684373557</v>
          </cell>
          <cell r="T98">
            <v>3.8657331554500518E-2</v>
          </cell>
        </row>
        <row r="99">
          <cell r="B99">
            <v>40238</v>
          </cell>
          <cell r="H99">
            <v>1543.1479999999999</v>
          </cell>
          <cell r="J99">
            <v>1273.3630000000001</v>
          </cell>
          <cell r="L99">
            <v>548.65300000000002</v>
          </cell>
          <cell r="P99">
            <v>0.11809363873822275</v>
          </cell>
          <cell r="R99">
            <v>0.16543801487322396</v>
          </cell>
          <cell r="T99">
            <v>7.1282158484453323E-2</v>
          </cell>
        </row>
        <row r="100">
          <cell r="B100">
            <v>40330</v>
          </cell>
          <cell r="H100">
            <v>1566.249</v>
          </cell>
          <cell r="J100">
            <v>496.31299999999999</v>
          </cell>
          <cell r="L100">
            <v>541.98099999999999</v>
          </cell>
          <cell r="P100">
            <v>0.11986150620685938</v>
          </cell>
          <cell r="R100">
            <v>0.11507418415514273</v>
          </cell>
          <cell r="T100">
            <v>0.12566267940309525</v>
          </cell>
        </row>
        <row r="101">
          <cell r="B101">
            <v>40422</v>
          </cell>
          <cell r="H101">
            <v>5938.6660000000002</v>
          </cell>
          <cell r="J101">
            <v>5100.9940000000006</v>
          </cell>
          <cell r="L101">
            <v>1979.0260000000001</v>
          </cell>
          <cell r="P101">
            <v>0.4544727253581422</v>
          </cell>
          <cell r="R101">
            <v>0.34585800481530377</v>
          </cell>
          <cell r="T101">
            <v>0.13418207977457164</v>
          </cell>
        </row>
        <row r="102">
          <cell r="B102">
            <v>40422</v>
          </cell>
          <cell r="H102">
            <v>1582.4380000000001</v>
          </cell>
          <cell r="J102">
            <v>2047.327</v>
          </cell>
          <cell r="L102">
            <v>451.904</v>
          </cell>
          <cell r="P102">
            <v>0.12735581268264104</v>
          </cell>
          <cell r="R102">
            <v>0.14480574162435766</v>
          </cell>
          <cell r="T102">
            <v>3.1962795324349126E-2</v>
          </cell>
        </row>
        <row r="103">
          <cell r="B103">
            <v>40513</v>
          </cell>
          <cell r="H103">
            <v>1576.7080000000001</v>
          </cell>
          <cell r="J103">
            <v>1562.4159999999999</v>
          </cell>
          <cell r="L103">
            <v>402.88099999999997</v>
          </cell>
          <cell r="P103">
            <v>0.1268946579286023</v>
          </cell>
          <cell r="R103">
            <v>0.1552289946988808</v>
          </cell>
          <cell r="T103">
            <v>4.0026991923584873E-2</v>
          </cell>
        </row>
        <row r="104">
          <cell r="B104">
            <v>40603</v>
          </cell>
          <cell r="H104">
            <v>1617.9259999999999</v>
          </cell>
          <cell r="J104">
            <v>714.93799999999999</v>
          </cell>
          <cell r="L104">
            <v>510.17599999999999</v>
          </cell>
          <cell r="P104">
            <v>0.13021191388880618</v>
          </cell>
          <cell r="R104">
            <v>0.1094246184193368</v>
          </cell>
          <cell r="T104">
            <v>7.8084832708155916E-2</v>
          </cell>
        </row>
        <row r="105">
          <cell r="B105">
            <v>40695</v>
          </cell>
          <cell r="H105">
            <v>1625.45</v>
          </cell>
          <cell r="J105">
            <v>452.01299999999998</v>
          </cell>
          <cell r="L105">
            <v>465.964</v>
          </cell>
          <cell r="P105">
            <v>0.13081745112604656</v>
          </cell>
          <cell r="R105">
            <v>0.12303583832902538</v>
          </cell>
          <cell r="T105">
            <v>0.12683323570593322</v>
          </cell>
        </row>
        <row r="106">
          <cell r="B106">
            <v>40787</v>
          </cell>
          <cell r="H106">
            <v>6402.5219999999999</v>
          </cell>
          <cell r="J106">
            <v>4776.6939999999995</v>
          </cell>
          <cell r="L106">
            <v>1830.925</v>
          </cell>
          <cell r="P106">
            <v>0.51527983562609603</v>
          </cell>
          <cell r="R106">
            <v>0.33731842286155583</v>
          </cell>
          <cell r="T106">
            <v>0.12929543600192814</v>
          </cell>
        </row>
        <row r="107">
          <cell r="B107">
            <v>40787</v>
          </cell>
          <cell r="H107">
            <v>1610.771</v>
          </cell>
          <cell r="J107">
            <v>1781.86</v>
          </cell>
          <cell r="L107">
            <v>406.202</v>
          </cell>
          <cell r="P107">
            <v>0.13080857199749618</v>
          </cell>
          <cell r="R107">
            <v>0.13252309891016101</v>
          </cell>
          <cell r="T107">
            <v>3.0210649446929177E-2</v>
          </cell>
        </row>
        <row r="108">
          <cell r="B108">
            <v>40878</v>
          </cell>
          <cell r="H108">
            <v>1637.0709999999999</v>
          </cell>
          <cell r="J108">
            <v>1546.1949999999999</v>
          </cell>
          <cell r="L108">
            <v>444.13499999999999</v>
          </cell>
          <cell r="P108">
            <v>0.13294436004156585</v>
          </cell>
          <cell r="R108">
            <v>0.16021489298715116</v>
          </cell>
          <cell r="T108">
            <v>4.60207422070621E-2</v>
          </cell>
        </row>
        <row r="109">
          <cell r="B109">
            <v>40969</v>
          </cell>
          <cell r="H109">
            <v>1602.3440000000001</v>
          </cell>
          <cell r="J109">
            <v>861.99199999999996</v>
          </cell>
          <cell r="L109">
            <v>397.92500000000001</v>
          </cell>
          <cell r="P109">
            <v>0.13012422652801423</v>
          </cell>
          <cell r="R109">
            <v>0.14285510678601201</v>
          </cell>
          <cell r="T109">
            <v>6.594680503742939E-2</v>
          </cell>
        </row>
        <row r="110">
          <cell r="B110">
            <v>41061</v>
          </cell>
          <cell r="H110">
            <v>1549.548</v>
          </cell>
          <cell r="J110">
            <v>328.48099999999999</v>
          </cell>
          <cell r="L110">
            <v>290.89499999999998</v>
          </cell>
          <cell r="P110">
            <v>0.12583673354038297</v>
          </cell>
          <cell r="R110">
            <v>0.10398542030583928</v>
          </cell>
          <cell r="T110">
            <v>9.2087027377130232E-2</v>
          </cell>
        </row>
        <row r="111">
          <cell r="B111">
            <v>41153</v>
          </cell>
          <cell r="H111">
            <v>6399.7339999999995</v>
          </cell>
          <cell r="J111">
            <v>4518.5279999999993</v>
          </cell>
          <cell r="L111">
            <v>1539.1569999999999</v>
          </cell>
          <cell r="P111">
            <v>0.51971389210745911</v>
          </cell>
          <cell r="R111">
            <v>0.33542697061103371</v>
          </cell>
          <cell r="T111">
            <v>0.11425729126936181</v>
          </cell>
        </row>
        <row r="112">
          <cell r="B112">
            <v>41153</v>
          </cell>
          <cell r="H112">
            <v>1465.6210000000001</v>
          </cell>
          <cell r="J112">
            <v>2059.6979999999999</v>
          </cell>
          <cell r="L112">
            <v>220.87200000000001</v>
          </cell>
          <cell r="P112">
            <v>0.13627204777337956</v>
          </cell>
          <cell r="R112">
            <v>0.1748630159141035</v>
          </cell>
          <cell r="T112">
            <v>1.8751459704762483E-2</v>
          </cell>
        </row>
        <row r="113">
          <cell r="B113">
            <v>41244</v>
          </cell>
          <cell r="H113">
            <v>1429.84</v>
          </cell>
          <cell r="J113">
            <v>1087.335</v>
          </cell>
          <cell r="L113">
            <v>161.05799999999999</v>
          </cell>
          <cell r="P113">
            <v>0.13294516439672263</v>
          </cell>
          <cell r="R113">
            <v>0.1346018319272993</v>
          </cell>
          <cell r="T113">
            <v>1.9937463474041548E-2</v>
          </cell>
        </row>
        <row r="114">
          <cell r="B114">
            <v>41334</v>
          </cell>
          <cell r="H114">
            <v>1544.98</v>
          </cell>
          <cell r="J114">
            <v>920.66700000000003</v>
          </cell>
          <cell r="L114">
            <v>185.84899999999999</v>
          </cell>
          <cell r="P114">
            <v>0.14365077217706074</v>
          </cell>
          <cell r="R114">
            <v>0.16923695972100541</v>
          </cell>
          <cell r="T114">
            <v>3.4162753446348282E-2</v>
          </cell>
        </row>
        <row r="115">
          <cell r="B115">
            <v>41426</v>
          </cell>
          <cell r="H115">
            <v>1572.768</v>
          </cell>
          <cell r="J115">
            <v>247.31700000000001</v>
          </cell>
          <cell r="L115">
            <v>162.31299999999999</v>
          </cell>
          <cell r="P115">
            <v>0.14623447400961273</v>
          </cell>
          <cell r="R115">
            <v>8.8144976937042499E-2</v>
          </cell>
          <cell r="T115">
            <v>5.7849139531783819E-2</v>
          </cell>
        </row>
        <row r="116">
          <cell r="B116">
            <v>41518</v>
          </cell>
          <cell r="H116">
            <v>6013.2090000000007</v>
          </cell>
          <cell r="J116">
            <v>4315.0169999999998</v>
          </cell>
          <cell r="L116">
            <v>730.09199999999998</v>
          </cell>
          <cell r="P116">
            <v>0.55910245835677574</v>
          </cell>
          <cell r="R116">
            <v>0.36248206917894726</v>
          </cell>
          <cell r="T116">
            <v>6.1331220445017015E-2</v>
          </cell>
        </row>
        <row r="117">
          <cell r="B117">
            <v>41518</v>
          </cell>
          <cell r="H117">
            <v>1549.9469999999999</v>
          </cell>
          <cell r="J117">
            <v>2311.9369999999999</v>
          </cell>
          <cell r="L117">
            <v>350.25799999999998</v>
          </cell>
          <cell r="P117">
            <v>0.11207976244641318</v>
          </cell>
          <cell r="R117">
            <v>0.15765348755792322</v>
          </cell>
          <cell r="T117">
            <v>2.3884472303987121E-2</v>
          </cell>
        </row>
        <row r="118">
          <cell r="B118">
            <v>41609</v>
          </cell>
          <cell r="H118">
            <v>1602.357</v>
          </cell>
          <cell r="J118">
            <v>1458.8130000000001</v>
          </cell>
          <cell r="L118">
            <v>389.80599999999998</v>
          </cell>
          <cell r="P118">
            <v>0.11586963419674821</v>
          </cell>
          <cell r="R118">
            <v>0.139477884280472</v>
          </cell>
          <cell r="T118">
            <v>3.7269558305165679E-2</v>
          </cell>
        </row>
        <row r="119">
          <cell r="B119">
            <v>41699</v>
          </cell>
          <cell r="H119">
            <v>1642.489</v>
          </cell>
          <cell r="J119">
            <v>864.81200000000001</v>
          </cell>
          <cell r="L119">
            <v>635.98099999999999</v>
          </cell>
          <cell r="P119">
            <v>0.11877165925083036</v>
          </cell>
          <cell r="R119">
            <v>0.12325042548455074</v>
          </cell>
          <cell r="T119">
            <v>9.063811423764942E-2</v>
          </cell>
        </row>
        <row r="120">
          <cell r="B120">
            <v>41791</v>
          </cell>
          <cell r="H120">
            <v>1675.2170000000001</v>
          </cell>
          <cell r="J120">
            <v>405.04399999999998</v>
          </cell>
          <cell r="L120">
            <v>544.44799999999998</v>
          </cell>
          <cell r="P120">
            <v>0.1211382862808812</v>
          </cell>
          <cell r="R120">
            <v>0.10499259428995648</v>
          </cell>
          <cell r="T120">
            <v>0.14112789715679835</v>
          </cell>
        </row>
        <row r="121">
          <cell r="B121">
            <v>41883</v>
          </cell>
          <cell r="H121">
            <v>6470.01</v>
          </cell>
          <cell r="J121">
            <v>5040.6059999999998</v>
          </cell>
          <cell r="L121">
            <v>1920.4929999999999</v>
          </cell>
          <cell r="P121">
            <v>0.46785934217487296</v>
          </cell>
          <cell r="R121">
            <v>0.34322660405440797</v>
          </cell>
          <cell r="T121">
            <v>0.13077084193850147</v>
          </cell>
        </row>
        <row r="122">
          <cell r="B122">
            <v>41883</v>
          </cell>
          <cell r="H122">
            <v>1609.95</v>
          </cell>
          <cell r="J122">
            <v>2229.7579999999998</v>
          </cell>
          <cell r="L122">
            <v>401.351</v>
          </cell>
          <cell r="P122">
            <v>0.11325288423957683</v>
          </cell>
          <cell r="R122">
            <v>0.14429812665819292</v>
          </cell>
          <cell r="T122">
            <v>2.5973310750490586E-2</v>
          </cell>
        </row>
        <row r="123">
          <cell r="B123">
            <v>41974</v>
          </cell>
          <cell r="H123">
            <v>1625.1410000000001</v>
          </cell>
          <cell r="J123">
            <v>1437.8510000000001</v>
          </cell>
          <cell r="L123">
            <v>404.49</v>
          </cell>
          <cell r="P123">
            <v>0.11432150411254395</v>
          </cell>
          <cell r="R123">
            <v>0.12818169596786677</v>
          </cell>
          <cell r="T123">
            <v>3.60595181295158E-2</v>
          </cell>
        </row>
        <row r="124">
          <cell r="B124">
            <v>42064</v>
          </cell>
          <cell r="H124">
            <v>1638.549</v>
          </cell>
          <cell r="J124">
            <v>1117.25</v>
          </cell>
          <cell r="L124">
            <v>535.85599999999999</v>
          </cell>
          <cell r="P124">
            <v>0.11526469779674796</v>
          </cell>
          <cell r="R124">
            <v>0.14397959735971896</v>
          </cell>
          <cell r="T124">
            <v>6.9055566008314667E-2</v>
          </cell>
        </row>
        <row r="125">
          <cell r="B125">
            <v>42248</v>
          </cell>
          <cell r="H125">
            <v>6547.4790000000003</v>
          </cell>
          <cell r="J125">
            <v>5300</v>
          </cell>
          <cell r="L125">
            <v>1875</v>
          </cell>
          <cell r="P125">
            <v>0.46058627985220679</v>
          </cell>
          <cell r="R125">
            <v>0.34243397937487841</v>
          </cell>
          <cell r="T125">
            <v>0.12114409647696169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216"/>
  <sheetViews>
    <sheetView workbookViewId="0">
      <pane activePane="bottomRight" state="frozen"/>
      <selection sqref="A1:C65536"/>
    </sheetView>
  </sheetViews>
  <sheetFormatPr defaultRowHeight="15.75" x14ac:dyDescent="0.25"/>
  <cols>
    <col min="1" max="1" width="13.7109375" style="3" customWidth="1"/>
    <col min="2" max="2" width="10" style="2" customWidth="1"/>
    <col min="3" max="3" width="16" style="2" bestFit="1" customWidth="1"/>
    <col min="4" max="5" width="17.42578125" style="2" bestFit="1" customWidth="1"/>
    <col min="6" max="6" width="14.42578125" style="2" bestFit="1" customWidth="1"/>
    <col min="7" max="8" width="9.140625" style="2"/>
    <col min="9" max="9" width="20" style="2" customWidth="1"/>
    <col min="10" max="10" width="19.7109375" style="2" bestFit="1" customWidth="1"/>
    <col min="11" max="11" width="17.140625" style="2" bestFit="1" customWidth="1"/>
    <col min="12" max="12" width="14.42578125" style="2" bestFit="1" customWidth="1"/>
    <col min="13" max="13" width="9.140625" style="2"/>
    <col min="14" max="14" width="16.85546875" style="2" bestFit="1" customWidth="1"/>
    <col min="15" max="15" width="12" style="2" bestFit="1" customWidth="1"/>
    <col min="16" max="16" width="12.5703125" style="2" bestFit="1" customWidth="1"/>
    <col min="17" max="17" width="12.28515625" style="2" bestFit="1" customWidth="1"/>
    <col min="18" max="16384" width="9.140625" style="2"/>
  </cols>
  <sheetData>
    <row r="1" spans="1:47" x14ac:dyDescent="0.25">
      <c r="C1" s="2" t="s">
        <v>3</v>
      </c>
      <c r="D1" s="2" t="s">
        <v>4</v>
      </c>
      <c r="E1" s="2" t="s">
        <v>5</v>
      </c>
      <c r="F1" s="2" t="s">
        <v>38</v>
      </c>
    </row>
    <row r="2" spans="1:47" x14ac:dyDescent="0.25">
      <c r="A2" s="3" t="s">
        <v>0</v>
      </c>
      <c r="B2" s="2" t="s">
        <v>1</v>
      </c>
      <c r="C2" s="2" t="s">
        <v>2</v>
      </c>
      <c r="D2" s="2" t="s">
        <v>36</v>
      </c>
      <c r="E2" s="2" t="s">
        <v>37</v>
      </c>
    </row>
    <row r="3" spans="1:47" x14ac:dyDescent="0.25">
      <c r="A3" s="3">
        <v>42006</v>
      </c>
      <c r="B3" s="2">
        <v>427.75</v>
      </c>
    </row>
    <row r="4" spans="1:47" x14ac:dyDescent="0.25">
      <c r="A4" s="3">
        <v>42009</v>
      </c>
      <c r="B4" s="2">
        <v>437.25</v>
      </c>
      <c r="C4" s="2">
        <f>LN(B4)-LN(B3)</f>
        <v>2.1966201126408791E-2</v>
      </c>
      <c r="AM4" t="s">
        <v>10</v>
      </c>
      <c r="AN4"/>
      <c r="AO4"/>
      <c r="AP4"/>
      <c r="AQ4"/>
      <c r="AR4"/>
      <c r="AS4"/>
      <c r="AT4"/>
      <c r="AU4"/>
    </row>
    <row r="5" spans="1:47" ht="16.5" thickBot="1" x14ac:dyDescent="0.3">
      <c r="A5" s="3">
        <v>42010</v>
      </c>
      <c r="B5" s="2">
        <v>436.25</v>
      </c>
      <c r="C5" s="2">
        <f>LN(B5)-LN(B4)</f>
        <v>-2.2896403820746869E-3</v>
      </c>
      <c r="D5" s="2">
        <f>C4</f>
        <v>2.1966201126408791E-2</v>
      </c>
      <c r="AM5"/>
      <c r="AN5"/>
      <c r="AO5"/>
      <c r="AP5"/>
      <c r="AQ5"/>
      <c r="AR5"/>
      <c r="AS5"/>
      <c r="AT5"/>
      <c r="AU5"/>
    </row>
    <row r="6" spans="1:47" x14ac:dyDescent="0.25">
      <c r="A6" s="3">
        <v>42011</v>
      </c>
      <c r="B6" s="2">
        <v>428.5</v>
      </c>
      <c r="C6" s="2">
        <f>LN(B6)-LN(B5)</f>
        <v>-1.7924735478802134E-2</v>
      </c>
      <c r="D6" s="2">
        <f>C5</f>
        <v>-2.2896403820746869E-3</v>
      </c>
      <c r="E6" s="2">
        <f>D5</f>
        <v>2.1966201126408791E-2</v>
      </c>
      <c r="AM6" s="9" t="s">
        <v>11</v>
      </c>
      <c r="AN6" s="9"/>
      <c r="AO6"/>
      <c r="AP6"/>
      <c r="AQ6"/>
      <c r="AR6"/>
      <c r="AS6"/>
      <c r="AT6"/>
      <c r="AU6"/>
    </row>
    <row r="7" spans="1:47" x14ac:dyDescent="0.25">
      <c r="A7" s="3">
        <v>42012</v>
      </c>
      <c r="B7" s="2">
        <v>425.5</v>
      </c>
      <c r="C7" s="2">
        <f t="shared" ref="C7:C68" si="0">LN(B7)-LN(B6)</f>
        <v>-7.0257900244055094E-3</v>
      </c>
      <c r="D7" s="2">
        <f>C6</f>
        <v>-1.7924735478802134E-2</v>
      </c>
      <c r="E7" s="2">
        <f>D6</f>
        <v>-2.2896403820746869E-3</v>
      </c>
      <c r="AM7" s="6" t="s">
        <v>12</v>
      </c>
      <c r="AN7" s="6">
        <v>4.2316700300210598E-2</v>
      </c>
      <c r="AO7"/>
      <c r="AP7"/>
      <c r="AQ7"/>
      <c r="AR7"/>
      <c r="AS7"/>
      <c r="AT7"/>
      <c r="AU7"/>
    </row>
    <row r="8" spans="1:47" x14ac:dyDescent="0.25">
      <c r="A8" s="3">
        <v>42013</v>
      </c>
      <c r="B8" s="2">
        <v>429.75</v>
      </c>
      <c r="C8" s="2">
        <f t="shared" si="0"/>
        <v>9.9386962495291442E-3</v>
      </c>
      <c r="D8" s="2">
        <f t="shared" ref="D7:E70" si="1">C7</f>
        <v>-7.0257900244055094E-3</v>
      </c>
      <c r="E8" s="2">
        <f t="shared" si="1"/>
        <v>-1.7924735478802134E-2</v>
      </c>
      <c r="AM8" s="6" t="s">
        <v>13</v>
      </c>
      <c r="AN8" s="6">
        <v>1.7907031242978435E-3</v>
      </c>
      <c r="AO8"/>
      <c r="AP8"/>
      <c r="AQ8"/>
      <c r="AR8"/>
      <c r="AS8"/>
      <c r="AT8"/>
      <c r="AU8"/>
    </row>
    <row r="9" spans="1:47" x14ac:dyDescent="0.25">
      <c r="A9" s="3">
        <v>42016</v>
      </c>
      <c r="B9" s="2">
        <v>434.25</v>
      </c>
      <c r="C9" s="2">
        <f t="shared" si="0"/>
        <v>1.0416760858255714E-2</v>
      </c>
      <c r="D9" s="2">
        <f t="shared" si="1"/>
        <v>9.9386962495291442E-3</v>
      </c>
      <c r="E9" s="2">
        <f t="shared" si="1"/>
        <v>-7.0257900244055094E-3</v>
      </c>
      <c r="AM9" s="6" t="s">
        <v>14</v>
      </c>
      <c r="AN9" s="6">
        <v>-8.0438712291573504E-3</v>
      </c>
      <c r="AO9"/>
      <c r="AP9"/>
      <c r="AQ9"/>
      <c r="AR9"/>
      <c r="AS9"/>
      <c r="AT9"/>
      <c r="AU9"/>
    </row>
    <row r="10" spans="1:47" x14ac:dyDescent="0.25">
      <c r="A10" s="3">
        <v>42017</v>
      </c>
      <c r="B10" s="2">
        <v>420</v>
      </c>
      <c r="C10" s="2">
        <f t="shared" si="0"/>
        <v>-3.3365693843800059E-2</v>
      </c>
      <c r="D10" s="2">
        <f t="shared" si="1"/>
        <v>1.0416760858255714E-2</v>
      </c>
      <c r="E10" s="2">
        <f t="shared" si="1"/>
        <v>9.9386962495291442E-3</v>
      </c>
      <c r="AM10" s="6" t="s">
        <v>15</v>
      </c>
      <c r="AN10" s="6">
        <v>1.382688969111316E-2</v>
      </c>
      <c r="AO10"/>
      <c r="AP10"/>
      <c r="AQ10"/>
      <c r="AR10"/>
      <c r="AS10"/>
      <c r="AT10"/>
      <c r="AU10"/>
    </row>
    <row r="11" spans="1:47" ht="16.5" thickBot="1" x14ac:dyDescent="0.3">
      <c r="A11" s="3">
        <v>42018</v>
      </c>
      <c r="B11" s="2">
        <v>417</v>
      </c>
      <c r="C11" s="2">
        <f t="shared" si="0"/>
        <v>-7.1684894786123721E-3</v>
      </c>
      <c r="D11" s="2">
        <f>C10</f>
        <v>-3.3365693843800059E-2</v>
      </c>
      <c r="E11" s="2">
        <f t="shared" si="1"/>
        <v>1.0416760858255714E-2</v>
      </c>
      <c r="AM11" s="7" t="s">
        <v>16</v>
      </c>
      <c r="AN11" s="7">
        <v>206</v>
      </c>
      <c r="AO11"/>
      <c r="AP11"/>
      <c r="AQ11"/>
      <c r="AR11"/>
      <c r="AS11"/>
      <c r="AT11"/>
      <c r="AU11"/>
    </row>
    <row r="12" spans="1:47" x14ac:dyDescent="0.25">
      <c r="A12" s="3">
        <v>42019</v>
      </c>
      <c r="B12" s="2">
        <v>415.75</v>
      </c>
      <c r="C12" s="2">
        <f t="shared" si="0"/>
        <v>-3.0021037257643712E-3</v>
      </c>
      <c r="D12" s="2">
        <f t="shared" si="1"/>
        <v>-7.1684894786123721E-3</v>
      </c>
      <c r="E12" s="2">
        <f t="shared" si="1"/>
        <v>-3.3365693843800059E-2</v>
      </c>
      <c r="AM12"/>
      <c r="AN12"/>
      <c r="AO12"/>
      <c r="AP12"/>
      <c r="AQ12"/>
      <c r="AR12"/>
      <c r="AS12"/>
      <c r="AT12"/>
      <c r="AU12"/>
    </row>
    <row r="13" spans="1:47" ht="16.5" thickBot="1" x14ac:dyDescent="0.3">
      <c r="A13" s="3">
        <v>42020</v>
      </c>
      <c r="B13" s="2">
        <v>423</v>
      </c>
      <c r="C13" s="2">
        <f t="shared" si="0"/>
        <v>1.7288060973240427E-2</v>
      </c>
      <c r="D13" s="2">
        <f t="shared" si="1"/>
        <v>-3.0021037257643712E-3</v>
      </c>
      <c r="E13" s="2">
        <f t="shared" si="1"/>
        <v>-7.1684894786123721E-3</v>
      </c>
      <c r="AM13" t="s">
        <v>17</v>
      </c>
      <c r="AN13"/>
      <c r="AO13"/>
      <c r="AP13"/>
      <c r="AQ13"/>
      <c r="AR13"/>
      <c r="AS13"/>
      <c r="AT13"/>
      <c r="AU13"/>
    </row>
    <row r="14" spans="1:47" x14ac:dyDescent="0.25">
      <c r="A14" s="3">
        <v>42024</v>
      </c>
      <c r="B14" s="2">
        <v>425</v>
      </c>
      <c r="C14" s="2">
        <f t="shared" si="0"/>
        <v>4.7169898781396213E-3</v>
      </c>
      <c r="D14" s="2">
        <f t="shared" si="1"/>
        <v>1.7288060973240427E-2</v>
      </c>
      <c r="E14" s="2">
        <f t="shared" si="1"/>
        <v>-3.0021037257643712E-3</v>
      </c>
      <c r="AM14" s="8"/>
      <c r="AN14" s="8" t="s">
        <v>22</v>
      </c>
      <c r="AO14" s="8" t="s">
        <v>23</v>
      </c>
      <c r="AP14" s="8" t="s">
        <v>24</v>
      </c>
      <c r="AQ14" s="8" t="s">
        <v>25</v>
      </c>
      <c r="AR14" s="8" t="s">
        <v>26</v>
      </c>
      <c r="AS14"/>
      <c r="AT14"/>
      <c r="AU14"/>
    </row>
    <row r="15" spans="1:47" x14ac:dyDescent="0.25">
      <c r="A15" s="3">
        <v>42025</v>
      </c>
      <c r="B15" s="2">
        <v>423.75</v>
      </c>
      <c r="C15" s="2">
        <f t="shared" si="0"/>
        <v>-2.9455102297575309E-3</v>
      </c>
      <c r="D15" s="2">
        <f t="shared" si="1"/>
        <v>4.7169898781396213E-3</v>
      </c>
      <c r="E15" s="2">
        <f t="shared" si="1"/>
        <v>1.7288060973240427E-2</v>
      </c>
      <c r="AM15" s="6" t="s">
        <v>18</v>
      </c>
      <c r="AN15" s="6">
        <v>2</v>
      </c>
      <c r="AO15" s="6">
        <v>6.9622083395205758E-5</v>
      </c>
      <c r="AP15" s="6">
        <v>3.4811041697602879E-5</v>
      </c>
      <c r="AQ15" s="6">
        <v>0.18208242267940283</v>
      </c>
      <c r="AR15" s="6">
        <v>0.83366861684327631</v>
      </c>
      <c r="AS15"/>
      <c r="AT15"/>
      <c r="AU15"/>
    </row>
    <row r="16" spans="1:47" x14ac:dyDescent="0.25">
      <c r="A16" s="3">
        <v>42026</v>
      </c>
      <c r="B16" s="2">
        <v>422</v>
      </c>
      <c r="C16" s="2">
        <f t="shared" si="0"/>
        <v>-4.1383446586475969E-3</v>
      </c>
      <c r="D16" s="2">
        <f t="shared" si="1"/>
        <v>-2.9455102297575309E-3</v>
      </c>
      <c r="E16" s="2">
        <f t="shared" si="1"/>
        <v>4.7169898781396213E-3</v>
      </c>
      <c r="AM16" s="6" t="s">
        <v>19</v>
      </c>
      <c r="AN16" s="6">
        <v>203</v>
      </c>
      <c r="AO16" s="6">
        <v>3.8810124341632911E-2</v>
      </c>
      <c r="AP16" s="6">
        <v>1.9118287853021139E-4</v>
      </c>
      <c r="AQ16" s="6"/>
      <c r="AR16" s="6"/>
      <c r="AS16"/>
      <c r="AT16"/>
      <c r="AU16"/>
    </row>
    <row r="17" spans="1:47" ht="16.5" thickBot="1" x14ac:dyDescent="0.3">
      <c r="A17" s="3">
        <v>42027</v>
      </c>
      <c r="B17" s="2">
        <v>425.75</v>
      </c>
      <c r="C17" s="2">
        <f t="shared" si="0"/>
        <v>8.8470055067855213E-3</v>
      </c>
      <c r="D17" s="2">
        <f t="shared" si="1"/>
        <v>-4.1383446586475969E-3</v>
      </c>
      <c r="E17" s="2">
        <f t="shared" si="1"/>
        <v>-2.9455102297575309E-3</v>
      </c>
      <c r="AM17" s="7" t="s">
        <v>20</v>
      </c>
      <c r="AN17" s="7">
        <v>205</v>
      </c>
      <c r="AO17" s="7">
        <v>3.8879746425028117E-2</v>
      </c>
      <c r="AP17" s="7"/>
      <c r="AQ17" s="7"/>
      <c r="AR17" s="7"/>
      <c r="AS17"/>
      <c r="AT17"/>
      <c r="AU17"/>
    </row>
    <row r="18" spans="1:47" ht="16.5" thickBot="1" x14ac:dyDescent="0.3">
      <c r="A18" s="3">
        <v>42030</v>
      </c>
      <c r="B18" s="2">
        <v>422.75</v>
      </c>
      <c r="C18" s="2">
        <f t="shared" si="0"/>
        <v>-7.071331764107569E-3</v>
      </c>
      <c r="D18" s="2">
        <f t="shared" si="1"/>
        <v>8.8470055067855213E-3</v>
      </c>
      <c r="E18" s="2">
        <f t="shared" si="1"/>
        <v>-4.1383446586475969E-3</v>
      </c>
      <c r="AM18"/>
      <c r="AN18"/>
      <c r="AO18"/>
      <c r="AP18"/>
      <c r="AQ18"/>
      <c r="AR18"/>
      <c r="AS18"/>
      <c r="AT18"/>
      <c r="AU18"/>
    </row>
    <row r="19" spans="1:47" x14ac:dyDescent="0.25">
      <c r="A19" s="3">
        <v>42031</v>
      </c>
      <c r="B19" s="2">
        <v>419.75</v>
      </c>
      <c r="C19" s="2">
        <f t="shared" si="0"/>
        <v>-7.1216918210401658E-3</v>
      </c>
      <c r="D19" s="2">
        <f t="shared" si="1"/>
        <v>-7.071331764107569E-3</v>
      </c>
      <c r="E19" s="2">
        <f t="shared" si="1"/>
        <v>8.8470055067855213E-3</v>
      </c>
      <c r="AM19" s="8"/>
      <c r="AN19" s="8" t="s">
        <v>27</v>
      </c>
      <c r="AO19" s="8" t="s">
        <v>15</v>
      </c>
      <c r="AP19" s="8" t="s">
        <v>28</v>
      </c>
      <c r="AQ19" s="8" t="s">
        <v>29</v>
      </c>
      <c r="AR19" s="8" t="s">
        <v>30</v>
      </c>
      <c r="AS19" s="8" t="s">
        <v>31</v>
      </c>
      <c r="AT19" s="8" t="s">
        <v>32</v>
      </c>
      <c r="AU19" s="8" t="s">
        <v>33</v>
      </c>
    </row>
    <row r="20" spans="1:47" x14ac:dyDescent="0.25">
      <c r="A20" s="3">
        <v>42032</v>
      </c>
      <c r="B20" s="2">
        <v>412.75</v>
      </c>
      <c r="C20" s="2">
        <f t="shared" si="0"/>
        <v>-1.6817213157412247E-2</v>
      </c>
      <c r="D20" s="2">
        <f t="shared" si="1"/>
        <v>-7.1216918210401658E-3</v>
      </c>
      <c r="E20" s="2">
        <f t="shared" si="1"/>
        <v>-7.071331764107569E-3</v>
      </c>
      <c r="AM20" s="6" t="s">
        <v>21</v>
      </c>
      <c r="AN20" s="6">
        <v>-4.4094400251305479E-4</v>
      </c>
      <c r="AO20" s="6">
        <v>9.6500664246690305E-4</v>
      </c>
      <c r="AP20" s="6">
        <v>-0.45693364491859223</v>
      </c>
      <c r="AQ20" s="6">
        <v>0.64820731311861179</v>
      </c>
      <c r="AR20" s="6">
        <v>-2.3436657883574795E-3</v>
      </c>
      <c r="AS20" s="6">
        <v>1.4617777833313701E-3</v>
      </c>
      <c r="AT20" s="6">
        <v>-2.3436657883574795E-3</v>
      </c>
      <c r="AU20" s="6">
        <v>1.4617777833313701E-3</v>
      </c>
    </row>
    <row r="21" spans="1:47" x14ac:dyDescent="0.25">
      <c r="A21" s="3">
        <v>42033</v>
      </c>
      <c r="B21" s="2">
        <v>411.75</v>
      </c>
      <c r="C21" s="2">
        <f t="shared" si="0"/>
        <v>-2.4257137424879005E-3</v>
      </c>
      <c r="D21" s="2">
        <f t="shared" si="1"/>
        <v>-1.6817213157412247E-2</v>
      </c>
      <c r="E21" s="2">
        <f t="shared" si="1"/>
        <v>-7.1216918210401658E-3</v>
      </c>
      <c r="AM21" s="6">
        <v>-2.2896403820746869E-3</v>
      </c>
      <c r="AN21" s="6">
        <v>2.9551352204990489E-2</v>
      </c>
      <c r="AO21" s="6">
        <v>6.9900742903154567E-2</v>
      </c>
      <c r="AP21" s="6">
        <v>0.42276163281888179</v>
      </c>
      <c r="AQ21" s="6">
        <v>0.67291666055041188</v>
      </c>
      <c r="AR21" s="6">
        <v>-0.1082732600987573</v>
      </c>
      <c r="AS21" s="6">
        <v>0.16737596450873829</v>
      </c>
      <c r="AT21" s="6">
        <v>-0.1082732600987573</v>
      </c>
      <c r="AU21" s="6">
        <v>0.16737596450873829</v>
      </c>
    </row>
    <row r="22" spans="1:47" ht="16.5" thickBot="1" x14ac:dyDescent="0.3">
      <c r="A22" s="3">
        <v>42034</v>
      </c>
      <c r="B22" s="2">
        <v>409</v>
      </c>
      <c r="C22" s="2">
        <f t="shared" si="0"/>
        <v>-6.7012130149475269E-3</v>
      </c>
      <c r="D22" s="2">
        <f t="shared" si="1"/>
        <v>-2.4257137424879005E-3</v>
      </c>
      <c r="E22" s="2">
        <f t="shared" si="1"/>
        <v>-1.6817213157412247E-2</v>
      </c>
      <c r="AM22" s="7">
        <v>2.1966201126408791E-2</v>
      </c>
      <c r="AN22" s="7">
        <v>-3.0962089015650361E-2</v>
      </c>
      <c r="AO22" s="7">
        <v>6.9991967524896365E-2</v>
      </c>
      <c r="AP22" s="7">
        <v>-0.44236631874417659</v>
      </c>
      <c r="AQ22" s="7">
        <v>0.65869509728781606</v>
      </c>
      <c r="AR22" s="7">
        <v>-0.16896657062553042</v>
      </c>
      <c r="AS22" s="7">
        <v>0.10704239259422968</v>
      </c>
      <c r="AT22" s="7">
        <v>-0.16896657062553042</v>
      </c>
      <c r="AU22" s="7">
        <v>0.10704239259422968</v>
      </c>
    </row>
    <row r="23" spans="1:47" x14ac:dyDescent="0.25">
      <c r="A23" s="3">
        <v>42037</v>
      </c>
      <c r="B23" s="2">
        <v>409</v>
      </c>
      <c r="C23" s="2">
        <f t="shared" si="0"/>
        <v>0</v>
      </c>
      <c r="D23" s="2">
        <f t="shared" si="1"/>
        <v>-6.7012130149475269E-3</v>
      </c>
      <c r="E23" s="2">
        <f t="shared" si="1"/>
        <v>-2.4257137424879005E-3</v>
      </c>
      <c r="AM23"/>
      <c r="AN23"/>
      <c r="AO23"/>
      <c r="AP23"/>
      <c r="AQ23"/>
      <c r="AR23"/>
      <c r="AS23"/>
      <c r="AT23"/>
      <c r="AU23"/>
    </row>
    <row r="24" spans="1:47" x14ac:dyDescent="0.25">
      <c r="A24" s="3">
        <v>42038</v>
      </c>
      <c r="B24" s="2">
        <v>424</v>
      </c>
      <c r="C24" s="2">
        <f t="shared" si="0"/>
        <v>3.6018299189155556E-2</v>
      </c>
      <c r="D24" s="2">
        <f t="shared" si="1"/>
        <v>0</v>
      </c>
      <c r="E24" s="2">
        <f t="shared" si="1"/>
        <v>-6.7012130149475269E-3</v>
      </c>
      <c r="AM24"/>
      <c r="AN24"/>
      <c r="AO24"/>
      <c r="AP24"/>
      <c r="AQ24"/>
      <c r="AR24"/>
      <c r="AS24"/>
      <c r="AT24"/>
      <c r="AU24"/>
    </row>
    <row r="25" spans="1:47" x14ac:dyDescent="0.25">
      <c r="A25" s="3">
        <v>42039</v>
      </c>
      <c r="B25" s="2">
        <v>422</v>
      </c>
      <c r="C25" s="2">
        <f t="shared" si="0"/>
        <v>-4.7281411959456676E-3</v>
      </c>
      <c r="D25" s="2">
        <f t="shared" si="1"/>
        <v>3.6018299189155556E-2</v>
      </c>
      <c r="E25" s="2">
        <f t="shared" si="1"/>
        <v>0</v>
      </c>
      <c r="AM25"/>
      <c r="AN25"/>
      <c r="AO25"/>
      <c r="AP25"/>
      <c r="AQ25"/>
      <c r="AR25"/>
      <c r="AS25"/>
      <c r="AT25"/>
      <c r="AU25"/>
    </row>
    <row r="26" spans="1:47" x14ac:dyDescent="0.25">
      <c r="A26" s="3">
        <v>42040</v>
      </c>
      <c r="B26" s="2">
        <v>424</v>
      </c>
      <c r="C26" s="2">
        <f t="shared" si="0"/>
        <v>4.7281411959456676E-3</v>
      </c>
      <c r="D26" s="2">
        <f t="shared" si="1"/>
        <v>-4.7281411959456676E-3</v>
      </c>
      <c r="E26" s="2">
        <f t="shared" si="1"/>
        <v>3.6018299189155556E-2</v>
      </c>
    </row>
    <row r="27" spans="1:47" x14ac:dyDescent="0.25">
      <c r="A27" s="3">
        <v>42041</v>
      </c>
      <c r="B27" s="2">
        <v>424.5</v>
      </c>
      <c r="C27" s="2">
        <f t="shared" si="0"/>
        <v>1.1785505194445989E-3</v>
      </c>
      <c r="D27" s="2">
        <f t="shared" si="1"/>
        <v>4.7281411959456676E-3</v>
      </c>
      <c r="E27" s="2">
        <f t="shared" si="1"/>
        <v>-4.7281411959456676E-3</v>
      </c>
    </row>
    <row r="28" spans="1:47" x14ac:dyDescent="0.25">
      <c r="A28" s="3">
        <v>42044</v>
      </c>
      <c r="B28" s="2">
        <v>429.25</v>
      </c>
      <c r="C28" s="2">
        <f t="shared" si="0"/>
        <v>1.1127494026182738E-2</v>
      </c>
      <c r="D28" s="2">
        <f t="shared" si="1"/>
        <v>1.1785505194445989E-3</v>
      </c>
      <c r="E28" s="2">
        <f t="shared" si="1"/>
        <v>4.7281411959456676E-3</v>
      </c>
    </row>
    <row r="29" spans="1:47" x14ac:dyDescent="0.25">
      <c r="A29" s="3">
        <v>42045</v>
      </c>
      <c r="B29" s="2">
        <v>426.75</v>
      </c>
      <c r="C29" s="2">
        <f t="shared" si="0"/>
        <v>-5.8411381030349929E-3</v>
      </c>
      <c r="D29" s="2">
        <f t="shared" si="1"/>
        <v>1.1127494026182738E-2</v>
      </c>
      <c r="E29" s="2">
        <f t="shared" si="1"/>
        <v>1.1785505194445989E-3</v>
      </c>
    </row>
    <row r="30" spans="1:47" x14ac:dyDescent="0.25">
      <c r="A30" s="3">
        <v>42046</v>
      </c>
      <c r="B30" s="2">
        <v>423.25</v>
      </c>
      <c r="C30" s="2">
        <f t="shared" si="0"/>
        <v>-8.2353406613053792E-3</v>
      </c>
      <c r="D30" s="2">
        <f t="shared" si="1"/>
        <v>-5.8411381030349929E-3</v>
      </c>
      <c r="E30" s="2">
        <f t="shared" si="1"/>
        <v>1.1127494026182738E-2</v>
      </c>
    </row>
    <row r="31" spans="1:47" x14ac:dyDescent="0.25">
      <c r="A31" s="3">
        <v>42047</v>
      </c>
      <c r="B31" s="2">
        <v>421.5</v>
      </c>
      <c r="C31" s="2">
        <f t="shared" si="0"/>
        <v>-4.1432435713346649E-3</v>
      </c>
      <c r="D31" s="2">
        <f t="shared" si="1"/>
        <v>-8.2353406613053792E-3</v>
      </c>
      <c r="E31" s="2">
        <f t="shared" si="1"/>
        <v>-5.8411381030349929E-3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47" ht="21.75" thickBot="1" x14ac:dyDescent="0.4">
      <c r="A32" s="3">
        <v>42048</v>
      </c>
      <c r="B32" s="2">
        <v>426</v>
      </c>
      <c r="C32" s="2">
        <f t="shared" si="0"/>
        <v>1.0619568827460846E-2</v>
      </c>
      <c r="D32" s="2">
        <f t="shared" si="1"/>
        <v>-4.1432435713346649E-3</v>
      </c>
      <c r="E32" s="2">
        <f t="shared" si="1"/>
        <v>-8.2353406613053792E-3</v>
      </c>
      <c r="H32" s="10"/>
      <c r="I32" s="11" t="s">
        <v>6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ht="18.75" x14ac:dyDescent="0.3">
      <c r="A33" s="3">
        <v>42052</v>
      </c>
      <c r="B33" s="2">
        <v>429.5</v>
      </c>
      <c r="C33" s="2">
        <f t="shared" si="0"/>
        <v>8.1823951549395701E-3</v>
      </c>
      <c r="D33" s="2">
        <f t="shared" si="1"/>
        <v>1.0619568827460846E-2</v>
      </c>
      <c r="E33" s="2">
        <f t="shared" si="1"/>
        <v>-4.1432435713346649E-3</v>
      </c>
      <c r="H33" s="10"/>
      <c r="I33" s="12"/>
      <c r="J33" s="12" t="s">
        <v>7</v>
      </c>
      <c r="K33" s="12" t="s">
        <v>8</v>
      </c>
      <c r="L33" s="12" t="s">
        <v>9</v>
      </c>
      <c r="M33" s="10"/>
      <c r="N33" s="10"/>
      <c r="O33" s="10"/>
      <c r="P33" s="10"/>
      <c r="Q33" s="10"/>
      <c r="R33" s="10"/>
      <c r="S33" s="10"/>
    </row>
    <row r="34" spans="1:19" ht="18.75" x14ac:dyDescent="0.3">
      <c r="A34" s="3">
        <v>42053</v>
      </c>
      <c r="B34" s="2">
        <v>423.5</v>
      </c>
      <c r="C34" s="2">
        <f t="shared" si="0"/>
        <v>-1.4068227332201033E-2</v>
      </c>
      <c r="D34" s="2">
        <f t="shared" si="1"/>
        <v>8.1823951549395701E-3</v>
      </c>
      <c r="E34" s="2">
        <f t="shared" si="1"/>
        <v>1.0619568827460846E-2</v>
      </c>
      <c r="H34" s="10"/>
      <c r="I34" s="13" t="s">
        <v>7</v>
      </c>
      <c r="J34" s="14">
        <v>1</v>
      </c>
      <c r="K34" s="14"/>
      <c r="L34" s="14"/>
      <c r="M34" s="10"/>
      <c r="N34" s="10"/>
      <c r="O34" s="10"/>
      <c r="P34" s="10"/>
      <c r="Q34" s="10"/>
      <c r="R34" s="10"/>
      <c r="S34" s="10"/>
    </row>
    <row r="35" spans="1:19" ht="18.75" x14ac:dyDescent="0.3">
      <c r="A35" s="3">
        <v>42054</v>
      </c>
      <c r="B35" s="2">
        <v>428.75</v>
      </c>
      <c r="C35" s="2">
        <f t="shared" si="0"/>
        <v>1.2320484388040676E-2</v>
      </c>
      <c r="D35" s="2">
        <f t="shared" si="1"/>
        <v>-1.4068227332201033E-2</v>
      </c>
      <c r="E35" s="2">
        <f t="shared" si="1"/>
        <v>8.1823951549395701E-3</v>
      </c>
      <c r="H35" s="10"/>
      <c r="I35" s="13" t="s">
        <v>8</v>
      </c>
      <c r="J35" s="14">
        <v>2.9443785365176715E-2</v>
      </c>
      <c r="K35" s="14">
        <v>1</v>
      </c>
      <c r="L35" s="14"/>
      <c r="M35" s="10"/>
      <c r="N35" s="10"/>
      <c r="O35" s="10"/>
      <c r="P35" s="10"/>
      <c r="Q35" s="10"/>
      <c r="R35" s="10"/>
      <c r="S35" s="10"/>
    </row>
    <row r="36" spans="1:19" ht="19.5" thickBot="1" x14ac:dyDescent="0.35">
      <c r="A36" s="3">
        <v>42055</v>
      </c>
      <c r="B36" s="2">
        <v>425.25</v>
      </c>
      <c r="C36" s="2">
        <f t="shared" si="0"/>
        <v>-8.1967672041791673E-3</v>
      </c>
      <c r="D36" s="2">
        <f t="shared" si="1"/>
        <v>1.2320484388040676E-2</v>
      </c>
      <c r="E36" s="2">
        <f t="shared" si="1"/>
        <v>-1.4068227332201033E-2</v>
      </c>
      <c r="H36" s="10"/>
      <c r="I36" s="15" t="s">
        <v>9</v>
      </c>
      <c r="J36" s="16">
        <v>-3.9861868860681771E-2</v>
      </c>
      <c r="K36" s="16">
        <v>2.7002020401485399E-2</v>
      </c>
      <c r="L36" s="16">
        <v>1</v>
      </c>
      <c r="M36" s="10"/>
      <c r="N36" s="10"/>
      <c r="O36" s="10"/>
      <c r="P36" s="10"/>
      <c r="Q36" s="10"/>
      <c r="R36" s="10"/>
      <c r="S36" s="10"/>
    </row>
    <row r="37" spans="1:19" x14ac:dyDescent="0.25">
      <c r="A37" s="3">
        <v>42058</v>
      </c>
      <c r="B37" s="2">
        <v>419.5</v>
      </c>
      <c r="C37" s="2">
        <f t="shared" si="0"/>
        <v>-1.3613705368710427E-2</v>
      </c>
      <c r="D37" s="2">
        <f t="shared" si="1"/>
        <v>-8.1967672041791673E-3</v>
      </c>
      <c r="E37" s="2">
        <f t="shared" si="1"/>
        <v>1.2320484388040676E-2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x14ac:dyDescent="0.25">
      <c r="A38" s="3">
        <v>42059</v>
      </c>
      <c r="B38" s="2">
        <v>418.75</v>
      </c>
      <c r="C38" s="2">
        <f t="shared" si="0"/>
        <v>-1.7894427679845393E-3</v>
      </c>
      <c r="D38" s="2">
        <f t="shared" si="1"/>
        <v>-1.3613705368710427E-2</v>
      </c>
      <c r="E38" s="2">
        <f t="shared" si="1"/>
        <v>-8.1967672041791673E-3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x14ac:dyDescent="0.25">
      <c r="A39" s="3">
        <v>42060</v>
      </c>
      <c r="B39" s="2">
        <v>418</v>
      </c>
      <c r="C39" s="2">
        <f t="shared" si="0"/>
        <v>-1.7926506145196086E-3</v>
      </c>
      <c r="D39" s="2">
        <f t="shared" si="1"/>
        <v>-1.7894427679845393E-3</v>
      </c>
      <c r="E39" s="2">
        <f t="shared" si="1"/>
        <v>-1.3613705368710427E-2</v>
      </c>
      <c r="H39" s="10"/>
      <c r="I39" s="17" t="s">
        <v>10</v>
      </c>
      <c r="J39" s="17"/>
      <c r="K39" s="17"/>
      <c r="L39" s="17"/>
      <c r="M39" s="17"/>
      <c r="N39" s="17"/>
      <c r="O39" s="17"/>
      <c r="P39" s="17"/>
      <c r="Q39" s="17"/>
      <c r="R39" s="10"/>
      <c r="S39" s="10"/>
    </row>
    <row r="40" spans="1:19" ht="16.5" thickBot="1" x14ac:dyDescent="0.3">
      <c r="A40" s="3">
        <v>42061</v>
      </c>
      <c r="B40" s="2">
        <v>422.5</v>
      </c>
      <c r="C40" s="2">
        <f t="shared" si="0"/>
        <v>1.0708014272472255E-2</v>
      </c>
      <c r="D40" s="2">
        <f t="shared" si="1"/>
        <v>-1.7926506145196086E-3</v>
      </c>
      <c r="E40" s="2">
        <f t="shared" si="1"/>
        <v>-1.7894427679845393E-3</v>
      </c>
      <c r="H40" s="10"/>
      <c r="I40" s="17"/>
      <c r="J40" s="17"/>
      <c r="K40" s="17"/>
      <c r="L40" s="17"/>
      <c r="M40" s="17"/>
      <c r="N40" s="17"/>
      <c r="O40" s="17"/>
      <c r="P40" s="17"/>
      <c r="Q40" s="17"/>
      <c r="R40" s="10"/>
      <c r="S40" s="10"/>
    </row>
    <row r="41" spans="1:19" x14ac:dyDescent="0.25">
      <c r="A41" s="3">
        <v>42062</v>
      </c>
      <c r="B41" s="2">
        <v>426</v>
      </c>
      <c r="C41" s="2">
        <f t="shared" si="0"/>
        <v>8.2498994721422747E-3</v>
      </c>
      <c r="D41" s="2">
        <f t="shared" si="1"/>
        <v>1.0708014272472255E-2</v>
      </c>
      <c r="E41" s="2">
        <f t="shared" si="1"/>
        <v>-1.7926506145196086E-3</v>
      </c>
      <c r="H41" s="10"/>
      <c r="I41" s="18" t="s">
        <v>11</v>
      </c>
      <c r="J41" s="18"/>
      <c r="K41" s="17"/>
      <c r="L41" s="17"/>
      <c r="M41" s="17"/>
      <c r="N41" s="17"/>
      <c r="O41" s="17"/>
      <c r="P41" s="17"/>
      <c r="Q41" s="17"/>
      <c r="R41" s="10"/>
      <c r="S41" s="10"/>
    </row>
    <row r="42" spans="1:19" x14ac:dyDescent="0.25">
      <c r="A42" s="3">
        <v>42065</v>
      </c>
      <c r="B42" s="2">
        <v>422.25</v>
      </c>
      <c r="C42" s="2">
        <f t="shared" si="0"/>
        <v>-8.841790581461062E-3</v>
      </c>
      <c r="D42" s="2">
        <f t="shared" si="1"/>
        <v>8.2498994721422747E-3</v>
      </c>
      <c r="E42" s="2">
        <f t="shared" si="1"/>
        <v>1.0708014272472255E-2</v>
      </c>
      <c r="H42" s="10"/>
      <c r="I42" s="19" t="s">
        <v>12</v>
      </c>
      <c r="J42" s="19">
        <v>5.021082510513733E-2</v>
      </c>
      <c r="K42" s="17"/>
      <c r="L42" s="17"/>
      <c r="M42" s="17"/>
      <c r="N42" s="17"/>
      <c r="O42" s="17"/>
      <c r="P42" s="17"/>
      <c r="Q42" s="17"/>
      <c r="R42" s="10"/>
      <c r="S42" s="10"/>
    </row>
    <row r="43" spans="1:19" x14ac:dyDescent="0.25">
      <c r="A43" s="3">
        <v>42066</v>
      </c>
      <c r="B43" s="2">
        <v>425.5</v>
      </c>
      <c r="C43" s="2">
        <f t="shared" si="0"/>
        <v>7.6673923255192733E-3</v>
      </c>
      <c r="D43" s="2">
        <f t="shared" si="1"/>
        <v>-8.841790581461062E-3</v>
      </c>
      <c r="E43" s="2">
        <f t="shared" si="1"/>
        <v>8.2498994721422747E-3</v>
      </c>
      <c r="H43" s="10"/>
      <c r="I43" s="19" t="s">
        <v>13</v>
      </c>
      <c r="J43" s="19">
        <v>2.5211269577386894E-3</v>
      </c>
      <c r="K43" s="17"/>
      <c r="L43" s="17"/>
      <c r="M43" s="17"/>
      <c r="N43" s="17"/>
      <c r="O43" s="17"/>
      <c r="P43" s="17"/>
      <c r="Q43" s="17"/>
      <c r="R43" s="10"/>
      <c r="S43" s="10"/>
    </row>
    <row r="44" spans="1:19" x14ac:dyDescent="0.25">
      <c r="A44" s="3">
        <v>42067</v>
      </c>
      <c r="B44" s="2">
        <v>422.75</v>
      </c>
      <c r="C44" s="2">
        <f t="shared" si="0"/>
        <v>-6.4839602347390723E-3</v>
      </c>
      <c r="D44" s="2">
        <f t="shared" si="1"/>
        <v>7.6673923255192733E-3</v>
      </c>
      <c r="E44" s="2">
        <f t="shared" si="1"/>
        <v>-8.841790581461062E-3</v>
      </c>
      <c r="H44" s="10"/>
      <c r="I44" s="19" t="s">
        <v>14</v>
      </c>
      <c r="J44" s="19">
        <v>-7.2580776799305389E-3</v>
      </c>
      <c r="K44" s="17"/>
      <c r="L44" s="17"/>
      <c r="M44" s="17"/>
      <c r="N44" s="17"/>
      <c r="O44" s="17"/>
      <c r="P44" s="17"/>
      <c r="Q44" s="17"/>
      <c r="R44" s="10"/>
      <c r="S44" s="10"/>
    </row>
    <row r="45" spans="1:19" x14ac:dyDescent="0.25">
      <c r="A45" s="3">
        <v>42068</v>
      </c>
      <c r="B45" s="2">
        <v>423.25</v>
      </c>
      <c r="C45" s="2">
        <f t="shared" si="0"/>
        <v>1.1820332345546802E-3</v>
      </c>
      <c r="D45" s="2">
        <f t="shared" si="1"/>
        <v>-6.4839602347390723E-3</v>
      </c>
      <c r="E45" s="2">
        <f t="shared" si="1"/>
        <v>7.6673923255192733E-3</v>
      </c>
      <c r="H45" s="10"/>
      <c r="I45" s="19" t="s">
        <v>15</v>
      </c>
      <c r="J45" s="19">
        <v>1.3841762278071388E-2</v>
      </c>
      <c r="K45" s="17"/>
      <c r="L45" s="17"/>
      <c r="M45" s="17"/>
      <c r="N45" s="17"/>
      <c r="O45" s="17"/>
      <c r="P45" s="17"/>
      <c r="Q45" s="17"/>
      <c r="R45" s="10"/>
      <c r="S45" s="10"/>
    </row>
    <row r="46" spans="1:19" ht="16.5" thickBot="1" x14ac:dyDescent="0.3">
      <c r="A46" s="3">
        <v>42069</v>
      </c>
      <c r="B46" s="2">
        <v>420</v>
      </c>
      <c r="C46" s="2">
        <f t="shared" si="0"/>
        <v>-7.7083097358308095E-3</v>
      </c>
      <c r="D46" s="2">
        <f t="shared" si="1"/>
        <v>1.1820332345546802E-3</v>
      </c>
      <c r="E46" s="2">
        <f t="shared" si="1"/>
        <v>-6.4839602347390723E-3</v>
      </c>
      <c r="H46" s="10"/>
      <c r="I46" s="20" t="s">
        <v>16</v>
      </c>
      <c r="J46" s="20">
        <v>207</v>
      </c>
      <c r="K46" s="17"/>
      <c r="L46" s="17"/>
      <c r="M46" s="17"/>
      <c r="N46" s="17"/>
      <c r="O46" s="17"/>
      <c r="P46" s="17"/>
      <c r="Q46" s="17"/>
      <c r="R46" s="10"/>
      <c r="S46" s="10"/>
    </row>
    <row r="47" spans="1:19" x14ac:dyDescent="0.25">
      <c r="A47" s="3">
        <v>42072</v>
      </c>
      <c r="B47" s="2">
        <v>421.75</v>
      </c>
      <c r="C47" s="2">
        <f t="shared" si="0"/>
        <v>4.1580101486635712E-3</v>
      </c>
      <c r="D47" s="2">
        <f t="shared" si="1"/>
        <v>-7.7083097358308095E-3</v>
      </c>
      <c r="E47" s="2">
        <f t="shared" si="1"/>
        <v>1.1820332345546802E-3</v>
      </c>
      <c r="H47" s="10"/>
      <c r="I47" s="17"/>
      <c r="J47" s="17"/>
      <c r="K47" s="17"/>
      <c r="L47" s="17"/>
      <c r="M47" s="17"/>
      <c r="N47" s="17"/>
      <c r="O47" s="17"/>
      <c r="P47" s="17"/>
      <c r="Q47" s="17"/>
      <c r="R47" s="10"/>
      <c r="S47" s="10"/>
    </row>
    <row r="48" spans="1:19" ht="16.5" thickBot="1" x14ac:dyDescent="0.3">
      <c r="A48" s="3">
        <v>42073</v>
      </c>
      <c r="B48" s="2">
        <v>421.5</v>
      </c>
      <c r="C48" s="2">
        <f t="shared" si="0"/>
        <v>-5.9294398416742666E-4</v>
      </c>
      <c r="D48" s="2">
        <f t="shared" si="1"/>
        <v>4.1580101486635712E-3</v>
      </c>
      <c r="E48" s="2">
        <f t="shared" si="1"/>
        <v>-7.7083097358308095E-3</v>
      </c>
      <c r="H48" s="10"/>
      <c r="I48" s="17" t="s">
        <v>17</v>
      </c>
      <c r="J48" s="17"/>
      <c r="K48" s="17"/>
      <c r="L48" s="17"/>
      <c r="M48" s="17"/>
      <c r="N48" s="17"/>
      <c r="O48" s="17"/>
      <c r="P48" s="17"/>
      <c r="Q48" s="17"/>
      <c r="R48" s="10"/>
      <c r="S48" s="10"/>
    </row>
    <row r="49" spans="1:19" x14ac:dyDescent="0.25">
      <c r="A49" s="3">
        <v>42074</v>
      </c>
      <c r="B49" s="2">
        <v>423.25</v>
      </c>
      <c r="C49" s="2">
        <f t="shared" si="0"/>
        <v>4.1432435713346649E-3</v>
      </c>
      <c r="D49" s="2">
        <f t="shared" si="1"/>
        <v>-5.9294398416742666E-4</v>
      </c>
      <c r="E49" s="2">
        <f t="shared" si="1"/>
        <v>4.1580101486635712E-3</v>
      </c>
      <c r="H49" s="10"/>
      <c r="I49" s="21"/>
      <c r="J49" s="21" t="s">
        <v>22</v>
      </c>
      <c r="K49" s="21" t="s">
        <v>23</v>
      </c>
      <c r="L49" s="21" t="s">
        <v>24</v>
      </c>
      <c r="M49" s="21" t="s">
        <v>25</v>
      </c>
      <c r="N49" s="21" t="s">
        <v>26</v>
      </c>
      <c r="O49" s="17"/>
      <c r="P49" s="17"/>
      <c r="Q49" s="17"/>
      <c r="R49" s="10"/>
      <c r="S49" s="10"/>
    </row>
    <row r="50" spans="1:19" x14ac:dyDescent="0.25">
      <c r="A50" s="3">
        <v>42075</v>
      </c>
      <c r="B50" s="2">
        <v>420.5</v>
      </c>
      <c r="C50" s="2">
        <f t="shared" si="0"/>
        <v>-6.5185416002417895E-3</v>
      </c>
      <c r="D50" s="2">
        <f t="shared" si="1"/>
        <v>4.1432435713346649E-3</v>
      </c>
      <c r="E50" s="2">
        <f t="shared" si="1"/>
        <v>-5.9294398416742666E-4</v>
      </c>
      <c r="H50" s="10"/>
      <c r="I50" s="19" t="s">
        <v>18</v>
      </c>
      <c r="J50" s="19">
        <v>2</v>
      </c>
      <c r="K50" s="19">
        <v>9.8787944773706671E-5</v>
      </c>
      <c r="L50" s="19">
        <v>4.9393972386853335E-5</v>
      </c>
      <c r="M50" s="19">
        <v>0.2578049085942406</v>
      </c>
      <c r="N50" s="19">
        <v>0.77299735224958932</v>
      </c>
      <c r="O50" s="17"/>
      <c r="P50" s="17"/>
      <c r="Q50" s="17"/>
      <c r="R50" s="10"/>
      <c r="S50" s="10"/>
    </row>
    <row r="51" spans="1:19" x14ac:dyDescent="0.25">
      <c r="A51" s="3">
        <v>42076</v>
      </c>
      <c r="B51" s="2">
        <v>413.75</v>
      </c>
      <c r="C51" s="2">
        <f t="shared" si="0"/>
        <v>-1.6182552721730303E-2</v>
      </c>
      <c r="D51" s="2">
        <f t="shared" si="1"/>
        <v>-6.5185416002417895E-3</v>
      </c>
      <c r="E51" s="2">
        <f t="shared" si="1"/>
        <v>4.1432435713346649E-3</v>
      </c>
      <c r="H51" s="10"/>
      <c r="I51" s="19" t="s">
        <v>19</v>
      </c>
      <c r="J51" s="19">
        <v>204</v>
      </c>
      <c r="K51" s="19">
        <v>3.9085254124378556E-2</v>
      </c>
      <c r="L51" s="19">
        <v>1.9159438296263999E-4</v>
      </c>
      <c r="M51" s="19"/>
      <c r="N51" s="19"/>
      <c r="O51" s="17"/>
      <c r="P51" s="17"/>
      <c r="Q51" s="17"/>
      <c r="R51" s="10"/>
      <c r="S51" s="10"/>
    </row>
    <row r="52" spans="1:19" ht="16.5" thickBot="1" x14ac:dyDescent="0.3">
      <c r="A52" s="3">
        <v>42079</v>
      </c>
      <c r="B52" s="2">
        <v>413.75</v>
      </c>
      <c r="C52" s="2">
        <f t="shared" si="0"/>
        <v>0</v>
      </c>
      <c r="D52" s="2">
        <f t="shared" si="1"/>
        <v>-1.6182552721730303E-2</v>
      </c>
      <c r="E52" s="2">
        <f t="shared" si="1"/>
        <v>-6.5185416002417895E-3</v>
      </c>
      <c r="H52" s="10"/>
      <c r="I52" s="20" t="s">
        <v>20</v>
      </c>
      <c r="J52" s="20">
        <v>206</v>
      </c>
      <c r="K52" s="20">
        <v>3.9184042069152263E-2</v>
      </c>
      <c r="L52" s="20"/>
      <c r="M52" s="20"/>
      <c r="N52" s="20"/>
      <c r="O52" s="17"/>
      <c r="P52" s="17"/>
      <c r="Q52" s="17"/>
      <c r="R52" s="10"/>
      <c r="S52" s="10"/>
    </row>
    <row r="53" spans="1:19" ht="16.5" thickBot="1" x14ac:dyDescent="0.3">
      <c r="A53" s="3">
        <v>42080</v>
      </c>
      <c r="B53" s="2">
        <v>406.75</v>
      </c>
      <c r="C53" s="2">
        <f t="shared" si="0"/>
        <v>-1.7063180592125526E-2</v>
      </c>
      <c r="D53" s="2">
        <f t="shared" si="1"/>
        <v>0</v>
      </c>
      <c r="E53" s="2">
        <f t="shared" si="1"/>
        <v>-1.6182552721730303E-2</v>
      </c>
      <c r="H53" s="10"/>
      <c r="I53" s="17"/>
      <c r="J53" s="17"/>
      <c r="K53" s="17"/>
      <c r="L53" s="17"/>
      <c r="M53" s="17"/>
      <c r="N53" s="17"/>
      <c r="O53" s="17"/>
      <c r="P53" s="17"/>
      <c r="Q53" s="17"/>
      <c r="R53" s="10"/>
      <c r="S53" s="10"/>
    </row>
    <row r="54" spans="1:19" x14ac:dyDescent="0.25">
      <c r="A54" s="3">
        <v>42081</v>
      </c>
      <c r="B54" s="2">
        <v>409.5</v>
      </c>
      <c r="C54" s="2">
        <f t="shared" si="0"/>
        <v>6.7381571939773011E-3</v>
      </c>
      <c r="D54" s="2">
        <f t="shared" si="1"/>
        <v>-1.7063180592125526E-2</v>
      </c>
      <c r="E54" s="2">
        <f t="shared" si="1"/>
        <v>0</v>
      </c>
      <c r="H54" s="10"/>
      <c r="I54" s="21"/>
      <c r="J54" s="21" t="s">
        <v>27</v>
      </c>
      <c r="K54" s="21" t="s">
        <v>15</v>
      </c>
      <c r="L54" s="21" t="s">
        <v>28</v>
      </c>
      <c r="M54" s="21" t="s">
        <v>29</v>
      </c>
      <c r="N54" s="21" t="s">
        <v>30</v>
      </c>
      <c r="O54" s="21" t="s">
        <v>31</v>
      </c>
      <c r="P54" s="21" t="s">
        <v>32</v>
      </c>
      <c r="Q54" s="21" t="s">
        <v>33</v>
      </c>
      <c r="R54" s="10"/>
      <c r="S54" s="10"/>
    </row>
    <row r="55" spans="1:19" x14ac:dyDescent="0.25">
      <c r="A55" s="3">
        <v>42082</v>
      </c>
      <c r="B55" s="2">
        <v>408.5</v>
      </c>
      <c r="C55" s="2">
        <f t="shared" si="0"/>
        <v>-2.4449889930666657E-3</v>
      </c>
      <c r="D55" s="2">
        <f t="shared" si="1"/>
        <v>6.7381571939773011E-3</v>
      </c>
      <c r="E55" s="2">
        <f t="shared" si="1"/>
        <v>-1.7063180592125526E-2</v>
      </c>
      <c r="H55" s="10"/>
      <c r="I55" s="19" t="s">
        <v>21</v>
      </c>
      <c r="J55" s="19">
        <v>-5.2596651282490266E-4</v>
      </c>
      <c r="K55" s="19">
        <v>9.6343563889057869E-4</v>
      </c>
      <c r="L55" s="19">
        <v>-0.5459280221671754</v>
      </c>
      <c r="M55" s="19">
        <v>0.5857119134993034</v>
      </c>
      <c r="N55" s="19">
        <v>-2.4255348815698896E-3</v>
      </c>
      <c r="O55" s="19">
        <v>1.3736018559200843E-3</v>
      </c>
      <c r="P55" s="19">
        <v>-2.4255348815698896E-3</v>
      </c>
      <c r="Q55" s="19">
        <v>1.3736018559200843E-3</v>
      </c>
      <c r="R55" s="10"/>
      <c r="S55" s="10"/>
    </row>
    <row r="56" spans="1:19" x14ac:dyDescent="0.25">
      <c r="A56" s="3">
        <v>42083</v>
      </c>
      <c r="B56" s="2">
        <v>418.75</v>
      </c>
      <c r="C56" s="2">
        <f t="shared" si="0"/>
        <v>2.4782168839218244E-2</v>
      </c>
      <c r="D56" s="2">
        <f t="shared" si="1"/>
        <v>-2.4449889930666657E-3</v>
      </c>
      <c r="E56" s="2">
        <f t="shared" si="1"/>
        <v>6.7381571939773011E-3</v>
      </c>
      <c r="H56" s="10"/>
      <c r="I56" s="19" t="s">
        <v>8</v>
      </c>
      <c r="J56" s="19">
        <v>3.0551032876789491E-2</v>
      </c>
      <c r="K56" s="19">
        <v>6.9970957245230725E-2</v>
      </c>
      <c r="L56" s="19">
        <v>0.43662448077872873</v>
      </c>
      <c r="M56" s="19">
        <v>0.66284547827592943</v>
      </c>
      <c r="N56" s="19">
        <v>-0.10740796692407194</v>
      </c>
      <c r="O56" s="19">
        <v>0.16851003267765091</v>
      </c>
      <c r="P56" s="19">
        <v>-0.10740796692407194</v>
      </c>
      <c r="Q56" s="19">
        <v>0.16851003267765091</v>
      </c>
      <c r="R56" s="10"/>
      <c r="S56" s="10"/>
    </row>
    <row r="57" spans="1:19" ht="16.5" thickBot="1" x14ac:dyDescent="0.3">
      <c r="A57" s="3">
        <v>42086</v>
      </c>
      <c r="B57" s="2">
        <v>423.75</v>
      </c>
      <c r="C57" s="2">
        <f t="shared" si="0"/>
        <v>1.1869575555383705E-2</v>
      </c>
      <c r="D57" s="2">
        <f t="shared" si="1"/>
        <v>2.4782168839218244E-2</v>
      </c>
      <c r="E57" s="2">
        <f t="shared" si="1"/>
        <v>-2.4449889930666657E-3</v>
      </c>
      <c r="H57" s="10"/>
      <c r="I57" s="20" t="s">
        <v>9</v>
      </c>
      <c r="J57" s="20">
        <v>-4.0490791837984701E-2</v>
      </c>
      <c r="K57" s="20">
        <v>6.9614592152951987E-2</v>
      </c>
      <c r="L57" s="20">
        <v>-0.58164230494982083</v>
      </c>
      <c r="M57" s="20">
        <v>0.56144979853356225</v>
      </c>
      <c r="N57" s="20">
        <v>-0.17774716052401932</v>
      </c>
      <c r="O57" s="20">
        <v>9.67655768480499E-2</v>
      </c>
      <c r="P57" s="20">
        <v>-0.17774716052401932</v>
      </c>
      <c r="Q57" s="20">
        <v>9.67655768480499E-2</v>
      </c>
      <c r="R57" s="10"/>
      <c r="S57" s="10"/>
    </row>
    <row r="58" spans="1:19" x14ac:dyDescent="0.25">
      <c r="A58" s="3">
        <v>42087</v>
      </c>
      <c r="B58" s="2">
        <v>426.25</v>
      </c>
      <c r="C58" s="2">
        <f t="shared" si="0"/>
        <v>5.8823699030670085E-3</v>
      </c>
      <c r="D58" s="2">
        <f t="shared" si="1"/>
        <v>1.1869575555383705E-2</v>
      </c>
      <c r="E58" s="2">
        <f t="shared" si="1"/>
        <v>2.4782168839218244E-2</v>
      </c>
      <c r="H58" s="10"/>
      <c r="I58" s="22"/>
      <c r="J58" s="22"/>
      <c r="K58" s="22"/>
      <c r="L58" s="22"/>
      <c r="M58" s="22"/>
      <c r="N58" s="22"/>
      <c r="O58" s="22"/>
      <c r="P58" s="22"/>
      <c r="Q58" s="22"/>
      <c r="R58" s="10"/>
      <c r="S58" s="10"/>
    </row>
    <row r="59" spans="1:19" x14ac:dyDescent="0.25">
      <c r="A59" s="3">
        <v>42088</v>
      </c>
      <c r="B59" s="2">
        <v>426.75</v>
      </c>
      <c r="C59" s="2">
        <f t="shared" si="0"/>
        <v>1.1723330768234064E-3</v>
      </c>
      <c r="D59" s="2">
        <f t="shared" si="1"/>
        <v>5.8823699030670085E-3</v>
      </c>
      <c r="E59" s="2">
        <f t="shared" si="1"/>
        <v>1.1869575555383705E-2</v>
      </c>
      <c r="H59" s="10"/>
      <c r="I59" s="22"/>
      <c r="J59" s="22"/>
      <c r="K59" s="22"/>
      <c r="L59" s="22"/>
      <c r="M59" s="22"/>
      <c r="N59" s="22"/>
      <c r="O59" s="22"/>
      <c r="P59" s="22"/>
      <c r="Q59" s="22"/>
      <c r="R59" s="10"/>
      <c r="S59" s="10"/>
    </row>
    <row r="60" spans="1:19" x14ac:dyDescent="0.25">
      <c r="A60" s="3">
        <v>42089</v>
      </c>
      <c r="B60" s="2">
        <v>423.75</v>
      </c>
      <c r="C60" s="2">
        <f t="shared" si="0"/>
        <v>-7.0547029798904148E-3</v>
      </c>
      <c r="D60" s="2">
        <f t="shared" si="1"/>
        <v>1.1723330768234064E-3</v>
      </c>
      <c r="E60" s="2">
        <f t="shared" si="1"/>
        <v>5.8823699030670085E-3</v>
      </c>
      <c r="H60" s="10"/>
      <c r="I60" s="22"/>
      <c r="J60" s="22"/>
      <c r="K60" s="22"/>
      <c r="L60" s="22"/>
      <c r="M60" s="22"/>
      <c r="N60" s="22"/>
      <c r="O60" s="22"/>
      <c r="P60" s="22"/>
      <c r="Q60" s="22"/>
      <c r="R60" s="10"/>
      <c r="S60" s="10"/>
    </row>
    <row r="61" spans="1:19" x14ac:dyDescent="0.25">
      <c r="A61" s="3">
        <v>42090</v>
      </c>
      <c r="B61" s="2">
        <v>423.75</v>
      </c>
      <c r="C61" s="2">
        <f t="shared" si="0"/>
        <v>0</v>
      </c>
      <c r="D61" s="2">
        <f t="shared" si="1"/>
        <v>-7.0547029798904148E-3</v>
      </c>
      <c r="E61" s="2">
        <f t="shared" si="1"/>
        <v>1.1723330768234064E-3</v>
      </c>
    </row>
    <row r="62" spans="1:19" x14ac:dyDescent="0.25">
      <c r="A62" s="3">
        <v>42093</v>
      </c>
      <c r="B62" s="2">
        <v>427</v>
      </c>
      <c r="C62" s="2">
        <f t="shared" si="0"/>
        <v>7.6403545339651657E-3</v>
      </c>
      <c r="D62" s="2">
        <f t="shared" si="1"/>
        <v>0</v>
      </c>
      <c r="E62" s="2">
        <f t="shared" si="1"/>
        <v>-7.0547029798904148E-3</v>
      </c>
    </row>
    <row r="63" spans="1:19" x14ac:dyDescent="0.25">
      <c r="A63" s="3">
        <v>42094</v>
      </c>
      <c r="B63" s="2">
        <v>410</v>
      </c>
      <c r="C63" s="2">
        <f t="shared" si="0"/>
        <v>-4.0626853530270957E-2</v>
      </c>
      <c r="D63" s="2">
        <f t="shared" si="1"/>
        <v>7.6403545339651657E-3</v>
      </c>
      <c r="E63" s="2">
        <f t="shared" si="1"/>
        <v>0</v>
      </c>
    </row>
    <row r="64" spans="1:19" x14ac:dyDescent="0.25">
      <c r="A64" s="3">
        <v>42095</v>
      </c>
      <c r="B64" s="2">
        <v>416.25</v>
      </c>
      <c r="C64" s="2">
        <f t="shared" si="0"/>
        <v>1.512888159629977E-2</v>
      </c>
      <c r="D64" s="2">
        <f t="shared" si="1"/>
        <v>-4.0626853530270957E-2</v>
      </c>
      <c r="E64" s="2">
        <f t="shared" si="1"/>
        <v>7.6403545339651657E-3</v>
      </c>
    </row>
    <row r="65" spans="1:5" x14ac:dyDescent="0.25">
      <c r="A65" s="3">
        <v>42096</v>
      </c>
      <c r="B65" s="2">
        <v>420</v>
      </c>
      <c r="C65" s="2">
        <f t="shared" si="0"/>
        <v>8.9686699827602467E-3</v>
      </c>
      <c r="D65" s="2">
        <f t="shared" si="1"/>
        <v>1.512888159629977E-2</v>
      </c>
      <c r="E65" s="2">
        <f t="shared" si="1"/>
        <v>-4.0626853530270957E-2</v>
      </c>
    </row>
    <row r="66" spans="1:5" x14ac:dyDescent="0.25">
      <c r="A66" s="3">
        <v>42100</v>
      </c>
      <c r="B66" s="2">
        <v>419.25</v>
      </c>
      <c r="C66" s="2">
        <f t="shared" si="0"/>
        <v>-1.7873105740955353E-3</v>
      </c>
      <c r="D66" s="2">
        <f t="shared" si="1"/>
        <v>8.9686699827602467E-3</v>
      </c>
      <c r="E66" s="2">
        <f t="shared" si="1"/>
        <v>1.512888159629977E-2</v>
      </c>
    </row>
    <row r="67" spans="1:5" x14ac:dyDescent="0.25">
      <c r="A67" s="3">
        <v>42101</v>
      </c>
      <c r="B67" s="2">
        <v>417.5</v>
      </c>
      <c r="C67" s="2">
        <f t="shared" si="0"/>
        <v>-4.1828564124077872E-3</v>
      </c>
      <c r="D67" s="2">
        <f t="shared" si="1"/>
        <v>-1.7873105740955353E-3</v>
      </c>
      <c r="E67" s="2">
        <f t="shared" si="1"/>
        <v>8.9686699827602467E-3</v>
      </c>
    </row>
    <row r="68" spans="1:5" x14ac:dyDescent="0.25">
      <c r="A68" s="3">
        <v>42102</v>
      </c>
      <c r="B68" s="2">
        <v>414.75</v>
      </c>
      <c r="C68" s="2">
        <f t="shared" si="0"/>
        <v>-6.6086152203563842E-3</v>
      </c>
      <c r="D68" s="2">
        <f t="shared" si="1"/>
        <v>-4.1828564124077872E-3</v>
      </c>
      <c r="E68" s="2">
        <f t="shared" si="1"/>
        <v>-1.7873105740955353E-3</v>
      </c>
    </row>
    <row r="69" spans="1:5" x14ac:dyDescent="0.25">
      <c r="A69" s="3">
        <v>42103</v>
      </c>
      <c r="B69" s="2">
        <v>413.75</v>
      </c>
      <c r="C69" s="2">
        <f t="shared" ref="C69:C132" si="2">LN(B69)-LN(B68)</f>
        <v>-2.4140023792815768E-3</v>
      </c>
      <c r="D69" s="2">
        <f t="shared" si="1"/>
        <v>-6.6086152203563842E-3</v>
      </c>
      <c r="E69" s="2">
        <f t="shared" si="1"/>
        <v>-4.1828564124077872E-3</v>
      </c>
    </row>
    <row r="70" spans="1:5" x14ac:dyDescent="0.25">
      <c r="A70" s="3">
        <v>42104</v>
      </c>
      <c r="B70" s="2">
        <v>412.75</v>
      </c>
      <c r="C70" s="2">
        <f t="shared" si="2"/>
        <v>-2.4198438910350006E-3</v>
      </c>
      <c r="D70" s="2">
        <f t="shared" si="1"/>
        <v>-2.4140023792815768E-3</v>
      </c>
      <c r="E70" s="2">
        <f t="shared" si="1"/>
        <v>-6.6086152203563842E-3</v>
      </c>
    </row>
    <row r="71" spans="1:5" x14ac:dyDescent="0.25">
      <c r="A71" s="3">
        <v>42107</v>
      </c>
      <c r="B71" s="2">
        <v>407</v>
      </c>
      <c r="C71" s="2">
        <f t="shared" si="2"/>
        <v>-1.4028897357643011E-2</v>
      </c>
      <c r="D71" s="2">
        <f t="shared" ref="D71:E134" si="3">C70</f>
        <v>-2.4198438910350006E-3</v>
      </c>
      <c r="E71" s="2">
        <f t="shared" si="3"/>
        <v>-2.4140023792815768E-3</v>
      </c>
    </row>
    <row r="72" spans="1:5" x14ac:dyDescent="0.25">
      <c r="A72" s="3">
        <v>42108</v>
      </c>
      <c r="B72" s="2">
        <v>409.5</v>
      </c>
      <c r="C72" s="2">
        <f t="shared" si="2"/>
        <v>6.1237178505297862E-3</v>
      </c>
      <c r="D72" s="2">
        <f t="shared" si="3"/>
        <v>-1.4028897357643011E-2</v>
      </c>
      <c r="E72" s="2">
        <f t="shared" si="3"/>
        <v>-2.4198438910350006E-3</v>
      </c>
    </row>
    <row r="73" spans="1:5" x14ac:dyDescent="0.25">
      <c r="A73" s="3">
        <v>42109</v>
      </c>
      <c r="B73" s="2">
        <v>411</v>
      </c>
      <c r="C73" s="2">
        <f t="shared" si="2"/>
        <v>3.6563112031098299E-3</v>
      </c>
      <c r="D73" s="2">
        <f t="shared" si="3"/>
        <v>6.1237178505297862E-3</v>
      </c>
      <c r="E73" s="2">
        <f t="shared" si="3"/>
        <v>-1.4028897357643011E-2</v>
      </c>
    </row>
    <row r="74" spans="1:5" x14ac:dyDescent="0.25">
      <c r="A74" s="3">
        <v>42110</v>
      </c>
      <c r="B74" s="2">
        <v>410.5</v>
      </c>
      <c r="C74" s="2">
        <f t="shared" si="2"/>
        <v>-1.217285603750895E-3</v>
      </c>
      <c r="D74" s="2">
        <f t="shared" si="3"/>
        <v>3.6563112031098299E-3</v>
      </c>
      <c r="E74" s="2">
        <f t="shared" si="3"/>
        <v>6.1237178505297862E-3</v>
      </c>
    </row>
    <row r="75" spans="1:5" x14ac:dyDescent="0.25">
      <c r="A75" s="3">
        <v>42111</v>
      </c>
      <c r="B75" s="2">
        <v>413</v>
      </c>
      <c r="C75" s="2">
        <f t="shared" si="2"/>
        <v>6.0716640685498646E-3</v>
      </c>
      <c r="D75" s="2">
        <f t="shared" si="3"/>
        <v>-1.217285603750895E-3</v>
      </c>
      <c r="E75" s="2">
        <f t="shared" si="3"/>
        <v>3.6563112031098299E-3</v>
      </c>
    </row>
    <row r="76" spans="1:5" x14ac:dyDescent="0.25">
      <c r="A76" s="3">
        <v>42114</v>
      </c>
      <c r="B76" s="2">
        <v>411.25</v>
      </c>
      <c r="C76" s="2">
        <f t="shared" si="2"/>
        <v>-4.2462908814515643E-3</v>
      </c>
      <c r="D76" s="2">
        <f t="shared" si="3"/>
        <v>6.0716640685498646E-3</v>
      </c>
      <c r="E76" s="2">
        <f t="shared" si="3"/>
        <v>-1.217285603750895E-3</v>
      </c>
    </row>
    <row r="77" spans="1:5" x14ac:dyDescent="0.25">
      <c r="A77" s="3">
        <v>42115</v>
      </c>
      <c r="B77" s="2">
        <v>407.75</v>
      </c>
      <c r="C77" s="2">
        <f t="shared" si="2"/>
        <v>-8.5470605784587761E-3</v>
      </c>
      <c r="D77" s="2">
        <f t="shared" si="3"/>
        <v>-4.2462908814515643E-3</v>
      </c>
      <c r="E77" s="2">
        <f t="shared" si="3"/>
        <v>6.0716640685498646E-3</v>
      </c>
    </row>
    <row r="78" spans="1:5" x14ac:dyDescent="0.25">
      <c r="A78" s="3">
        <v>42116</v>
      </c>
      <c r="B78" s="2">
        <v>407.75</v>
      </c>
      <c r="C78" s="2">
        <f t="shared" si="2"/>
        <v>0</v>
      </c>
      <c r="D78" s="2">
        <f t="shared" si="3"/>
        <v>-8.5470605784587761E-3</v>
      </c>
      <c r="E78" s="2">
        <f t="shared" si="3"/>
        <v>-4.2462908814515643E-3</v>
      </c>
    </row>
    <row r="79" spans="1:5" x14ac:dyDescent="0.25">
      <c r="A79" s="3">
        <v>42117</v>
      </c>
      <c r="B79" s="2">
        <v>405.25</v>
      </c>
      <c r="C79" s="2">
        <f t="shared" si="2"/>
        <v>-6.1500808853374167E-3</v>
      </c>
      <c r="D79" s="2">
        <f t="shared" si="3"/>
        <v>0</v>
      </c>
      <c r="E79" s="2">
        <f t="shared" si="3"/>
        <v>-8.5470605784587761E-3</v>
      </c>
    </row>
    <row r="80" spans="1:5" x14ac:dyDescent="0.25">
      <c r="A80" s="3">
        <v>42118</v>
      </c>
      <c r="B80" s="2">
        <v>399.25</v>
      </c>
      <c r="C80" s="2">
        <f t="shared" si="2"/>
        <v>-1.4916373520663662E-2</v>
      </c>
      <c r="D80" s="2">
        <f t="shared" si="3"/>
        <v>-6.1500808853374167E-3</v>
      </c>
      <c r="E80" s="2">
        <f t="shared" si="3"/>
        <v>0</v>
      </c>
    </row>
    <row r="81" spans="1:5" x14ac:dyDescent="0.25">
      <c r="A81" s="3">
        <v>42121</v>
      </c>
      <c r="B81" s="2">
        <v>394.25</v>
      </c>
      <c r="C81" s="2">
        <f t="shared" si="2"/>
        <v>-1.2602561251974009E-2</v>
      </c>
      <c r="D81" s="2">
        <f t="shared" si="3"/>
        <v>-1.4916373520663662E-2</v>
      </c>
      <c r="E81" s="2">
        <f t="shared" si="3"/>
        <v>-6.1500808853374167E-3</v>
      </c>
    </row>
    <row r="82" spans="1:5" x14ac:dyDescent="0.25">
      <c r="A82" s="3">
        <v>42122</v>
      </c>
      <c r="B82" s="2">
        <v>393.75</v>
      </c>
      <c r="C82" s="2">
        <f t="shared" si="2"/>
        <v>-1.2690357033049438E-3</v>
      </c>
      <c r="D82" s="2">
        <f t="shared" si="3"/>
        <v>-1.2602561251974009E-2</v>
      </c>
      <c r="E82" s="2">
        <f t="shared" si="3"/>
        <v>-1.4916373520663662E-2</v>
      </c>
    </row>
    <row r="83" spans="1:5" x14ac:dyDescent="0.25">
      <c r="A83" s="3">
        <v>42123</v>
      </c>
      <c r="B83" s="2">
        <v>397</v>
      </c>
      <c r="C83" s="2">
        <f t="shared" si="2"/>
        <v>8.220090547347958E-3</v>
      </c>
      <c r="D83" s="2">
        <f t="shared" si="3"/>
        <v>-1.2690357033049438E-3</v>
      </c>
      <c r="E83" s="2">
        <f t="shared" si="3"/>
        <v>-1.2602561251974009E-2</v>
      </c>
    </row>
    <row r="84" spans="1:5" x14ac:dyDescent="0.25">
      <c r="A84" s="3">
        <v>42124</v>
      </c>
      <c r="B84" s="2">
        <v>394.75</v>
      </c>
      <c r="C84" s="2">
        <f t="shared" si="2"/>
        <v>-5.6836275514395851E-3</v>
      </c>
      <c r="D84" s="2">
        <f t="shared" si="3"/>
        <v>8.220090547347958E-3</v>
      </c>
      <c r="E84" s="2">
        <f t="shared" si="3"/>
        <v>-1.2690357033049438E-3</v>
      </c>
    </row>
    <row r="85" spans="1:5" x14ac:dyDescent="0.25">
      <c r="A85" s="3">
        <v>42125</v>
      </c>
      <c r="B85" s="2">
        <v>391.5</v>
      </c>
      <c r="C85" s="2">
        <f t="shared" si="2"/>
        <v>-8.2671377048937345E-3</v>
      </c>
      <c r="D85" s="2">
        <f t="shared" si="3"/>
        <v>-5.6836275514395851E-3</v>
      </c>
      <c r="E85" s="2">
        <f t="shared" si="3"/>
        <v>8.220090547347958E-3</v>
      </c>
    </row>
    <row r="86" spans="1:5" x14ac:dyDescent="0.25">
      <c r="A86" s="3">
        <v>42128</v>
      </c>
      <c r="B86" s="2">
        <v>389</v>
      </c>
      <c r="C86" s="2">
        <f t="shared" si="2"/>
        <v>-6.406171812411543E-3</v>
      </c>
      <c r="D86" s="2">
        <f t="shared" si="3"/>
        <v>-8.2671377048937345E-3</v>
      </c>
      <c r="E86" s="2">
        <f t="shared" si="3"/>
        <v>-5.6836275514395851E-3</v>
      </c>
    </row>
    <row r="87" spans="1:5" x14ac:dyDescent="0.25">
      <c r="A87" s="3">
        <v>42129</v>
      </c>
      <c r="B87" s="2">
        <v>390</v>
      </c>
      <c r="C87" s="2">
        <f t="shared" si="2"/>
        <v>2.5673955052463171E-3</v>
      </c>
      <c r="D87" s="2">
        <f t="shared" si="3"/>
        <v>-6.406171812411543E-3</v>
      </c>
      <c r="E87" s="2">
        <f t="shared" si="3"/>
        <v>-8.2671377048937345E-3</v>
      </c>
    </row>
    <row r="88" spans="1:5" x14ac:dyDescent="0.25">
      <c r="A88" s="3">
        <v>42130</v>
      </c>
      <c r="B88" s="2">
        <v>394</v>
      </c>
      <c r="C88" s="2">
        <f t="shared" si="2"/>
        <v>1.0204170174241689E-2</v>
      </c>
      <c r="D88" s="2">
        <f t="shared" si="3"/>
        <v>2.5673955052463171E-3</v>
      </c>
      <c r="E88" s="2">
        <f t="shared" si="3"/>
        <v>-6.406171812411543E-3</v>
      </c>
    </row>
    <row r="89" spans="1:5" x14ac:dyDescent="0.25">
      <c r="A89" s="3">
        <v>42131</v>
      </c>
      <c r="B89" s="2">
        <v>388.75</v>
      </c>
      <c r="C89" s="2">
        <f t="shared" si="2"/>
        <v>-1.3414445804490249E-2</v>
      </c>
      <c r="D89" s="2">
        <f t="shared" si="3"/>
        <v>1.0204170174241689E-2</v>
      </c>
      <c r="E89" s="2">
        <f t="shared" si="3"/>
        <v>2.5673955052463171E-3</v>
      </c>
    </row>
    <row r="90" spans="1:5" x14ac:dyDescent="0.25">
      <c r="A90" s="3">
        <v>42132</v>
      </c>
      <c r="B90" s="2">
        <v>389.5</v>
      </c>
      <c r="C90" s="2">
        <f t="shared" si="2"/>
        <v>1.9274018173591756E-3</v>
      </c>
      <c r="D90" s="2">
        <f t="shared" si="3"/>
        <v>-1.3414445804490249E-2</v>
      </c>
      <c r="E90" s="2">
        <f t="shared" si="3"/>
        <v>1.0204170174241689E-2</v>
      </c>
    </row>
    <row r="91" spans="1:5" x14ac:dyDescent="0.25">
      <c r="A91" s="3">
        <v>42135</v>
      </c>
      <c r="B91" s="2">
        <v>386.75</v>
      </c>
      <c r="C91" s="2">
        <f t="shared" si="2"/>
        <v>-7.085375857627696E-3</v>
      </c>
      <c r="D91" s="2">
        <f t="shared" si="3"/>
        <v>1.9274018173591756E-3</v>
      </c>
      <c r="E91" s="2">
        <f t="shared" si="3"/>
        <v>-1.3414445804490249E-2</v>
      </c>
    </row>
    <row r="92" spans="1:5" x14ac:dyDescent="0.25">
      <c r="A92" s="3">
        <v>42136</v>
      </c>
      <c r="B92" s="2">
        <v>387.5</v>
      </c>
      <c r="C92" s="2">
        <f t="shared" si="2"/>
        <v>1.937359340226763E-3</v>
      </c>
      <c r="D92" s="2">
        <f t="shared" si="3"/>
        <v>-7.085375857627696E-3</v>
      </c>
      <c r="E92" s="2">
        <f t="shared" si="3"/>
        <v>1.9274018173591756E-3</v>
      </c>
    </row>
    <row r="93" spans="1:5" x14ac:dyDescent="0.25">
      <c r="A93" s="3">
        <v>42137</v>
      </c>
      <c r="B93" s="2">
        <v>389.75</v>
      </c>
      <c r="C93" s="2">
        <f t="shared" si="2"/>
        <v>5.7896591444839274E-3</v>
      </c>
      <c r="D93" s="2">
        <f t="shared" si="3"/>
        <v>1.937359340226763E-3</v>
      </c>
      <c r="E93" s="2">
        <f t="shared" si="3"/>
        <v>-7.085375857627696E-3</v>
      </c>
    </row>
    <row r="94" spans="1:5" x14ac:dyDescent="0.25">
      <c r="A94" s="3">
        <v>42138</v>
      </c>
      <c r="B94" s="2">
        <v>395.5</v>
      </c>
      <c r="C94" s="2">
        <f t="shared" si="2"/>
        <v>1.4645279269823064E-2</v>
      </c>
      <c r="D94" s="2">
        <f t="shared" si="3"/>
        <v>5.7896591444839274E-3</v>
      </c>
      <c r="E94" s="2">
        <f t="shared" si="3"/>
        <v>1.937359340226763E-3</v>
      </c>
    </row>
    <row r="95" spans="1:5" x14ac:dyDescent="0.25">
      <c r="A95" s="3">
        <v>42139</v>
      </c>
      <c r="B95" s="2">
        <v>393.5</v>
      </c>
      <c r="C95" s="2">
        <f t="shared" si="2"/>
        <v>-5.069719350251134E-3</v>
      </c>
      <c r="D95" s="2">
        <f t="shared" si="3"/>
        <v>1.4645279269823064E-2</v>
      </c>
      <c r="E95" s="2">
        <f t="shared" si="3"/>
        <v>5.7896591444839274E-3</v>
      </c>
    </row>
    <row r="96" spans="1:5" x14ac:dyDescent="0.25">
      <c r="A96" s="3">
        <v>42142</v>
      </c>
      <c r="B96" s="2">
        <v>396.25</v>
      </c>
      <c r="C96" s="2">
        <f t="shared" si="2"/>
        <v>6.9642573340322755E-3</v>
      </c>
      <c r="D96" s="2">
        <f t="shared" si="3"/>
        <v>-5.069719350251134E-3</v>
      </c>
      <c r="E96" s="2">
        <f t="shared" si="3"/>
        <v>1.4645279269823064E-2</v>
      </c>
    </row>
    <row r="97" spans="1:5" x14ac:dyDescent="0.25">
      <c r="A97" s="3">
        <v>42143</v>
      </c>
      <c r="B97" s="2">
        <v>390.75</v>
      </c>
      <c r="C97" s="2">
        <f t="shared" si="2"/>
        <v>-1.3977355889903897E-2</v>
      </c>
      <c r="D97" s="2">
        <f t="shared" si="3"/>
        <v>6.9642573340322755E-3</v>
      </c>
      <c r="E97" s="2">
        <f t="shared" si="3"/>
        <v>-5.069719350251134E-3</v>
      </c>
    </row>
    <row r="98" spans="1:5" x14ac:dyDescent="0.25">
      <c r="A98" s="3">
        <v>42144</v>
      </c>
      <c r="B98" s="2">
        <v>388</v>
      </c>
      <c r="C98" s="2">
        <f t="shared" si="2"/>
        <v>-7.0626296783125042E-3</v>
      </c>
      <c r="D98" s="2">
        <f t="shared" si="3"/>
        <v>-1.3977355889903897E-2</v>
      </c>
      <c r="E98" s="2">
        <f t="shared" si="3"/>
        <v>6.9642573340322755E-3</v>
      </c>
    </row>
    <row r="99" spans="1:5" x14ac:dyDescent="0.25">
      <c r="A99" s="3">
        <v>42145</v>
      </c>
      <c r="B99" s="2">
        <v>392.75</v>
      </c>
      <c r="C99" s="2">
        <f t="shared" si="2"/>
        <v>1.2167937512456817E-2</v>
      </c>
      <c r="D99" s="2">
        <f t="shared" si="3"/>
        <v>-7.0626296783125042E-3</v>
      </c>
      <c r="E99" s="2">
        <f t="shared" si="3"/>
        <v>-1.3977355889903897E-2</v>
      </c>
    </row>
    <row r="100" spans="1:5" x14ac:dyDescent="0.25">
      <c r="A100" s="3">
        <v>42146</v>
      </c>
      <c r="B100" s="2">
        <v>388.25</v>
      </c>
      <c r="C100" s="2">
        <f t="shared" si="2"/>
        <v>-1.1523815106934343E-2</v>
      </c>
      <c r="D100" s="2">
        <f t="shared" si="3"/>
        <v>1.2167937512456817E-2</v>
      </c>
      <c r="E100" s="2">
        <f t="shared" si="3"/>
        <v>-7.0626296783125042E-3</v>
      </c>
    </row>
    <row r="101" spans="1:5" x14ac:dyDescent="0.25">
      <c r="A101" s="3">
        <v>42150</v>
      </c>
      <c r="B101" s="2">
        <v>384.25</v>
      </c>
      <c r="C101" s="2">
        <f t="shared" si="2"/>
        <v>-1.0356079610090774E-2</v>
      </c>
      <c r="D101" s="2">
        <f t="shared" si="3"/>
        <v>-1.1523815106934343E-2</v>
      </c>
      <c r="E101" s="2">
        <f t="shared" si="3"/>
        <v>1.2167937512456817E-2</v>
      </c>
    </row>
    <row r="102" spans="1:5" x14ac:dyDescent="0.25">
      <c r="A102" s="3">
        <v>42151</v>
      </c>
      <c r="B102" s="2">
        <v>377.5</v>
      </c>
      <c r="C102" s="2">
        <f t="shared" si="2"/>
        <v>-1.7722813729625919E-2</v>
      </c>
      <c r="D102" s="2">
        <f t="shared" si="3"/>
        <v>-1.0356079610090774E-2</v>
      </c>
      <c r="E102" s="2">
        <f t="shared" si="3"/>
        <v>-1.1523815106934343E-2</v>
      </c>
    </row>
    <row r="103" spans="1:5" x14ac:dyDescent="0.25">
      <c r="A103" s="3">
        <v>42152</v>
      </c>
      <c r="B103" s="2">
        <v>380.5</v>
      </c>
      <c r="C103" s="2">
        <f t="shared" si="2"/>
        <v>7.9156086126612735E-3</v>
      </c>
      <c r="D103" s="2">
        <f t="shared" si="3"/>
        <v>-1.7722813729625919E-2</v>
      </c>
      <c r="E103" s="2">
        <f t="shared" si="3"/>
        <v>-1.0356079610090774E-2</v>
      </c>
    </row>
    <row r="104" spans="1:5" x14ac:dyDescent="0.25">
      <c r="A104" s="3">
        <v>42153</v>
      </c>
      <c r="B104" s="2">
        <v>378.5</v>
      </c>
      <c r="C104" s="2">
        <f t="shared" si="2"/>
        <v>-5.2701044242375872E-3</v>
      </c>
      <c r="D104" s="2">
        <f t="shared" si="3"/>
        <v>7.9156086126612735E-3</v>
      </c>
      <c r="E104" s="2">
        <f t="shared" si="3"/>
        <v>-1.7722813729625919E-2</v>
      </c>
    </row>
    <row r="105" spans="1:5" x14ac:dyDescent="0.25">
      <c r="A105" s="3">
        <v>42156</v>
      </c>
      <c r="B105" s="2">
        <v>379</v>
      </c>
      <c r="C105" s="2">
        <f t="shared" si="2"/>
        <v>1.3201322049232189E-3</v>
      </c>
      <c r="D105" s="2">
        <f t="shared" si="3"/>
        <v>-5.2701044242375872E-3</v>
      </c>
      <c r="E105" s="2">
        <f t="shared" si="3"/>
        <v>7.9156086126612735E-3</v>
      </c>
    </row>
    <row r="106" spans="1:5" x14ac:dyDescent="0.25">
      <c r="A106" s="3">
        <v>42157</v>
      </c>
      <c r="B106" s="2">
        <v>386.25</v>
      </c>
      <c r="C106" s="2">
        <f t="shared" si="2"/>
        <v>1.8948623129529274E-2</v>
      </c>
      <c r="D106" s="2">
        <f t="shared" si="3"/>
        <v>1.3201322049232189E-3</v>
      </c>
      <c r="E106" s="2">
        <f t="shared" si="3"/>
        <v>-5.2701044242375872E-3</v>
      </c>
    </row>
    <row r="107" spans="1:5" x14ac:dyDescent="0.25">
      <c r="A107" s="3">
        <v>42158</v>
      </c>
      <c r="B107" s="2">
        <v>387.5</v>
      </c>
      <c r="C107" s="2">
        <f t="shared" si="2"/>
        <v>3.2310205814463089E-3</v>
      </c>
      <c r="D107" s="2">
        <f t="shared" si="3"/>
        <v>1.8948623129529274E-2</v>
      </c>
      <c r="E107" s="2">
        <f t="shared" si="3"/>
        <v>1.3201322049232189E-3</v>
      </c>
    </row>
    <row r="108" spans="1:5" x14ac:dyDescent="0.25">
      <c r="A108" s="3">
        <v>42159</v>
      </c>
      <c r="B108" s="2">
        <v>391.75</v>
      </c>
      <c r="C108" s="2">
        <f t="shared" si="2"/>
        <v>1.0908032442728199E-2</v>
      </c>
      <c r="D108" s="2">
        <f t="shared" si="3"/>
        <v>3.2310205814463089E-3</v>
      </c>
      <c r="E108" s="2">
        <f t="shared" si="3"/>
        <v>1.8948623129529274E-2</v>
      </c>
    </row>
    <row r="109" spans="1:5" x14ac:dyDescent="0.25">
      <c r="A109" s="3">
        <v>42160</v>
      </c>
      <c r="B109" s="2">
        <v>389</v>
      </c>
      <c r="C109" s="2">
        <f t="shared" si="2"/>
        <v>-7.0445376176841989E-3</v>
      </c>
      <c r="D109" s="2">
        <f t="shared" si="3"/>
        <v>1.0908032442728199E-2</v>
      </c>
      <c r="E109" s="2">
        <f t="shared" si="3"/>
        <v>3.2310205814463089E-3</v>
      </c>
    </row>
    <row r="110" spans="1:5" x14ac:dyDescent="0.25">
      <c r="A110" s="3">
        <v>42163</v>
      </c>
      <c r="B110" s="2">
        <v>394.25</v>
      </c>
      <c r="C110" s="2">
        <f t="shared" si="2"/>
        <v>1.3405882224701848E-2</v>
      </c>
      <c r="D110" s="2">
        <f t="shared" si="3"/>
        <v>-7.0445376176841989E-3</v>
      </c>
      <c r="E110" s="2">
        <f t="shared" si="3"/>
        <v>1.0908032442728199E-2</v>
      </c>
    </row>
    <row r="111" spans="1:5" x14ac:dyDescent="0.25">
      <c r="A111" s="3">
        <v>42164</v>
      </c>
      <c r="B111" s="2">
        <v>394</v>
      </c>
      <c r="C111" s="2">
        <f t="shared" si="2"/>
        <v>-6.3431654521384218E-4</v>
      </c>
      <c r="D111" s="2">
        <f t="shared" si="3"/>
        <v>1.3405882224701848E-2</v>
      </c>
      <c r="E111" s="2">
        <f t="shared" si="3"/>
        <v>-7.0445376176841989E-3</v>
      </c>
    </row>
    <row r="112" spans="1:5" x14ac:dyDescent="0.25">
      <c r="A112" s="3">
        <v>42165</v>
      </c>
      <c r="B112" s="2">
        <v>386.5</v>
      </c>
      <c r="C112" s="2">
        <f t="shared" si="2"/>
        <v>-1.9219041270456927E-2</v>
      </c>
      <c r="D112" s="2">
        <f t="shared" si="3"/>
        <v>-6.3431654521384218E-4</v>
      </c>
      <c r="E112" s="2">
        <f t="shared" si="3"/>
        <v>1.3405882224701848E-2</v>
      </c>
    </row>
    <row r="113" spans="1:5" x14ac:dyDescent="0.25">
      <c r="A113" s="3">
        <v>42166</v>
      </c>
      <c r="B113" s="2">
        <v>385.75</v>
      </c>
      <c r="C113" s="2">
        <f t="shared" si="2"/>
        <v>-1.9423767842070561E-3</v>
      </c>
      <c r="D113" s="2">
        <f t="shared" si="3"/>
        <v>-1.9219041270456927E-2</v>
      </c>
      <c r="E113" s="2">
        <f t="shared" si="3"/>
        <v>-6.3431654521384218E-4</v>
      </c>
    </row>
    <row r="114" spans="1:5" x14ac:dyDescent="0.25">
      <c r="A114" s="3">
        <v>42167</v>
      </c>
      <c r="B114" s="2">
        <v>381</v>
      </c>
      <c r="C114" s="2">
        <f t="shared" si="2"/>
        <v>-1.2390116116568706E-2</v>
      </c>
      <c r="D114" s="2">
        <f t="shared" si="3"/>
        <v>-1.9423767842070561E-3</v>
      </c>
      <c r="E114" s="2">
        <f t="shared" si="3"/>
        <v>-1.9219041270456927E-2</v>
      </c>
    </row>
    <row r="115" spans="1:5" x14ac:dyDescent="0.25">
      <c r="A115" s="3">
        <v>42170</v>
      </c>
      <c r="B115" s="2">
        <v>375</v>
      </c>
      <c r="C115" s="2">
        <f t="shared" si="2"/>
        <v>-1.5873349156290573E-2</v>
      </c>
      <c r="D115" s="2">
        <f t="shared" si="3"/>
        <v>-1.2390116116568706E-2</v>
      </c>
      <c r="E115" s="2">
        <f t="shared" si="3"/>
        <v>-1.9423767842070561E-3</v>
      </c>
    </row>
    <row r="116" spans="1:5" x14ac:dyDescent="0.25">
      <c r="A116" s="3">
        <v>42171</v>
      </c>
      <c r="B116" s="2">
        <v>381</v>
      </c>
      <c r="C116" s="2">
        <f t="shared" si="2"/>
        <v>1.5873349156290573E-2</v>
      </c>
      <c r="D116" s="2">
        <f t="shared" si="3"/>
        <v>-1.5873349156290573E-2</v>
      </c>
      <c r="E116" s="2">
        <f t="shared" si="3"/>
        <v>-1.2390116116568706E-2</v>
      </c>
    </row>
    <row r="117" spans="1:5" x14ac:dyDescent="0.25">
      <c r="A117" s="3">
        <v>42172</v>
      </c>
      <c r="B117" s="2">
        <v>386.25</v>
      </c>
      <c r="C117" s="2">
        <f t="shared" si="2"/>
        <v>1.3685453085254373E-2</v>
      </c>
      <c r="D117" s="2">
        <f t="shared" si="3"/>
        <v>1.5873349156290573E-2</v>
      </c>
      <c r="E117" s="2">
        <f t="shared" si="3"/>
        <v>-1.5873349156290573E-2</v>
      </c>
    </row>
    <row r="118" spans="1:5" x14ac:dyDescent="0.25">
      <c r="A118" s="3">
        <v>42173</v>
      </c>
      <c r="B118" s="2">
        <v>384.5</v>
      </c>
      <c r="C118" s="2">
        <f t="shared" si="2"/>
        <v>-4.5410392662565968E-3</v>
      </c>
      <c r="D118" s="2">
        <f t="shared" si="3"/>
        <v>1.3685453085254373E-2</v>
      </c>
      <c r="E118" s="2">
        <f t="shared" si="3"/>
        <v>1.5873349156290573E-2</v>
      </c>
    </row>
    <row r="119" spans="1:5" x14ac:dyDescent="0.25">
      <c r="A119" s="3">
        <v>42174</v>
      </c>
      <c r="B119" s="2">
        <v>379.75</v>
      </c>
      <c r="C119" s="2">
        <f t="shared" si="2"/>
        <v>-1.2430647469816591E-2</v>
      </c>
      <c r="D119" s="2">
        <f t="shared" si="3"/>
        <v>-4.5410392662565968E-3</v>
      </c>
      <c r="E119" s="2">
        <f t="shared" si="3"/>
        <v>1.3685453085254373E-2</v>
      </c>
    </row>
    <row r="120" spans="1:5" x14ac:dyDescent="0.25">
      <c r="A120" s="3">
        <v>42177</v>
      </c>
      <c r="B120" s="2">
        <v>385</v>
      </c>
      <c r="C120" s="2">
        <f t="shared" si="2"/>
        <v>1.3730192811902242E-2</v>
      </c>
      <c r="D120" s="2">
        <f t="shared" si="3"/>
        <v>-1.2430647469816591E-2</v>
      </c>
      <c r="E120" s="2">
        <f t="shared" si="3"/>
        <v>-4.5410392662565968E-3</v>
      </c>
    </row>
    <row r="121" spans="1:5" x14ac:dyDescent="0.25">
      <c r="A121" s="3">
        <v>42178</v>
      </c>
      <c r="B121" s="2">
        <v>392.5</v>
      </c>
      <c r="C121" s="2">
        <f t="shared" si="2"/>
        <v>1.9293202934678177E-2</v>
      </c>
      <c r="D121" s="2">
        <f t="shared" si="3"/>
        <v>1.3730192811902242E-2</v>
      </c>
      <c r="E121" s="2">
        <f t="shared" si="3"/>
        <v>-1.2430647469816591E-2</v>
      </c>
    </row>
    <row r="122" spans="1:5" x14ac:dyDescent="0.25">
      <c r="A122" s="3">
        <v>42179</v>
      </c>
      <c r="B122" s="2">
        <v>391.5</v>
      </c>
      <c r="C122" s="2">
        <f t="shared" si="2"/>
        <v>-2.551021791605379E-3</v>
      </c>
      <c r="D122" s="2">
        <f t="shared" si="3"/>
        <v>1.9293202934678177E-2</v>
      </c>
      <c r="E122" s="2">
        <f t="shared" si="3"/>
        <v>1.3730192811902242E-2</v>
      </c>
    </row>
    <row r="123" spans="1:5" x14ac:dyDescent="0.25">
      <c r="A123" s="3">
        <v>42180</v>
      </c>
      <c r="B123" s="2">
        <v>403</v>
      </c>
      <c r="C123" s="2">
        <f t="shared" si="2"/>
        <v>2.8951046515825141E-2</v>
      </c>
      <c r="D123" s="2">
        <f t="shared" si="3"/>
        <v>-2.551021791605379E-3</v>
      </c>
      <c r="E123" s="2">
        <f t="shared" si="3"/>
        <v>1.9293202934678177E-2</v>
      </c>
    </row>
    <row r="124" spans="1:5" x14ac:dyDescent="0.25">
      <c r="A124" s="3">
        <v>42181</v>
      </c>
      <c r="B124" s="2">
        <v>412.75</v>
      </c>
      <c r="C124" s="2">
        <f t="shared" si="2"/>
        <v>2.3905520853555018E-2</v>
      </c>
      <c r="D124" s="2">
        <f t="shared" si="3"/>
        <v>2.8951046515825141E-2</v>
      </c>
      <c r="E124" s="2">
        <f t="shared" si="3"/>
        <v>-2.551021791605379E-3</v>
      </c>
    </row>
    <row r="125" spans="1:5" x14ac:dyDescent="0.25">
      <c r="A125" s="3">
        <v>42184</v>
      </c>
      <c r="B125" s="2">
        <v>412.5</v>
      </c>
      <c r="C125" s="2">
        <f t="shared" si="2"/>
        <v>-6.0587702550218836E-4</v>
      </c>
      <c r="D125" s="2">
        <f t="shared" si="3"/>
        <v>2.3905520853555018E-2</v>
      </c>
      <c r="E125" s="2">
        <f t="shared" si="3"/>
        <v>2.8951046515825141E-2</v>
      </c>
    </row>
    <row r="126" spans="1:5" x14ac:dyDescent="0.25">
      <c r="A126" s="3">
        <v>42185</v>
      </c>
      <c r="B126" s="2">
        <v>440.75</v>
      </c>
      <c r="C126" s="2">
        <f t="shared" si="2"/>
        <v>6.6241615503244589E-2</v>
      </c>
      <c r="D126" s="2">
        <f t="shared" si="3"/>
        <v>-6.0587702550218836E-4</v>
      </c>
      <c r="E126" s="2">
        <f t="shared" si="3"/>
        <v>2.3905520853555018E-2</v>
      </c>
    </row>
    <row r="127" spans="1:5" x14ac:dyDescent="0.25">
      <c r="A127" s="3">
        <v>42186</v>
      </c>
      <c r="B127" s="2">
        <v>441.5</v>
      </c>
      <c r="C127" s="2">
        <f t="shared" si="2"/>
        <v>1.7001987660343332E-3</v>
      </c>
      <c r="D127" s="2">
        <f t="shared" si="3"/>
        <v>6.6241615503244589E-2</v>
      </c>
      <c r="E127" s="2">
        <f t="shared" si="3"/>
        <v>-6.0587702550218836E-4</v>
      </c>
    </row>
    <row r="128" spans="1:5" x14ac:dyDescent="0.25">
      <c r="A128" s="3">
        <v>42187</v>
      </c>
      <c r="B128" s="2">
        <v>446.5</v>
      </c>
      <c r="C128" s="2">
        <f t="shared" si="2"/>
        <v>1.1261380272538979E-2</v>
      </c>
      <c r="D128" s="2">
        <f t="shared" si="3"/>
        <v>1.7001987660343332E-3</v>
      </c>
      <c r="E128" s="2">
        <f t="shared" si="3"/>
        <v>6.6241615503244589E-2</v>
      </c>
    </row>
    <row r="129" spans="1:5" x14ac:dyDescent="0.25">
      <c r="A129" s="3">
        <v>42191</v>
      </c>
      <c r="B129" s="2">
        <v>444.5</v>
      </c>
      <c r="C129" s="2">
        <f t="shared" si="2"/>
        <v>-4.4893453625940438E-3</v>
      </c>
      <c r="D129" s="2">
        <f t="shared" si="3"/>
        <v>1.1261380272538979E-2</v>
      </c>
      <c r="E129" s="2">
        <f t="shared" si="3"/>
        <v>1.7001987660343332E-3</v>
      </c>
    </row>
    <row r="130" spans="1:5" x14ac:dyDescent="0.25">
      <c r="A130" s="3">
        <v>42192</v>
      </c>
      <c r="B130" s="2">
        <v>442.75</v>
      </c>
      <c r="C130" s="2">
        <f t="shared" si="2"/>
        <v>-3.9447782910162488E-3</v>
      </c>
      <c r="D130" s="2">
        <f t="shared" si="3"/>
        <v>-4.4893453625940438E-3</v>
      </c>
      <c r="E130" s="2">
        <f t="shared" si="3"/>
        <v>1.1261380272538979E-2</v>
      </c>
    </row>
    <row r="131" spans="1:5" x14ac:dyDescent="0.25">
      <c r="A131" s="3">
        <v>42193</v>
      </c>
      <c r="B131" s="2">
        <v>444</v>
      </c>
      <c r="C131" s="2">
        <f t="shared" si="2"/>
        <v>2.8192857692816986E-3</v>
      </c>
      <c r="D131" s="2">
        <f t="shared" si="3"/>
        <v>-3.9447782910162488E-3</v>
      </c>
      <c r="E131" s="2">
        <f t="shared" si="3"/>
        <v>-4.4893453625940438E-3</v>
      </c>
    </row>
    <row r="132" spans="1:5" x14ac:dyDescent="0.25">
      <c r="A132" s="3">
        <v>42194</v>
      </c>
      <c r="B132" s="2">
        <v>449</v>
      </c>
      <c r="C132" s="2">
        <f t="shared" si="2"/>
        <v>1.1198325310029844E-2</v>
      </c>
      <c r="D132" s="2">
        <f t="shared" si="3"/>
        <v>2.8192857692816986E-3</v>
      </c>
      <c r="E132" s="2">
        <f t="shared" si="3"/>
        <v>-3.9447782910162488E-3</v>
      </c>
    </row>
    <row r="133" spans="1:5" x14ac:dyDescent="0.25">
      <c r="A133" s="3">
        <v>42195</v>
      </c>
      <c r="B133" s="2">
        <v>454.75</v>
      </c>
      <c r="C133" s="2">
        <f t="shared" ref="C133:C196" si="4">LN(B133)-LN(B132)</f>
        <v>1.272492965597749E-2</v>
      </c>
      <c r="D133" s="2">
        <f t="shared" si="3"/>
        <v>1.1198325310029844E-2</v>
      </c>
      <c r="E133" s="2">
        <f t="shared" si="3"/>
        <v>2.8192857692816986E-3</v>
      </c>
    </row>
    <row r="134" spans="1:5" x14ac:dyDescent="0.25">
      <c r="A134" s="3">
        <v>42198</v>
      </c>
      <c r="B134" s="2">
        <v>461.75</v>
      </c>
      <c r="C134" s="2">
        <f t="shared" si="4"/>
        <v>1.5275801681116974E-2</v>
      </c>
      <c r="D134" s="2">
        <f t="shared" si="3"/>
        <v>1.272492965597749E-2</v>
      </c>
      <c r="E134" s="2">
        <f t="shared" si="3"/>
        <v>1.1198325310029844E-2</v>
      </c>
    </row>
    <row r="135" spans="1:5" x14ac:dyDescent="0.25">
      <c r="A135" s="3">
        <v>42199</v>
      </c>
      <c r="B135" s="2">
        <v>449</v>
      </c>
      <c r="C135" s="2">
        <f t="shared" si="4"/>
        <v>-2.8000731337094464E-2</v>
      </c>
      <c r="D135" s="2">
        <f t="shared" ref="D135:E198" si="5">C134</f>
        <v>1.5275801681116974E-2</v>
      </c>
      <c r="E135" s="2">
        <f t="shared" si="5"/>
        <v>1.272492965597749E-2</v>
      </c>
    </row>
    <row r="136" spans="1:5" x14ac:dyDescent="0.25">
      <c r="A136" s="3">
        <v>42200</v>
      </c>
      <c r="B136" s="2">
        <v>450.5</v>
      </c>
      <c r="C136" s="2">
        <f t="shared" si="4"/>
        <v>3.3351893061377424E-3</v>
      </c>
      <c r="D136" s="2">
        <f t="shared" si="5"/>
        <v>-2.8000731337094464E-2</v>
      </c>
      <c r="E136" s="2">
        <f t="shared" si="5"/>
        <v>1.5275801681116974E-2</v>
      </c>
    </row>
    <row r="137" spans="1:5" x14ac:dyDescent="0.25">
      <c r="A137" s="3">
        <v>42201</v>
      </c>
      <c r="B137" s="2">
        <v>451</v>
      </c>
      <c r="C137" s="2">
        <f t="shared" si="4"/>
        <v>1.1092624542863305E-3</v>
      </c>
      <c r="D137" s="2">
        <f t="shared" si="5"/>
        <v>3.3351893061377424E-3</v>
      </c>
      <c r="E137" s="2">
        <f t="shared" si="5"/>
        <v>-2.8000731337094464E-2</v>
      </c>
    </row>
    <row r="138" spans="1:5" x14ac:dyDescent="0.25">
      <c r="A138" s="3">
        <v>42202</v>
      </c>
      <c r="B138" s="2">
        <v>441.5</v>
      </c>
      <c r="C138" s="2">
        <f t="shared" si="4"/>
        <v>-2.1289319458664302E-2</v>
      </c>
      <c r="D138" s="2">
        <f t="shared" si="5"/>
        <v>1.1092624542863305E-3</v>
      </c>
      <c r="E138" s="2">
        <f t="shared" si="5"/>
        <v>3.3351893061377424E-3</v>
      </c>
    </row>
    <row r="139" spans="1:5" x14ac:dyDescent="0.25">
      <c r="A139" s="3">
        <v>42205</v>
      </c>
      <c r="B139" s="2">
        <v>426.25</v>
      </c>
      <c r="C139" s="2">
        <f t="shared" si="4"/>
        <v>-3.5151991446287667E-2</v>
      </c>
      <c r="D139" s="2">
        <f t="shared" si="5"/>
        <v>-2.1289319458664302E-2</v>
      </c>
      <c r="E139" s="2">
        <f t="shared" si="5"/>
        <v>1.1092624542863305E-3</v>
      </c>
    </row>
    <row r="140" spans="1:5" x14ac:dyDescent="0.25">
      <c r="A140" s="3">
        <v>42206</v>
      </c>
      <c r="B140" s="2">
        <v>427.75</v>
      </c>
      <c r="C140" s="2">
        <f t="shared" si="4"/>
        <v>3.5128841745759587E-3</v>
      </c>
      <c r="D140" s="2">
        <f t="shared" si="5"/>
        <v>-3.5151991446287667E-2</v>
      </c>
      <c r="E140" s="2">
        <f t="shared" si="5"/>
        <v>-2.1289319458664302E-2</v>
      </c>
    </row>
    <row r="141" spans="1:5" x14ac:dyDescent="0.25">
      <c r="A141" s="3">
        <v>42207</v>
      </c>
      <c r="B141" s="2">
        <v>423.5</v>
      </c>
      <c r="C141" s="2">
        <f t="shared" si="4"/>
        <v>-9.9853986801932137E-3</v>
      </c>
      <c r="D141" s="2">
        <f t="shared" si="5"/>
        <v>3.5128841745759587E-3</v>
      </c>
      <c r="E141" s="2">
        <f t="shared" si="5"/>
        <v>-3.5151991446287667E-2</v>
      </c>
    </row>
    <row r="142" spans="1:5" x14ac:dyDescent="0.25">
      <c r="A142" s="3">
        <v>42208</v>
      </c>
      <c r="B142" s="2">
        <v>423.5</v>
      </c>
      <c r="C142" s="2">
        <f t="shared" si="4"/>
        <v>0</v>
      </c>
      <c r="D142" s="2">
        <f t="shared" si="5"/>
        <v>-9.9853986801932137E-3</v>
      </c>
      <c r="E142" s="2">
        <f t="shared" si="5"/>
        <v>3.5128841745759587E-3</v>
      </c>
    </row>
    <row r="143" spans="1:5" x14ac:dyDescent="0.25">
      <c r="A143" s="3">
        <v>42209</v>
      </c>
      <c r="B143" s="2">
        <v>412.75</v>
      </c>
      <c r="C143" s="2">
        <f t="shared" si="4"/>
        <v>-2.5711431291871811E-2</v>
      </c>
      <c r="D143" s="2">
        <f t="shared" si="5"/>
        <v>0</v>
      </c>
      <c r="E143" s="2">
        <f t="shared" si="5"/>
        <v>-9.9853986801932137E-3</v>
      </c>
    </row>
    <row r="144" spans="1:5" x14ac:dyDescent="0.25">
      <c r="A144" s="3">
        <v>42212</v>
      </c>
      <c r="B144" s="2">
        <v>394.25</v>
      </c>
      <c r="C144" s="2">
        <f t="shared" si="4"/>
        <v>-4.5856856957089853E-2</v>
      </c>
      <c r="D144" s="2">
        <f t="shared" si="5"/>
        <v>-2.5711431291871811E-2</v>
      </c>
      <c r="E144" s="2">
        <f t="shared" si="5"/>
        <v>0</v>
      </c>
    </row>
    <row r="145" spans="1:5" x14ac:dyDescent="0.25">
      <c r="A145" s="3">
        <v>42213</v>
      </c>
      <c r="B145" s="2">
        <v>396.5</v>
      </c>
      <c r="C145" s="2">
        <f t="shared" si="4"/>
        <v>5.6908152317545202E-3</v>
      </c>
      <c r="D145" s="2">
        <f t="shared" si="5"/>
        <v>-4.5856856957089853E-2</v>
      </c>
      <c r="E145" s="2">
        <f t="shared" si="5"/>
        <v>-2.5711431291871811E-2</v>
      </c>
    </row>
    <row r="146" spans="1:5" x14ac:dyDescent="0.25">
      <c r="A146" s="3">
        <v>42214</v>
      </c>
      <c r="B146" s="2">
        <v>389</v>
      </c>
      <c r="C146" s="2">
        <f t="shared" si="4"/>
        <v>-1.9096697456456369E-2</v>
      </c>
      <c r="D146" s="2">
        <f t="shared" si="5"/>
        <v>5.6908152317545202E-3</v>
      </c>
      <c r="E146" s="2">
        <f t="shared" si="5"/>
        <v>-4.5856856957089853E-2</v>
      </c>
    </row>
    <row r="147" spans="1:5" x14ac:dyDescent="0.25">
      <c r="A147" s="3">
        <v>42215</v>
      </c>
      <c r="B147" s="2">
        <v>394.75</v>
      </c>
      <c r="C147" s="2">
        <f t="shared" si="4"/>
        <v>1.4673309517305277E-2</v>
      </c>
      <c r="D147" s="2">
        <f t="shared" si="5"/>
        <v>-1.9096697456456369E-2</v>
      </c>
      <c r="E147" s="2">
        <f t="shared" si="5"/>
        <v>5.6908152317545202E-3</v>
      </c>
    </row>
    <row r="148" spans="1:5" x14ac:dyDescent="0.25">
      <c r="A148" s="3">
        <v>42216</v>
      </c>
      <c r="B148" s="2">
        <v>392</v>
      </c>
      <c r="C148" s="2">
        <f t="shared" si="4"/>
        <v>-6.9908133452889487E-3</v>
      </c>
      <c r="D148" s="2">
        <f t="shared" si="5"/>
        <v>1.4673309517305277E-2</v>
      </c>
      <c r="E148" s="2">
        <f t="shared" si="5"/>
        <v>-1.9096697456456369E-2</v>
      </c>
    </row>
    <row r="149" spans="1:5" x14ac:dyDescent="0.25">
      <c r="A149" s="3">
        <v>42219</v>
      </c>
      <c r="B149" s="2">
        <v>387.25</v>
      </c>
      <c r="C149" s="2">
        <f t="shared" si="4"/>
        <v>-1.219136049348446E-2</v>
      </c>
      <c r="D149" s="2">
        <f t="shared" si="5"/>
        <v>-6.9908133452889487E-3</v>
      </c>
      <c r="E149" s="2">
        <f t="shared" si="5"/>
        <v>1.4673309517305277E-2</v>
      </c>
    </row>
    <row r="150" spans="1:5" x14ac:dyDescent="0.25">
      <c r="A150" s="3">
        <v>42220</v>
      </c>
      <c r="B150" s="2">
        <v>389.75</v>
      </c>
      <c r="C150" s="2">
        <f t="shared" si="4"/>
        <v>6.4350286409080582E-3</v>
      </c>
      <c r="D150" s="2">
        <f t="shared" si="5"/>
        <v>-1.219136049348446E-2</v>
      </c>
      <c r="E150" s="2">
        <f t="shared" si="5"/>
        <v>-6.9908133452889487E-3</v>
      </c>
    </row>
    <row r="151" spans="1:5" x14ac:dyDescent="0.25">
      <c r="A151" s="3">
        <v>42221</v>
      </c>
      <c r="B151" s="2">
        <v>394.5</v>
      </c>
      <c r="C151" s="2">
        <f t="shared" si="4"/>
        <v>1.2113632348043524E-2</v>
      </c>
      <c r="D151" s="2">
        <f t="shared" si="5"/>
        <v>6.4350286409080582E-3</v>
      </c>
      <c r="E151" s="2">
        <f t="shared" si="5"/>
        <v>-1.219136049348446E-2</v>
      </c>
    </row>
    <row r="152" spans="1:5" x14ac:dyDescent="0.25">
      <c r="A152" s="3">
        <v>42222</v>
      </c>
      <c r="B152" s="2">
        <v>391.5</v>
      </c>
      <c r="C152" s="2">
        <f t="shared" si="4"/>
        <v>-7.6336248550719077E-3</v>
      </c>
      <c r="D152" s="2">
        <f t="shared" si="5"/>
        <v>1.2113632348043524E-2</v>
      </c>
      <c r="E152" s="2">
        <f t="shared" si="5"/>
        <v>6.4350286409080582E-3</v>
      </c>
    </row>
    <row r="153" spans="1:5" x14ac:dyDescent="0.25">
      <c r="A153" s="3">
        <v>42223</v>
      </c>
      <c r="B153" s="2">
        <v>394.75</v>
      </c>
      <c r="C153" s="2">
        <f t="shared" si="4"/>
        <v>8.2671377048937345E-3</v>
      </c>
      <c r="D153" s="2">
        <f t="shared" si="5"/>
        <v>-7.6336248550719077E-3</v>
      </c>
      <c r="E153" s="2">
        <f t="shared" si="5"/>
        <v>1.2113632348043524E-2</v>
      </c>
    </row>
    <row r="154" spans="1:5" x14ac:dyDescent="0.25">
      <c r="A154" s="3">
        <v>42226</v>
      </c>
      <c r="B154" s="2">
        <v>412</v>
      </c>
      <c r="C154" s="2">
        <f t="shared" si="4"/>
        <v>4.2770696213775494E-2</v>
      </c>
      <c r="D154" s="2">
        <f t="shared" si="5"/>
        <v>8.2671377048937345E-3</v>
      </c>
      <c r="E154" s="2">
        <f t="shared" si="5"/>
        <v>-7.6336248550719077E-3</v>
      </c>
    </row>
    <row r="155" spans="1:5" x14ac:dyDescent="0.25">
      <c r="A155" s="3">
        <v>42227</v>
      </c>
      <c r="B155" s="2">
        <v>398.75</v>
      </c>
      <c r="C155" s="2">
        <f t="shared" si="4"/>
        <v>-3.2688695250472577E-2</v>
      </c>
      <c r="D155" s="2">
        <f t="shared" si="5"/>
        <v>4.2770696213775494E-2</v>
      </c>
      <c r="E155" s="2">
        <f t="shared" si="5"/>
        <v>8.2671377048937345E-3</v>
      </c>
    </row>
    <row r="156" spans="1:5" x14ac:dyDescent="0.25">
      <c r="A156" s="3">
        <v>42228</v>
      </c>
      <c r="B156" s="2">
        <v>379.75</v>
      </c>
      <c r="C156" s="2">
        <f t="shared" si="4"/>
        <v>-4.8821512623171692E-2</v>
      </c>
      <c r="D156" s="2">
        <f t="shared" si="5"/>
        <v>-3.2688695250472577E-2</v>
      </c>
      <c r="E156" s="2">
        <f t="shared" si="5"/>
        <v>4.2770696213775494E-2</v>
      </c>
    </row>
    <row r="157" spans="1:5" x14ac:dyDescent="0.25">
      <c r="A157" s="3">
        <v>42229</v>
      </c>
      <c r="B157" s="2">
        <v>387</v>
      </c>
      <c r="C157" s="2">
        <f t="shared" si="4"/>
        <v>1.8911551553899564E-2</v>
      </c>
      <c r="D157" s="2">
        <f t="shared" si="5"/>
        <v>-4.8821512623171692E-2</v>
      </c>
      <c r="E157" s="2">
        <f t="shared" si="5"/>
        <v>-3.2688695250472577E-2</v>
      </c>
    </row>
    <row r="158" spans="1:5" x14ac:dyDescent="0.25">
      <c r="A158" s="3">
        <v>42230</v>
      </c>
      <c r="B158" s="2">
        <v>387</v>
      </c>
      <c r="C158" s="2">
        <f t="shared" si="4"/>
        <v>0</v>
      </c>
      <c r="D158" s="2">
        <f t="shared" si="5"/>
        <v>1.8911551553899564E-2</v>
      </c>
      <c r="E158" s="2">
        <f t="shared" si="5"/>
        <v>-4.8821512623171692E-2</v>
      </c>
    </row>
    <row r="159" spans="1:5" x14ac:dyDescent="0.25">
      <c r="A159" s="3">
        <v>42233</v>
      </c>
      <c r="B159" s="2">
        <v>386</v>
      </c>
      <c r="C159" s="2">
        <f t="shared" si="4"/>
        <v>-2.5873235649509496E-3</v>
      </c>
      <c r="D159" s="2">
        <f t="shared" si="5"/>
        <v>0</v>
      </c>
      <c r="E159" s="2">
        <f t="shared" si="5"/>
        <v>1.8911551553899564E-2</v>
      </c>
    </row>
    <row r="160" spans="1:5" x14ac:dyDescent="0.25">
      <c r="A160" s="3">
        <v>42234</v>
      </c>
      <c r="B160" s="2">
        <v>388.75</v>
      </c>
      <c r="C160" s="2">
        <f t="shared" si="4"/>
        <v>7.0990940286126403E-3</v>
      </c>
      <c r="D160" s="2">
        <f t="shared" si="5"/>
        <v>-2.5873235649509496E-3</v>
      </c>
      <c r="E160" s="2">
        <f t="shared" si="5"/>
        <v>0</v>
      </c>
    </row>
    <row r="161" spans="1:5" x14ac:dyDescent="0.25">
      <c r="A161" s="3">
        <v>42235</v>
      </c>
      <c r="B161" s="2">
        <v>390</v>
      </c>
      <c r="C161" s="2">
        <f t="shared" si="4"/>
        <v>3.2102756302485602E-3</v>
      </c>
      <c r="D161" s="2">
        <f t="shared" si="5"/>
        <v>7.0990940286126403E-3</v>
      </c>
      <c r="E161" s="2">
        <f t="shared" si="5"/>
        <v>-2.5873235649509496E-3</v>
      </c>
    </row>
    <row r="162" spans="1:5" x14ac:dyDescent="0.25">
      <c r="A162" s="3">
        <v>42236</v>
      </c>
      <c r="B162" s="2">
        <v>393.75</v>
      </c>
      <c r="C162" s="2">
        <f t="shared" si="4"/>
        <v>9.5694510161505875E-3</v>
      </c>
      <c r="D162" s="2">
        <f t="shared" si="5"/>
        <v>3.2102756302485602E-3</v>
      </c>
      <c r="E162" s="2">
        <f t="shared" si="5"/>
        <v>7.0990940286126403E-3</v>
      </c>
    </row>
    <row r="163" spans="1:5" x14ac:dyDescent="0.25">
      <c r="A163" s="3">
        <v>42237</v>
      </c>
      <c r="B163" s="2">
        <v>388.75</v>
      </c>
      <c r="C163" s="2">
        <f t="shared" si="4"/>
        <v>-1.2779726646399148E-2</v>
      </c>
      <c r="D163" s="2">
        <f t="shared" si="5"/>
        <v>9.5694510161505875E-3</v>
      </c>
      <c r="E163" s="2">
        <f t="shared" si="5"/>
        <v>3.2102756302485602E-3</v>
      </c>
    </row>
    <row r="164" spans="1:5" x14ac:dyDescent="0.25">
      <c r="A164" s="3">
        <v>42240</v>
      </c>
      <c r="B164" s="2">
        <v>391.75</v>
      </c>
      <c r="C164" s="2">
        <f t="shared" si="4"/>
        <v>7.6874177426864421E-3</v>
      </c>
      <c r="D164" s="2">
        <f t="shared" si="5"/>
        <v>-1.2779726646399148E-2</v>
      </c>
      <c r="E164" s="2">
        <f t="shared" si="5"/>
        <v>9.5694510161505875E-3</v>
      </c>
    </row>
    <row r="165" spans="1:5" x14ac:dyDescent="0.25">
      <c r="A165" s="3">
        <v>42241</v>
      </c>
      <c r="B165" s="2">
        <v>388</v>
      </c>
      <c r="C165" s="2">
        <f t="shared" si="4"/>
        <v>-9.6185416128564682E-3</v>
      </c>
      <c r="D165" s="2">
        <f t="shared" si="5"/>
        <v>7.6874177426864421E-3</v>
      </c>
      <c r="E165" s="2">
        <f t="shared" si="5"/>
        <v>-1.2779726646399148E-2</v>
      </c>
    </row>
    <row r="166" spans="1:5" x14ac:dyDescent="0.25">
      <c r="A166" s="3">
        <v>42242</v>
      </c>
      <c r="B166" s="2">
        <v>384.25</v>
      </c>
      <c r="C166" s="2">
        <f t="shared" si="4"/>
        <v>-9.7119572045683E-3</v>
      </c>
      <c r="D166" s="2">
        <f t="shared" si="5"/>
        <v>-9.6185416128564682E-3</v>
      </c>
      <c r="E166" s="2">
        <f t="shared" si="5"/>
        <v>7.6874177426864421E-3</v>
      </c>
    </row>
    <row r="167" spans="1:5" x14ac:dyDescent="0.25">
      <c r="A167" s="3">
        <v>42243</v>
      </c>
      <c r="B167" s="2">
        <v>386.25</v>
      </c>
      <c r="C167" s="2">
        <f t="shared" si="4"/>
        <v>5.19144579325026E-3</v>
      </c>
      <c r="D167" s="2">
        <f t="shared" si="5"/>
        <v>-9.7119572045683E-3</v>
      </c>
      <c r="E167" s="2">
        <f t="shared" si="5"/>
        <v>-9.6185416128564682E-3</v>
      </c>
    </row>
    <row r="168" spans="1:5" x14ac:dyDescent="0.25">
      <c r="A168" s="3">
        <v>42244</v>
      </c>
      <c r="B168" s="2">
        <v>386.5</v>
      </c>
      <c r="C168" s="2">
        <f t="shared" si="4"/>
        <v>6.4703981552138856E-4</v>
      </c>
      <c r="D168" s="2">
        <f t="shared" si="5"/>
        <v>5.19144579325026E-3</v>
      </c>
      <c r="E168" s="2">
        <f t="shared" si="5"/>
        <v>-9.7119572045683E-3</v>
      </c>
    </row>
    <row r="169" spans="1:5" x14ac:dyDescent="0.25">
      <c r="A169" s="3">
        <v>42247</v>
      </c>
      <c r="B169" s="2">
        <v>386.25</v>
      </c>
      <c r="C169" s="2">
        <f t="shared" si="4"/>
        <v>-6.4703981552138856E-4</v>
      </c>
      <c r="D169" s="2">
        <f t="shared" si="5"/>
        <v>6.4703981552138856E-4</v>
      </c>
      <c r="E169" s="2">
        <f t="shared" si="5"/>
        <v>5.19144579325026E-3</v>
      </c>
    </row>
    <row r="170" spans="1:5" x14ac:dyDescent="0.25">
      <c r="A170" s="3">
        <v>42248</v>
      </c>
      <c r="B170" s="2">
        <v>380.25</v>
      </c>
      <c r="C170" s="2">
        <f t="shared" si="4"/>
        <v>-1.565589707255377E-2</v>
      </c>
      <c r="D170" s="2">
        <f t="shared" si="5"/>
        <v>-6.4703981552138856E-4</v>
      </c>
      <c r="E170" s="2">
        <f t="shared" si="5"/>
        <v>6.4703981552138856E-4</v>
      </c>
    </row>
    <row r="171" spans="1:5" x14ac:dyDescent="0.25">
      <c r="A171" s="3">
        <v>42249</v>
      </c>
      <c r="B171" s="2">
        <v>378.75</v>
      </c>
      <c r="C171" s="2">
        <f t="shared" si="4"/>
        <v>-3.9525743158232984E-3</v>
      </c>
      <c r="D171" s="2">
        <f t="shared" si="5"/>
        <v>-1.565589707255377E-2</v>
      </c>
      <c r="E171" s="2">
        <f t="shared" si="5"/>
        <v>-6.4703981552138856E-4</v>
      </c>
    </row>
    <row r="172" spans="1:5" x14ac:dyDescent="0.25">
      <c r="A172" s="3">
        <v>42250</v>
      </c>
      <c r="B172" s="2">
        <v>373</v>
      </c>
      <c r="C172" s="2">
        <f t="shared" si="4"/>
        <v>-1.5297937179762577E-2</v>
      </c>
      <c r="D172" s="2">
        <f t="shared" si="5"/>
        <v>-3.9525743158232984E-3</v>
      </c>
      <c r="E172" s="2">
        <f t="shared" si="5"/>
        <v>-1.565589707255377E-2</v>
      </c>
    </row>
    <row r="173" spans="1:5" x14ac:dyDescent="0.25">
      <c r="A173" s="3">
        <v>42251</v>
      </c>
      <c r="B173" s="2">
        <v>374.5</v>
      </c>
      <c r="C173" s="2">
        <f t="shared" si="4"/>
        <v>4.0133833134579078E-3</v>
      </c>
      <c r="D173" s="2">
        <f t="shared" si="5"/>
        <v>-1.5297937179762577E-2</v>
      </c>
      <c r="E173" s="2">
        <f t="shared" si="5"/>
        <v>-3.9525743158232984E-3</v>
      </c>
    </row>
    <row r="174" spans="1:5" x14ac:dyDescent="0.25">
      <c r="A174" s="3">
        <v>42255</v>
      </c>
      <c r="B174" s="2">
        <v>379.75</v>
      </c>
      <c r="C174" s="2">
        <f t="shared" si="4"/>
        <v>1.392133851860855E-2</v>
      </c>
      <c r="D174" s="2">
        <f t="shared" si="5"/>
        <v>4.0133833134579078E-3</v>
      </c>
      <c r="E174" s="2">
        <f t="shared" si="5"/>
        <v>-1.5297937179762577E-2</v>
      </c>
    </row>
    <row r="175" spans="1:5" x14ac:dyDescent="0.25">
      <c r="A175" s="3">
        <v>42256</v>
      </c>
      <c r="B175" s="2">
        <v>380.25</v>
      </c>
      <c r="C175" s="2">
        <f t="shared" si="4"/>
        <v>1.3157896635194177E-3</v>
      </c>
      <c r="D175" s="2">
        <f t="shared" si="5"/>
        <v>1.392133851860855E-2</v>
      </c>
      <c r="E175" s="2">
        <f t="shared" si="5"/>
        <v>4.0133833134579078E-3</v>
      </c>
    </row>
    <row r="176" spans="1:5" x14ac:dyDescent="0.25">
      <c r="A176" s="3">
        <v>42257</v>
      </c>
      <c r="B176" s="2">
        <v>385.5</v>
      </c>
      <c r="C176" s="2">
        <f t="shared" si="4"/>
        <v>1.3712261863982E-2</v>
      </c>
      <c r="D176" s="2">
        <f t="shared" si="5"/>
        <v>1.3157896635194177E-3</v>
      </c>
      <c r="E176" s="2">
        <f t="shared" si="5"/>
        <v>1.392133851860855E-2</v>
      </c>
    </row>
    <row r="177" spans="1:5" x14ac:dyDescent="0.25">
      <c r="A177" s="3">
        <v>42258</v>
      </c>
      <c r="B177" s="2">
        <v>398.25</v>
      </c>
      <c r="C177" s="2">
        <f t="shared" si="4"/>
        <v>3.2538755786774232E-2</v>
      </c>
      <c r="D177" s="2">
        <f t="shared" si="5"/>
        <v>1.3712261863982E-2</v>
      </c>
      <c r="E177" s="2">
        <f t="shared" si="5"/>
        <v>1.3157896635194177E-3</v>
      </c>
    </row>
    <row r="178" spans="1:5" x14ac:dyDescent="0.25">
      <c r="A178" s="3">
        <v>42261</v>
      </c>
      <c r="B178" s="2">
        <v>404.75</v>
      </c>
      <c r="C178" s="2">
        <f t="shared" si="4"/>
        <v>1.6189643767586581E-2</v>
      </c>
      <c r="D178" s="2">
        <f t="shared" si="5"/>
        <v>3.2538755786774232E-2</v>
      </c>
      <c r="E178" s="2">
        <f t="shared" si="5"/>
        <v>1.3712261863982E-2</v>
      </c>
    </row>
    <row r="179" spans="1:5" x14ac:dyDescent="0.25">
      <c r="A179" s="3">
        <v>42262</v>
      </c>
      <c r="B179" s="2">
        <v>401.75</v>
      </c>
      <c r="C179" s="2">
        <f t="shared" si="4"/>
        <v>-7.4395879401230047E-3</v>
      </c>
      <c r="D179" s="2">
        <f t="shared" si="5"/>
        <v>1.6189643767586581E-2</v>
      </c>
      <c r="E179" s="2">
        <f t="shared" si="5"/>
        <v>3.2538755786774232E-2</v>
      </c>
    </row>
    <row r="180" spans="1:5" x14ac:dyDescent="0.25">
      <c r="A180" s="3">
        <v>42263</v>
      </c>
      <c r="B180" s="2">
        <v>397.25</v>
      </c>
      <c r="C180" s="2">
        <f t="shared" si="4"/>
        <v>-1.1264199200796021E-2</v>
      </c>
      <c r="D180" s="2">
        <f t="shared" si="5"/>
        <v>-7.4395879401230047E-3</v>
      </c>
      <c r="E180" s="2">
        <f t="shared" si="5"/>
        <v>1.6189643767586581E-2</v>
      </c>
    </row>
    <row r="181" spans="1:5" x14ac:dyDescent="0.25">
      <c r="A181" s="3">
        <v>42264</v>
      </c>
      <c r="B181" s="2">
        <v>391</v>
      </c>
      <c r="C181" s="2">
        <f t="shared" si="4"/>
        <v>-1.585824543145975E-2</v>
      </c>
      <c r="D181" s="2">
        <f t="shared" si="5"/>
        <v>-1.1264199200796021E-2</v>
      </c>
      <c r="E181" s="2">
        <f t="shared" si="5"/>
        <v>-7.4395879401230047E-3</v>
      </c>
    </row>
    <row r="182" spans="1:5" x14ac:dyDescent="0.25">
      <c r="A182" s="3">
        <v>42265</v>
      </c>
      <c r="B182" s="2">
        <v>388.5</v>
      </c>
      <c r="C182" s="2">
        <f t="shared" si="4"/>
        <v>-6.4143901776638756E-3</v>
      </c>
      <c r="D182" s="2">
        <f t="shared" si="5"/>
        <v>-1.585824543145975E-2</v>
      </c>
      <c r="E182" s="2">
        <f t="shared" si="5"/>
        <v>-1.1264199200796021E-2</v>
      </c>
    </row>
    <row r="183" spans="1:5" x14ac:dyDescent="0.25">
      <c r="A183" s="3">
        <v>42268</v>
      </c>
      <c r="B183" s="2">
        <v>396</v>
      </c>
      <c r="C183" s="2">
        <f t="shared" si="4"/>
        <v>1.9121041446778619E-2</v>
      </c>
      <c r="D183" s="2">
        <f t="shared" si="5"/>
        <v>-6.4143901776638756E-3</v>
      </c>
      <c r="E183" s="2">
        <f t="shared" si="5"/>
        <v>-1.585824543145975E-2</v>
      </c>
    </row>
    <row r="184" spans="1:5" x14ac:dyDescent="0.25">
      <c r="A184" s="3">
        <v>42269</v>
      </c>
      <c r="B184" s="2">
        <v>392.25</v>
      </c>
      <c r="C184" s="2">
        <f t="shared" si="4"/>
        <v>-9.5148196413390451E-3</v>
      </c>
      <c r="D184" s="2">
        <f t="shared" si="5"/>
        <v>1.9121041446778619E-2</v>
      </c>
      <c r="E184" s="2">
        <f t="shared" si="5"/>
        <v>-6.4143901776638756E-3</v>
      </c>
    </row>
    <row r="185" spans="1:5" x14ac:dyDescent="0.25">
      <c r="A185" s="3">
        <v>42270</v>
      </c>
      <c r="B185" s="2">
        <v>394.75</v>
      </c>
      <c r="C185" s="2">
        <f t="shared" si="4"/>
        <v>6.3532615226096212E-3</v>
      </c>
      <c r="D185" s="2">
        <f t="shared" si="5"/>
        <v>-9.5148196413390451E-3</v>
      </c>
      <c r="E185" s="2">
        <f t="shared" si="5"/>
        <v>1.9121041446778619E-2</v>
      </c>
    </row>
    <row r="186" spans="1:5" x14ac:dyDescent="0.25">
      <c r="A186" s="3">
        <v>42271</v>
      </c>
      <c r="B186" s="2">
        <v>392.75</v>
      </c>
      <c r="C186" s="2">
        <f t="shared" si="4"/>
        <v>-5.07937600002073E-3</v>
      </c>
      <c r="D186" s="2">
        <f t="shared" si="5"/>
        <v>6.3532615226096212E-3</v>
      </c>
      <c r="E186" s="2">
        <f t="shared" si="5"/>
        <v>-9.5148196413390451E-3</v>
      </c>
    </row>
    <row r="187" spans="1:5" x14ac:dyDescent="0.25">
      <c r="A187" s="3">
        <v>42272</v>
      </c>
      <c r="B187" s="2">
        <v>400.25</v>
      </c>
      <c r="C187" s="2">
        <f t="shared" si="4"/>
        <v>1.8916074741093247E-2</v>
      </c>
      <c r="D187" s="2">
        <f t="shared" si="5"/>
        <v>-5.07937600002073E-3</v>
      </c>
      <c r="E187" s="2">
        <f t="shared" si="5"/>
        <v>6.3532615226096212E-3</v>
      </c>
    </row>
    <row r="188" spans="1:5" x14ac:dyDescent="0.25">
      <c r="A188" s="3">
        <v>42275</v>
      </c>
      <c r="B188" s="2">
        <v>398</v>
      </c>
      <c r="C188" s="2">
        <f t="shared" si="4"/>
        <v>-5.6373465923860167E-3</v>
      </c>
      <c r="D188" s="2">
        <f t="shared" si="5"/>
        <v>1.8916074741093247E-2</v>
      </c>
      <c r="E188" s="2">
        <f t="shared" si="5"/>
        <v>-5.07937600002073E-3</v>
      </c>
    </row>
    <row r="189" spans="1:5" x14ac:dyDescent="0.25">
      <c r="A189" s="3">
        <v>42276</v>
      </c>
      <c r="B189" s="2">
        <v>399.75</v>
      </c>
      <c r="C189" s="2">
        <f t="shared" si="4"/>
        <v>4.3873464296257936E-3</v>
      </c>
      <c r="D189" s="2">
        <f t="shared" si="5"/>
        <v>-5.6373465923860167E-3</v>
      </c>
      <c r="E189" s="2">
        <f t="shared" si="5"/>
        <v>1.8916074741093247E-2</v>
      </c>
    </row>
    <row r="190" spans="1:5" x14ac:dyDescent="0.25">
      <c r="A190" s="3">
        <v>42277</v>
      </c>
      <c r="B190" s="2">
        <v>398.75</v>
      </c>
      <c r="C190" s="2">
        <f t="shared" si="4"/>
        <v>-2.5046976150093769E-3</v>
      </c>
      <c r="D190" s="2">
        <f t="shared" si="5"/>
        <v>4.3873464296257936E-3</v>
      </c>
      <c r="E190" s="2">
        <f t="shared" si="5"/>
        <v>-5.6373465923860167E-3</v>
      </c>
    </row>
    <row r="191" spans="1:5" x14ac:dyDescent="0.25">
      <c r="A191" s="3">
        <v>42278</v>
      </c>
      <c r="B191" s="2">
        <v>399.75</v>
      </c>
      <c r="C191" s="2">
        <f t="shared" si="4"/>
        <v>2.5046976150093769E-3</v>
      </c>
      <c r="D191" s="2">
        <f t="shared" si="5"/>
        <v>-2.5046976150093769E-3</v>
      </c>
      <c r="E191" s="2">
        <f t="shared" si="5"/>
        <v>4.3873464296257936E-3</v>
      </c>
    </row>
    <row r="192" spans="1:5" x14ac:dyDescent="0.25">
      <c r="A192" s="3">
        <v>42279</v>
      </c>
      <c r="B192" s="2">
        <v>399.5</v>
      </c>
      <c r="C192" s="2">
        <f t="shared" si="4"/>
        <v>-6.2558650773425484E-4</v>
      </c>
      <c r="D192" s="2">
        <f t="shared" si="5"/>
        <v>2.5046976150093769E-3</v>
      </c>
      <c r="E192" s="2">
        <f t="shared" si="5"/>
        <v>-2.5046976150093769E-3</v>
      </c>
    </row>
    <row r="193" spans="1:5" x14ac:dyDescent="0.25">
      <c r="A193" s="3">
        <v>42282</v>
      </c>
      <c r="B193" s="2">
        <v>403.75</v>
      </c>
      <c r="C193" s="2">
        <f t="shared" si="4"/>
        <v>1.0582109330536937E-2</v>
      </c>
      <c r="D193" s="2">
        <f t="shared" si="5"/>
        <v>-6.2558650773425484E-4</v>
      </c>
      <c r="E193" s="2">
        <f t="shared" si="5"/>
        <v>2.5046976150093769E-3</v>
      </c>
    </row>
    <row r="194" spans="1:5" x14ac:dyDescent="0.25">
      <c r="A194" s="3">
        <v>42283</v>
      </c>
      <c r="B194" s="2">
        <v>408.5</v>
      </c>
      <c r="C194" s="2">
        <f t="shared" si="4"/>
        <v>1.1696039763191557E-2</v>
      </c>
      <c r="D194" s="2">
        <f t="shared" si="5"/>
        <v>1.0582109330536937E-2</v>
      </c>
      <c r="E194" s="2">
        <f t="shared" si="5"/>
        <v>-6.2558650773425484E-4</v>
      </c>
    </row>
    <row r="195" spans="1:5" x14ac:dyDescent="0.25">
      <c r="A195" s="3">
        <v>42284</v>
      </c>
      <c r="B195" s="2">
        <v>406.25</v>
      </c>
      <c r="C195" s="2">
        <f t="shared" si="4"/>
        <v>-5.5231806561106822E-3</v>
      </c>
      <c r="D195" s="2">
        <f t="shared" si="5"/>
        <v>1.1696039763191557E-2</v>
      </c>
      <c r="E195" s="2">
        <f t="shared" si="5"/>
        <v>1.0582109330536937E-2</v>
      </c>
    </row>
    <row r="196" spans="1:5" x14ac:dyDescent="0.25">
      <c r="A196" s="3">
        <v>42285</v>
      </c>
      <c r="B196" s="2">
        <v>401.75</v>
      </c>
      <c r="C196" s="2">
        <f t="shared" si="4"/>
        <v>-1.11387290263254E-2</v>
      </c>
      <c r="D196" s="2">
        <f t="shared" si="5"/>
        <v>-5.5231806561106822E-3</v>
      </c>
      <c r="E196" s="2">
        <f t="shared" si="5"/>
        <v>1.1696039763191557E-2</v>
      </c>
    </row>
    <row r="197" spans="1:5" x14ac:dyDescent="0.25">
      <c r="A197" s="3">
        <v>42286</v>
      </c>
      <c r="B197" s="2">
        <v>393.5</v>
      </c>
      <c r="C197" s="2">
        <f t="shared" ref="C197:C212" si="6">LN(B197)-LN(B196)</f>
        <v>-2.0748936760163872E-2</v>
      </c>
      <c r="D197" s="2">
        <f t="shared" si="5"/>
        <v>-1.11387290263254E-2</v>
      </c>
      <c r="E197" s="2">
        <f t="shared" si="5"/>
        <v>-5.5231806561106822E-3</v>
      </c>
    </row>
    <row r="198" spans="1:5" x14ac:dyDescent="0.25">
      <c r="A198" s="3">
        <v>42289</v>
      </c>
      <c r="B198" s="2">
        <v>391.75</v>
      </c>
      <c r="C198" s="2">
        <f t="shared" si="6"/>
        <v>-4.4571866213276579E-3</v>
      </c>
      <c r="D198" s="2">
        <f t="shared" si="5"/>
        <v>-2.0748936760163872E-2</v>
      </c>
      <c r="E198" s="2">
        <f t="shared" si="5"/>
        <v>-1.11387290263254E-2</v>
      </c>
    </row>
    <row r="199" spans="1:5" x14ac:dyDescent="0.25">
      <c r="A199" s="3">
        <v>42290</v>
      </c>
      <c r="B199" s="2">
        <v>395.5</v>
      </c>
      <c r="C199" s="2">
        <f t="shared" si="6"/>
        <v>9.5269059715787918E-3</v>
      </c>
      <c r="D199" s="2">
        <f t="shared" ref="D199:E212" si="7">C198</f>
        <v>-4.4571866213276579E-3</v>
      </c>
      <c r="E199" s="2">
        <f t="shared" si="7"/>
        <v>-2.0748936760163872E-2</v>
      </c>
    </row>
    <row r="200" spans="1:5" x14ac:dyDescent="0.25">
      <c r="A200" s="3">
        <v>42291</v>
      </c>
      <c r="B200" s="2">
        <v>389.75</v>
      </c>
      <c r="C200" s="2">
        <f t="shared" si="6"/>
        <v>-1.4645279269823064E-2</v>
      </c>
      <c r="D200" s="2">
        <f t="shared" si="7"/>
        <v>9.5269059715787918E-3</v>
      </c>
      <c r="E200" s="2">
        <f t="shared" si="7"/>
        <v>-4.4571866213276579E-3</v>
      </c>
    </row>
    <row r="201" spans="1:5" x14ac:dyDescent="0.25">
      <c r="A201" s="3">
        <v>42292</v>
      </c>
      <c r="B201" s="2">
        <v>386.5</v>
      </c>
      <c r="C201" s="2">
        <f t="shared" si="6"/>
        <v>-8.3736399104088477E-3</v>
      </c>
      <c r="D201" s="2">
        <f t="shared" si="7"/>
        <v>-1.4645279269823064E-2</v>
      </c>
      <c r="E201" s="2">
        <f t="shared" si="7"/>
        <v>9.5269059715787918E-3</v>
      </c>
    </row>
    <row r="202" spans="1:5" x14ac:dyDescent="0.25">
      <c r="A202" s="3">
        <v>42293</v>
      </c>
      <c r="B202" s="2">
        <v>387.75</v>
      </c>
      <c r="C202" s="2">
        <f t="shared" si="6"/>
        <v>3.2289340291713486E-3</v>
      </c>
      <c r="D202" s="2">
        <f t="shared" si="7"/>
        <v>-8.3736399104088477E-3</v>
      </c>
      <c r="E202" s="2">
        <f t="shared" si="7"/>
        <v>-1.4645279269823064E-2</v>
      </c>
    </row>
    <row r="203" spans="1:5" x14ac:dyDescent="0.25">
      <c r="A203" s="3">
        <v>42296</v>
      </c>
      <c r="B203" s="2">
        <v>383.75</v>
      </c>
      <c r="C203" s="2">
        <f t="shared" si="6"/>
        <v>-1.0369503155241766E-2</v>
      </c>
      <c r="D203" s="2">
        <f t="shared" si="7"/>
        <v>3.2289340291713486E-3</v>
      </c>
      <c r="E203" s="2">
        <f t="shared" si="7"/>
        <v>-8.3736399104088477E-3</v>
      </c>
    </row>
    <row r="204" spans="1:5" x14ac:dyDescent="0.25">
      <c r="A204" s="3">
        <v>42297</v>
      </c>
      <c r="B204" s="2">
        <v>387.25</v>
      </c>
      <c r="C204" s="2">
        <f t="shared" si="6"/>
        <v>9.0791803955712069E-3</v>
      </c>
      <c r="D204" s="2">
        <f t="shared" si="7"/>
        <v>-1.0369503155241766E-2</v>
      </c>
      <c r="E204" s="2">
        <f t="shared" si="7"/>
        <v>3.2289340291713486E-3</v>
      </c>
    </row>
    <row r="205" spans="1:5" x14ac:dyDescent="0.25">
      <c r="A205" s="3">
        <v>42298</v>
      </c>
      <c r="B205" s="2">
        <v>390.25</v>
      </c>
      <c r="C205" s="2">
        <f t="shared" si="6"/>
        <v>7.7170800985637555E-3</v>
      </c>
      <c r="D205" s="2">
        <f t="shared" si="7"/>
        <v>9.0791803955712069E-3</v>
      </c>
      <c r="E205" s="2">
        <f t="shared" si="7"/>
        <v>-1.0369503155241766E-2</v>
      </c>
    </row>
    <row r="206" spans="1:5" x14ac:dyDescent="0.25">
      <c r="A206" s="3">
        <v>42299</v>
      </c>
      <c r="B206" s="2">
        <v>388</v>
      </c>
      <c r="C206" s="2">
        <f t="shared" si="6"/>
        <v>-5.7822197722678936E-3</v>
      </c>
      <c r="D206" s="2">
        <f t="shared" si="7"/>
        <v>7.7170800985637555E-3</v>
      </c>
      <c r="E206" s="2">
        <f t="shared" si="7"/>
        <v>9.0791803955712069E-3</v>
      </c>
    </row>
    <row r="207" spans="1:5" x14ac:dyDescent="0.25">
      <c r="A207" s="3">
        <v>42300</v>
      </c>
      <c r="B207" s="2">
        <v>388.75</v>
      </c>
      <c r="C207" s="2">
        <f t="shared" si="6"/>
        <v>1.9311238701700262E-3</v>
      </c>
      <c r="D207" s="2">
        <f t="shared" si="7"/>
        <v>-5.7822197722678936E-3</v>
      </c>
      <c r="E207" s="2">
        <f t="shared" si="7"/>
        <v>7.7170800985637555E-3</v>
      </c>
    </row>
    <row r="208" spans="1:5" x14ac:dyDescent="0.25">
      <c r="A208" s="3">
        <v>42303</v>
      </c>
      <c r="B208" s="2">
        <v>393.5</v>
      </c>
      <c r="C208" s="2">
        <f t="shared" si="6"/>
        <v>1.21446043640141E-2</v>
      </c>
      <c r="D208" s="2">
        <f t="shared" si="7"/>
        <v>1.9311238701700262E-3</v>
      </c>
      <c r="E208" s="2">
        <f t="shared" si="7"/>
        <v>-5.7822197722678936E-3</v>
      </c>
    </row>
    <row r="209" spans="1:6" x14ac:dyDescent="0.25">
      <c r="A209" s="3">
        <v>42304</v>
      </c>
      <c r="B209" s="2">
        <v>389.75</v>
      </c>
      <c r="C209" s="2">
        <f t="shared" si="6"/>
        <v>-9.5755599195719299E-3</v>
      </c>
      <c r="D209" s="2">
        <f t="shared" si="7"/>
        <v>1.21446043640141E-2</v>
      </c>
      <c r="E209" s="2">
        <f t="shared" si="7"/>
        <v>1.9311238701700262E-3</v>
      </c>
    </row>
    <row r="210" spans="1:6" x14ac:dyDescent="0.25">
      <c r="A210" s="3">
        <v>42305</v>
      </c>
      <c r="B210" s="2">
        <v>386</v>
      </c>
      <c r="C210" s="2">
        <f t="shared" si="6"/>
        <v>-9.6681384730548103E-3</v>
      </c>
      <c r="D210" s="2">
        <f t="shared" si="7"/>
        <v>-9.5755599195719299E-3</v>
      </c>
      <c r="E210" s="2">
        <f t="shared" si="7"/>
        <v>1.21446043640141E-2</v>
      </c>
    </row>
    <row r="211" spans="1:6" x14ac:dyDescent="0.25">
      <c r="A211" s="3">
        <v>42306</v>
      </c>
      <c r="B211" s="2">
        <v>389.75</v>
      </c>
      <c r="C211" s="2">
        <f t="shared" si="6"/>
        <v>9.6681384730548103E-3</v>
      </c>
      <c r="D211" s="2">
        <f t="shared" si="7"/>
        <v>-9.6681384730548103E-3</v>
      </c>
      <c r="E211" s="2">
        <f t="shared" si="7"/>
        <v>-9.5755599195719299E-3</v>
      </c>
    </row>
    <row r="212" spans="1:6" x14ac:dyDescent="0.25">
      <c r="A212" s="3">
        <v>42307</v>
      </c>
      <c r="B212" s="2">
        <v>391.5</v>
      </c>
      <c r="C212" s="2">
        <f t="shared" si="6"/>
        <v>4.480007492971616E-3</v>
      </c>
      <c r="D212" s="2">
        <f t="shared" si="7"/>
        <v>9.6681384730548103E-3</v>
      </c>
      <c r="E212" s="2">
        <f t="shared" si="7"/>
        <v>-9.6681384730548103E-3</v>
      </c>
    </row>
    <row r="213" spans="1:6" x14ac:dyDescent="0.25">
      <c r="A213" s="3">
        <v>42310</v>
      </c>
      <c r="F213" s="2">
        <f>$J$55+$J$56*C212+$J$57*D212</f>
        <v>-7.8056823899213721E-4</v>
      </c>
    </row>
    <row r="214" spans="1:6" x14ac:dyDescent="0.25">
      <c r="A214" s="3">
        <v>42311</v>
      </c>
      <c r="F214" s="2">
        <f>$J$55+$J$56*F213+$J$57*C212</f>
        <v>-7.3121272958745454E-4</v>
      </c>
    </row>
    <row r="215" spans="1:6" x14ac:dyDescent="0.25">
      <c r="A215" s="3">
        <v>53270</v>
      </c>
      <c r="F215" s="2">
        <f>$J$55+$J$56*F214+$J$57*F213</f>
        <v>-5.1669999088608306E-4</v>
      </c>
    </row>
    <row r="216" spans="1:6" x14ac:dyDescent="0.25">
      <c r="A216" s="3">
        <v>42313</v>
      </c>
      <c r="F216" s="2">
        <f>$J$55+$J$56*F215+$J$57*F214</f>
        <v>-5.1214484881089003E-4</v>
      </c>
    </row>
  </sheetData>
  <sortState ref="A2:I433">
    <sortCondition ref="A2:A433"/>
  </sortState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20"/>
  <sheetViews>
    <sheetView topLeftCell="H28" workbookViewId="0">
      <selection activeCell="P55" sqref="P55"/>
    </sheetView>
  </sheetViews>
  <sheetFormatPr defaultRowHeight="18.75" x14ac:dyDescent="0.3"/>
  <cols>
    <col min="1" max="1" width="14.85546875" style="24" bestFit="1" customWidth="1"/>
    <col min="2" max="2" width="10" style="4" customWidth="1"/>
    <col min="3" max="3" width="16" style="25" bestFit="1" customWidth="1"/>
    <col min="4" max="4" width="19.140625" style="25" bestFit="1" customWidth="1"/>
    <col min="5" max="5" width="18.140625" style="4" bestFit="1" customWidth="1"/>
    <col min="6" max="6" width="22.42578125" style="23" bestFit="1" customWidth="1"/>
    <col min="7" max="7" width="26.140625" style="23" bestFit="1" customWidth="1"/>
    <col min="8" max="8" width="17.5703125" style="23" bestFit="1" customWidth="1"/>
    <col min="9" max="10" width="18.140625" style="23" bestFit="1" customWidth="1"/>
    <col min="11" max="11" width="16.7109375" style="23" customWidth="1"/>
    <col min="12" max="12" width="18.7109375" style="23" bestFit="1" customWidth="1"/>
    <col min="13" max="13" width="12.5703125" style="23" bestFit="1" customWidth="1"/>
    <col min="14" max="14" width="13.7109375" style="23" bestFit="1" customWidth="1"/>
    <col min="15" max="15" width="12.5703125" style="23" bestFit="1" customWidth="1"/>
    <col min="16" max="16" width="12.42578125" style="23" customWidth="1"/>
    <col min="17" max="17" width="13.5703125" style="23" bestFit="1" customWidth="1"/>
    <col min="18" max="18" width="12" style="23" bestFit="1" customWidth="1"/>
    <col min="19" max="19" width="12.5703125" style="23" bestFit="1" customWidth="1"/>
    <col min="20" max="20" width="12.28515625" style="23" bestFit="1" customWidth="1"/>
    <col min="21" max="16384" width="9.140625" style="23"/>
  </cols>
  <sheetData>
    <row r="1" spans="1:21" x14ac:dyDescent="0.3">
      <c r="C1" s="23" t="s">
        <v>39</v>
      </c>
      <c r="D1" s="23" t="s">
        <v>40</v>
      </c>
      <c r="E1" s="23" t="s">
        <v>41</v>
      </c>
      <c r="F1" s="23" t="s">
        <v>42</v>
      </c>
      <c r="G1" s="23" t="s">
        <v>45</v>
      </c>
    </row>
    <row r="2" spans="1:21" x14ac:dyDescent="0.3">
      <c r="C2" s="23">
        <v>0</v>
      </c>
      <c r="D2" s="23">
        <v>3.0854825311741944E-2</v>
      </c>
      <c r="E2" s="23">
        <v>0</v>
      </c>
      <c r="F2" s="23">
        <v>9.0380463522998652E-2</v>
      </c>
      <c r="G2" s="23">
        <f>SUM(F13:F219)</f>
        <v>3.8268256047237686E-2</v>
      </c>
    </row>
    <row r="3" spans="1:21" x14ac:dyDescent="0.3"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</row>
    <row r="4" spans="1:21" ht="21" x14ac:dyDescent="0.35">
      <c r="B4" s="5"/>
      <c r="C4" s="26" t="s">
        <v>3</v>
      </c>
      <c r="D4" s="26" t="s">
        <v>43</v>
      </c>
      <c r="E4" s="5" t="s">
        <v>44</v>
      </c>
      <c r="F4" s="23" t="s">
        <v>46</v>
      </c>
      <c r="G4" s="23" t="s">
        <v>50</v>
      </c>
      <c r="H4" s="23" t="s">
        <v>47</v>
      </c>
      <c r="I4" s="23" t="s">
        <v>48</v>
      </c>
      <c r="J4" s="23" t="s">
        <v>49</v>
      </c>
      <c r="K4" s="27" t="s">
        <v>38</v>
      </c>
      <c r="L4" s="27" t="s">
        <v>39</v>
      </c>
      <c r="M4" s="27" t="s">
        <v>40</v>
      </c>
      <c r="N4" s="27" t="s">
        <v>41</v>
      </c>
      <c r="O4" s="27" t="s">
        <v>42</v>
      </c>
      <c r="P4" s="27" t="s">
        <v>45</v>
      </c>
      <c r="Q4" s="27"/>
      <c r="R4" s="27"/>
      <c r="S4" s="27"/>
      <c r="T4" s="27"/>
      <c r="U4" s="27"/>
    </row>
    <row r="5" spans="1:21" x14ac:dyDescent="0.3">
      <c r="A5" s="24" t="s">
        <v>0</v>
      </c>
      <c r="B5" s="4" t="s">
        <v>1</v>
      </c>
      <c r="C5" s="25" t="s">
        <v>2</v>
      </c>
      <c r="G5" s="23" t="s">
        <v>51</v>
      </c>
      <c r="K5" s="27"/>
      <c r="L5" s="27">
        <v>0</v>
      </c>
      <c r="M5" s="27">
        <v>3.0854825311741944E-2</v>
      </c>
      <c r="N5" s="27">
        <v>0</v>
      </c>
      <c r="O5" s="27">
        <v>9.0380463522998652E-2</v>
      </c>
      <c r="P5" s="27">
        <f>SUM(O16:O222)</f>
        <v>0.78269858122281555</v>
      </c>
      <c r="Q5" s="27"/>
      <c r="R5" s="27"/>
      <c r="S5" s="27"/>
      <c r="T5" s="27"/>
      <c r="U5" s="27"/>
    </row>
    <row r="6" spans="1:21" x14ac:dyDescent="0.3">
      <c r="A6" s="24">
        <v>42006</v>
      </c>
      <c r="B6" s="4">
        <v>427.75</v>
      </c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</row>
    <row r="7" spans="1:21" x14ac:dyDescent="0.3">
      <c r="A7" s="24">
        <v>42009</v>
      </c>
      <c r="B7" s="4">
        <v>437.25</v>
      </c>
      <c r="C7" s="25">
        <f>LN(B7)-LN(B6)</f>
        <v>2.1966201126408791E-2</v>
      </c>
      <c r="D7" s="25">
        <f>C2</f>
        <v>0</v>
      </c>
      <c r="E7" s="4">
        <f>C7-(D2*E6)</f>
        <v>2.1966201126408791E-2</v>
      </c>
      <c r="F7" s="4">
        <f>E7^2</f>
        <v>4.8251399192584285E-4</v>
      </c>
      <c r="G7" s="4">
        <f>E7</f>
        <v>2.1966201126408791E-2</v>
      </c>
      <c r="K7" s="27"/>
      <c r="L7" s="28"/>
      <c r="M7" s="22"/>
      <c r="N7" s="22"/>
      <c r="O7" s="22"/>
      <c r="P7" s="22"/>
      <c r="Q7" s="22"/>
      <c r="R7" s="22"/>
      <c r="S7" s="22"/>
      <c r="T7" s="22"/>
      <c r="U7" s="27"/>
    </row>
    <row r="8" spans="1:21" ht="19.5" thickBot="1" x14ac:dyDescent="0.35">
      <c r="A8" s="24">
        <v>42010</v>
      </c>
      <c r="B8" s="4">
        <v>436.25</v>
      </c>
      <c r="C8" s="25">
        <f>LN(B8)-LN(B7)</f>
        <v>-2.2896403820746869E-3</v>
      </c>
      <c r="D8" s="25">
        <f>C2+D2*E7</f>
        <v>6.7776329851793233E-4</v>
      </c>
      <c r="E8" s="4">
        <f>C8-D8</f>
        <v>-2.9674036805926191E-3</v>
      </c>
      <c r="F8" s="4">
        <f t="shared" ref="F8:F71" si="0">E8^2</f>
        <v>8.805484603594623E-6</v>
      </c>
      <c r="G8" s="4">
        <f>E8</f>
        <v>-2.9674036805926191E-3</v>
      </c>
      <c r="H8" s="4">
        <v>2.1966201126408791E-2</v>
      </c>
      <c r="I8" s="4"/>
      <c r="J8" s="4"/>
      <c r="K8" s="27"/>
      <c r="L8" s="22"/>
      <c r="M8" s="22"/>
      <c r="N8" s="22"/>
      <c r="O8" s="22"/>
      <c r="P8" s="22"/>
      <c r="Q8" s="22"/>
      <c r="R8" s="22"/>
      <c r="S8" s="22"/>
      <c r="T8" s="22"/>
      <c r="U8" s="27"/>
    </row>
    <row r="9" spans="1:21" x14ac:dyDescent="0.3">
      <c r="A9" s="24">
        <v>42011</v>
      </c>
      <c r="B9" s="4">
        <v>428.5</v>
      </c>
      <c r="C9" s="25">
        <f>LN(B9)-LN(B8)</f>
        <v>-1.7924735478802134E-2</v>
      </c>
      <c r="D9" s="25">
        <f>C2+D2*E8+E2*E7</f>
        <v>-9.1558722194105347E-5</v>
      </c>
      <c r="E9" s="4">
        <f>C9-D9</f>
        <v>-1.7833176756608029E-2</v>
      </c>
      <c r="F9" s="4">
        <f t="shared" si="0"/>
        <v>3.1802219323242485E-4</v>
      </c>
      <c r="G9" s="4">
        <f t="shared" ref="G9:G72" si="1">E9</f>
        <v>-1.7833176756608029E-2</v>
      </c>
      <c r="H9" s="4">
        <v>-2.9674036805926191E-3</v>
      </c>
      <c r="I9" s="4">
        <v>2.1966201126408791E-2</v>
      </c>
      <c r="J9" s="4"/>
      <c r="K9" s="27"/>
      <c r="L9" s="29" t="s">
        <v>11</v>
      </c>
      <c r="M9" s="29"/>
      <c r="N9" s="22"/>
      <c r="O9" s="22"/>
      <c r="P9" s="22"/>
      <c r="Q9" s="22"/>
      <c r="R9" s="22"/>
      <c r="S9" s="22"/>
      <c r="T9" s="22"/>
      <c r="U9" s="27"/>
    </row>
    <row r="10" spans="1:21" x14ac:dyDescent="0.3">
      <c r="A10" s="24">
        <v>42012</v>
      </c>
      <c r="B10" s="4">
        <v>425.5</v>
      </c>
      <c r="C10" s="25">
        <f t="shared" ref="C10:C73" si="2">LN(B10)-LN(B9)</f>
        <v>-7.0257900244055094E-3</v>
      </c>
      <c r="D10" s="25">
        <f>$C$2+$D$2*E9+$E$2*E8+$F$2*E7</f>
        <v>1.435075886065684E-3</v>
      </c>
      <c r="E10" s="4">
        <f>C10-D10</f>
        <v>-8.4608659104711929E-3</v>
      </c>
      <c r="F10" s="4">
        <f t="shared" si="0"/>
        <v>7.1586251954973529E-5</v>
      </c>
      <c r="G10" s="4">
        <f t="shared" si="1"/>
        <v>-8.4608659104711929E-3</v>
      </c>
      <c r="H10" s="4">
        <v>-1.7833176756608029E-2</v>
      </c>
      <c r="I10" s="4">
        <v>-2.9674036805926191E-3</v>
      </c>
      <c r="J10" s="4">
        <v>2.1966201126408791E-2</v>
      </c>
      <c r="K10" s="27"/>
      <c r="L10" s="30" t="s">
        <v>12</v>
      </c>
      <c r="M10" s="30">
        <v>9.7504236651795181E-2</v>
      </c>
      <c r="N10" s="22"/>
      <c r="O10" s="22"/>
      <c r="P10" s="22"/>
      <c r="Q10" s="22"/>
      <c r="R10" s="22"/>
      <c r="S10" s="22"/>
      <c r="T10" s="22"/>
      <c r="U10" s="27"/>
    </row>
    <row r="11" spans="1:21" x14ac:dyDescent="0.3">
      <c r="A11" s="24">
        <v>42013</v>
      </c>
      <c r="B11" s="4">
        <v>429.75</v>
      </c>
      <c r="C11" s="25">
        <f t="shared" si="2"/>
        <v>9.9386962495291442E-3</v>
      </c>
      <c r="D11" s="25">
        <f>$C$2+$D$2*E10+$E$2*E9+$F$2*E8</f>
        <v>-5.2925385976547424E-4</v>
      </c>
      <c r="E11" s="4">
        <f>C11-D11</f>
        <v>1.0467950109294619E-2</v>
      </c>
      <c r="F11" s="4">
        <f t="shared" si="0"/>
        <v>1.0957797949068122E-4</v>
      </c>
      <c r="G11" s="4">
        <f t="shared" si="1"/>
        <v>1.0467950109294619E-2</v>
      </c>
      <c r="H11" s="4">
        <v>-8.4608659104711929E-3</v>
      </c>
      <c r="I11" s="4">
        <v>-1.7833176756608029E-2</v>
      </c>
      <c r="J11" s="4">
        <v>-2.9674036805926191E-3</v>
      </c>
      <c r="K11" s="27"/>
      <c r="L11" s="30" t="s">
        <v>13</v>
      </c>
      <c r="M11" s="30">
        <v>9.5070761650492795E-3</v>
      </c>
      <c r="N11" s="22"/>
      <c r="O11" s="22"/>
      <c r="P11" s="22"/>
      <c r="Q11" s="22"/>
      <c r="R11" s="22"/>
      <c r="S11" s="22"/>
      <c r="T11" s="22"/>
      <c r="U11" s="27"/>
    </row>
    <row r="12" spans="1:21" x14ac:dyDescent="0.3">
      <c r="A12" s="24">
        <v>42016</v>
      </c>
      <c r="B12" s="4">
        <v>434.25</v>
      </c>
      <c r="C12" s="25">
        <f t="shared" si="2"/>
        <v>1.0416760858255714E-2</v>
      </c>
      <c r="D12" s="25">
        <f>$C$2+$D$2*E11+$E$2*E10+$F$2*E9</f>
        <v>-1.2887840093554839E-3</v>
      </c>
      <c r="E12" s="4">
        <f>C12-D12</f>
        <v>1.1705544867611198E-2</v>
      </c>
      <c r="F12" s="4">
        <f t="shared" si="0"/>
        <v>1.3701978064765887E-4</v>
      </c>
      <c r="G12" s="4">
        <f t="shared" si="1"/>
        <v>1.1705544867611198E-2</v>
      </c>
      <c r="H12" s="4">
        <v>1.0467950109294619E-2</v>
      </c>
      <c r="I12" s="4">
        <v>-8.4608659104711929E-3</v>
      </c>
      <c r="J12" s="4">
        <v>-1.7833176756608029E-2</v>
      </c>
      <c r="K12" s="27"/>
      <c r="L12" s="30" t="s">
        <v>14</v>
      </c>
      <c r="M12" s="30">
        <v>-5.2032147829945436E-3</v>
      </c>
      <c r="N12" s="22"/>
      <c r="O12" s="22"/>
      <c r="P12" s="22"/>
      <c r="Q12" s="22"/>
      <c r="R12" s="22"/>
      <c r="S12" s="22"/>
      <c r="T12" s="22"/>
      <c r="U12" s="27"/>
    </row>
    <row r="13" spans="1:21" x14ac:dyDescent="0.3">
      <c r="A13" s="24">
        <v>42017</v>
      </c>
      <c r="B13" s="4">
        <v>420</v>
      </c>
      <c r="C13" s="25">
        <f t="shared" si="2"/>
        <v>-3.3365693843800059E-2</v>
      </c>
      <c r="D13" s="25">
        <f>$C$2+$D$2*E12+$E$2*E11+$F$2*E10</f>
        <v>-4.0352444072542349E-4</v>
      </c>
      <c r="E13" s="4">
        <f>C13-D13</f>
        <v>-3.2962169403074636E-2</v>
      </c>
      <c r="F13" s="4">
        <f t="shared" si="0"/>
        <v>1.0865046117569898E-3</v>
      </c>
      <c r="G13" s="4">
        <f t="shared" si="1"/>
        <v>-3.2962169403074636E-2</v>
      </c>
      <c r="H13" s="4">
        <v>1.1705544867611198E-2</v>
      </c>
      <c r="I13" s="4">
        <v>1.0467950109294619E-2</v>
      </c>
      <c r="J13" s="4">
        <v>-8.4608659104711929E-3</v>
      </c>
      <c r="K13" s="27"/>
      <c r="L13" s="30" t="s">
        <v>15</v>
      </c>
      <c r="M13" s="30">
        <v>1.3807393935838994E-2</v>
      </c>
      <c r="N13" s="22"/>
      <c r="O13" s="22"/>
      <c r="P13" s="22"/>
      <c r="Q13" s="22"/>
      <c r="R13" s="22"/>
      <c r="S13" s="22"/>
      <c r="T13" s="22"/>
      <c r="U13" s="27"/>
    </row>
    <row r="14" spans="1:21" ht="19.5" thickBot="1" x14ac:dyDescent="0.35">
      <c r="A14" s="24">
        <v>42018</v>
      </c>
      <c r="B14" s="4">
        <v>417</v>
      </c>
      <c r="C14" s="25">
        <f t="shared" si="2"/>
        <v>-7.1684894786123721E-3</v>
      </c>
      <c r="D14" s="25">
        <f>$C$2+$D$2*E13+$E$2*E12+$F$2*E11</f>
        <v>-7.0943795814240964E-5</v>
      </c>
      <c r="E14" s="4">
        <f t="shared" ref="E14:E19" si="3">C14-D14</f>
        <v>-7.0975456827981308E-3</v>
      </c>
      <c r="F14" s="4">
        <f t="shared" si="0"/>
        <v>5.0375154719406386E-5</v>
      </c>
      <c r="G14" s="4">
        <f t="shared" si="1"/>
        <v>-7.0975456827981308E-3</v>
      </c>
      <c r="H14" s="4">
        <v>-3.2962169403074636E-2</v>
      </c>
      <c r="I14" s="4">
        <v>1.1705544867611198E-2</v>
      </c>
      <c r="J14" s="4">
        <v>1.0467950109294619E-2</v>
      </c>
      <c r="K14" s="27"/>
      <c r="L14" s="31" t="s">
        <v>16</v>
      </c>
      <c r="M14" s="31">
        <v>206</v>
      </c>
      <c r="N14" s="22"/>
      <c r="O14" s="22"/>
      <c r="P14" s="22"/>
      <c r="Q14" s="22"/>
      <c r="R14" s="22"/>
      <c r="S14" s="22"/>
      <c r="T14" s="22"/>
      <c r="U14" s="27"/>
    </row>
    <row r="15" spans="1:21" x14ac:dyDescent="0.3">
      <c r="A15" s="24">
        <v>42019</v>
      </c>
      <c r="B15" s="4">
        <v>415.75</v>
      </c>
      <c r="C15" s="25">
        <f t="shared" si="2"/>
        <v>-3.0021037257643712E-3</v>
      </c>
      <c r="D15" s="25">
        <f>$C$2+$D$2*E14+$E$2*E13+$F$2*E12</f>
        <v>8.389590387391136E-4</v>
      </c>
      <c r="E15" s="4">
        <f t="shared" si="3"/>
        <v>-3.8410627645034849E-3</v>
      </c>
      <c r="F15" s="4">
        <f t="shared" si="0"/>
        <v>1.4753763160855155E-5</v>
      </c>
      <c r="G15" s="4">
        <f t="shared" si="1"/>
        <v>-3.8410627645034849E-3</v>
      </c>
      <c r="H15" s="4">
        <v>-7.0975456827981308E-3</v>
      </c>
      <c r="I15" s="4">
        <v>-3.2962169403074636E-2</v>
      </c>
      <c r="J15" s="4">
        <v>1.1705544867611198E-2</v>
      </c>
      <c r="K15" s="27"/>
      <c r="L15" s="22"/>
      <c r="M15" s="22"/>
      <c r="N15" s="22"/>
      <c r="O15" s="22"/>
      <c r="P15" s="22"/>
      <c r="Q15" s="22"/>
      <c r="R15" s="22"/>
      <c r="S15" s="22"/>
      <c r="T15" s="22"/>
      <c r="U15" s="27"/>
    </row>
    <row r="16" spans="1:21" ht="19.5" thickBot="1" x14ac:dyDescent="0.35">
      <c r="A16" s="24">
        <v>42020</v>
      </c>
      <c r="B16" s="4">
        <v>423</v>
      </c>
      <c r="C16" s="25">
        <f t="shared" si="2"/>
        <v>1.7288060973240427E-2</v>
      </c>
      <c r="D16" s="25">
        <f>$C$2+$D$2*E15+$E$2*E14+$F$2*E13</f>
        <v>-3.0976514699836812E-3</v>
      </c>
      <c r="E16" s="4">
        <f t="shared" si="3"/>
        <v>2.0385712443224107E-2</v>
      </c>
      <c r="F16" s="4">
        <f t="shared" si="0"/>
        <v>4.1557727181782219E-4</v>
      </c>
      <c r="G16" s="4">
        <f t="shared" si="1"/>
        <v>2.0385712443224107E-2</v>
      </c>
      <c r="H16" s="4">
        <v>-3.8410627645034849E-3</v>
      </c>
      <c r="I16" s="4">
        <v>-7.0975456827981308E-3</v>
      </c>
      <c r="J16" s="4">
        <v>-3.2962169403074636E-2</v>
      </c>
      <c r="K16" s="27"/>
      <c r="L16" s="22" t="s">
        <v>17</v>
      </c>
      <c r="M16" s="22"/>
      <c r="N16" s="22"/>
      <c r="O16" s="22"/>
      <c r="P16" s="22"/>
      <c r="Q16" s="22"/>
      <c r="R16" s="22"/>
      <c r="S16" s="22"/>
      <c r="T16" s="22"/>
      <c r="U16" s="27"/>
    </row>
    <row r="17" spans="1:21" x14ac:dyDescent="0.3">
      <c r="A17" s="24">
        <v>42024</v>
      </c>
      <c r="B17" s="4">
        <v>425</v>
      </c>
      <c r="C17" s="25">
        <f t="shared" si="2"/>
        <v>4.7169898781396213E-3</v>
      </c>
      <c r="D17" s="25">
        <f>$C$2+$D$2*E16+$E$2*E15+$F$2*E14</f>
        <v>-1.2481872395869145E-5</v>
      </c>
      <c r="E17" s="4">
        <f t="shared" si="3"/>
        <v>4.7294717505354904E-3</v>
      </c>
      <c r="F17" s="4">
        <f t="shared" si="0"/>
        <v>2.2367903039113235E-5</v>
      </c>
      <c r="G17" s="4">
        <f t="shared" si="1"/>
        <v>4.7294717505354904E-3</v>
      </c>
      <c r="H17" s="4">
        <v>2.0385712443224107E-2</v>
      </c>
      <c r="I17" s="4">
        <v>-3.8410627645034849E-3</v>
      </c>
      <c r="J17" s="4">
        <v>-7.0975456827981308E-3</v>
      </c>
      <c r="K17" s="27"/>
      <c r="L17" s="32"/>
      <c r="M17" s="32" t="s">
        <v>22</v>
      </c>
      <c r="N17" s="32" t="s">
        <v>23</v>
      </c>
      <c r="O17" s="32" t="s">
        <v>24</v>
      </c>
      <c r="P17" s="32" t="s">
        <v>25</v>
      </c>
      <c r="Q17" s="32" t="s">
        <v>26</v>
      </c>
      <c r="R17" s="22"/>
      <c r="S17" s="22"/>
      <c r="T17" s="22"/>
      <c r="U17" s="27"/>
    </row>
    <row r="18" spans="1:21" x14ac:dyDescent="0.3">
      <c r="A18" s="24">
        <v>42025</v>
      </c>
      <c r="B18" s="4">
        <v>423.75</v>
      </c>
      <c r="C18" s="25">
        <f t="shared" si="2"/>
        <v>-2.9455102297575309E-3</v>
      </c>
      <c r="D18" s="25">
        <f>$C$2+$D$2*E17+$E$2*E16+$F$2*E15</f>
        <v>-2.0123000839716466E-4</v>
      </c>
      <c r="E18" s="4">
        <f t="shared" si="3"/>
        <v>-2.7442802213603662E-3</v>
      </c>
      <c r="F18" s="4">
        <f t="shared" si="0"/>
        <v>7.5310739333497009E-6</v>
      </c>
      <c r="G18" s="4">
        <f t="shared" si="1"/>
        <v>-2.7442802213603662E-3</v>
      </c>
      <c r="H18" s="4">
        <v>4.7294717505354904E-3</v>
      </c>
      <c r="I18" s="4">
        <v>2.0385712443224107E-2</v>
      </c>
      <c r="J18" s="4">
        <v>-3.8410627645034849E-3</v>
      </c>
      <c r="K18" s="27"/>
      <c r="L18" s="30" t="s">
        <v>18</v>
      </c>
      <c r="M18" s="30">
        <v>3</v>
      </c>
      <c r="N18" s="30">
        <v>3.6963271054054475E-4</v>
      </c>
      <c r="O18" s="30">
        <v>1.2321090351351491E-4</v>
      </c>
      <c r="P18" s="30">
        <v>0.64628743228994612</v>
      </c>
      <c r="Q18" s="30">
        <v>0.58613763351053194</v>
      </c>
      <c r="R18" s="22"/>
      <c r="S18" s="22"/>
      <c r="T18" s="22"/>
      <c r="U18" s="27"/>
    </row>
    <row r="19" spans="1:21" x14ac:dyDescent="0.3">
      <c r="A19" s="24">
        <v>42026</v>
      </c>
      <c r="B19" s="4">
        <v>422</v>
      </c>
      <c r="C19" s="25">
        <f t="shared" si="2"/>
        <v>-4.1383446586475969E-3</v>
      </c>
      <c r="D19" s="25">
        <f>$C$2+$D$2*E18+$E$2*E17+$F$2*E16</f>
        <v>1.7577958530286134E-3</v>
      </c>
      <c r="E19" s="4">
        <f t="shared" si="3"/>
        <v>-5.8961405116762103E-3</v>
      </c>
      <c r="F19" s="4">
        <f t="shared" si="0"/>
        <v>3.4764472933429406E-5</v>
      </c>
      <c r="G19" s="4">
        <f t="shared" si="1"/>
        <v>-5.8961405116762103E-3</v>
      </c>
      <c r="H19" s="4">
        <v>-2.7442802213603662E-3</v>
      </c>
      <c r="I19" s="4">
        <v>4.7294717505354904E-3</v>
      </c>
      <c r="J19" s="4">
        <v>2.0385712443224107E-2</v>
      </c>
      <c r="K19" s="27"/>
      <c r="L19" s="30" t="s">
        <v>19</v>
      </c>
      <c r="M19" s="30">
        <v>202</v>
      </c>
      <c r="N19" s="30">
        <v>3.8510113714487572E-2</v>
      </c>
      <c r="O19" s="30">
        <v>1.9064412729944343E-4</v>
      </c>
      <c r="P19" s="30"/>
      <c r="Q19" s="30"/>
      <c r="R19" s="22"/>
      <c r="S19" s="22"/>
      <c r="T19" s="22"/>
      <c r="U19" s="27"/>
    </row>
    <row r="20" spans="1:21" ht="19.5" thickBot="1" x14ac:dyDescent="0.35">
      <c r="A20" s="24">
        <v>42027</v>
      </c>
      <c r="B20" s="4">
        <v>425.75</v>
      </c>
      <c r="C20" s="25">
        <f t="shared" si="2"/>
        <v>8.8470055067855213E-3</v>
      </c>
      <c r="D20" s="25">
        <f>$C$2+$D$2*E19+$E$2*E18+$F$2*E17</f>
        <v>2.4552746353107122E-4</v>
      </c>
      <c r="E20" s="4">
        <f>C20-D20</f>
        <v>8.6014780432544496E-3</v>
      </c>
      <c r="F20" s="4">
        <f t="shared" si="0"/>
        <v>7.3985424528588394E-5</v>
      </c>
      <c r="G20" s="4">
        <f t="shared" si="1"/>
        <v>8.6014780432544496E-3</v>
      </c>
      <c r="H20" s="4">
        <v>-5.8961405116762103E-3</v>
      </c>
      <c r="I20" s="4">
        <v>-2.7442802213603662E-3</v>
      </c>
      <c r="J20" s="4">
        <v>4.7294717505354904E-3</v>
      </c>
      <c r="K20" s="27"/>
      <c r="L20" s="31" t="s">
        <v>20</v>
      </c>
      <c r="M20" s="31">
        <v>205</v>
      </c>
      <c r="N20" s="31">
        <v>3.8879746425028117E-2</v>
      </c>
      <c r="O20" s="31"/>
      <c r="P20" s="31"/>
      <c r="Q20" s="31"/>
      <c r="R20" s="22"/>
      <c r="S20" s="22"/>
      <c r="T20" s="22"/>
      <c r="U20" s="27"/>
    </row>
    <row r="21" spans="1:21" ht="19.5" thickBot="1" x14ac:dyDescent="0.35">
      <c r="A21" s="24">
        <v>42030</v>
      </c>
      <c r="B21" s="4">
        <v>422.75</v>
      </c>
      <c r="C21" s="25">
        <f t="shared" si="2"/>
        <v>-7.071331764107569E-3</v>
      </c>
      <c r="D21" s="25">
        <f>$C$2+$D$2*E20+$E$2*E19+$F$2*E18</f>
        <v>1.7367784003852736E-5</v>
      </c>
      <c r="E21" s="4">
        <f t="shared" ref="E21:E84" si="4">C21-D21</f>
        <v>-7.0886995481114221E-3</v>
      </c>
      <c r="F21" s="4">
        <f t="shared" si="0"/>
        <v>5.024966128339508E-5</v>
      </c>
      <c r="G21" s="4">
        <f t="shared" si="1"/>
        <v>-7.0886995481114221E-3</v>
      </c>
      <c r="H21" s="4">
        <v>8.6014780432544496E-3</v>
      </c>
      <c r="I21" s="4">
        <v>-5.8961405116762103E-3</v>
      </c>
      <c r="J21" s="4">
        <v>-2.7442802213603662E-3</v>
      </c>
      <c r="K21" s="27"/>
      <c r="L21" s="22"/>
      <c r="M21" s="22"/>
      <c r="N21" s="22"/>
      <c r="O21" s="22"/>
      <c r="P21" s="22"/>
      <c r="Q21" s="22"/>
      <c r="R21" s="22"/>
      <c r="S21" s="22"/>
      <c r="T21" s="22"/>
      <c r="U21" s="27"/>
    </row>
    <row r="22" spans="1:21" x14ac:dyDescent="0.3">
      <c r="A22" s="24">
        <v>42031</v>
      </c>
      <c r="B22" s="4">
        <v>419.75</v>
      </c>
      <c r="C22" s="25">
        <f t="shared" si="2"/>
        <v>-7.1216918210401658E-3</v>
      </c>
      <c r="D22" s="25">
        <f>$C$2+$D$2*E21+$E$2*E20+$F$2*E19</f>
        <v>-7.516164986864284E-4</v>
      </c>
      <c r="E22" s="4">
        <f t="shared" si="4"/>
        <v>-6.3700753223537377E-3</v>
      </c>
      <c r="F22" s="4">
        <f t="shared" si="0"/>
        <v>4.0577859612460072E-5</v>
      </c>
      <c r="G22" s="4">
        <f t="shared" si="1"/>
        <v>-6.3700753223537377E-3</v>
      </c>
      <c r="H22" s="4">
        <v>-7.0886995481114221E-3</v>
      </c>
      <c r="I22" s="4">
        <v>8.6014780432544496E-3</v>
      </c>
      <c r="J22" s="4">
        <v>-5.8961405116762103E-3</v>
      </c>
      <c r="K22" s="27"/>
      <c r="L22" s="32"/>
      <c r="M22" s="32" t="s">
        <v>27</v>
      </c>
      <c r="N22" s="32" t="s">
        <v>15</v>
      </c>
      <c r="O22" s="32" t="s">
        <v>28</v>
      </c>
      <c r="P22" s="32" t="s">
        <v>29</v>
      </c>
      <c r="Q22" s="32" t="s">
        <v>30</v>
      </c>
      <c r="R22" s="32" t="s">
        <v>31</v>
      </c>
      <c r="S22" s="32" t="s">
        <v>32</v>
      </c>
      <c r="T22" s="32" t="s">
        <v>33</v>
      </c>
      <c r="U22" s="27"/>
    </row>
    <row r="23" spans="1:21" x14ac:dyDescent="0.3">
      <c r="A23" s="24">
        <v>42032</v>
      </c>
      <c r="B23" s="4">
        <v>412.75</v>
      </c>
      <c r="C23" s="25">
        <f t="shared" si="2"/>
        <v>-1.6817213157412247E-2</v>
      </c>
      <c r="D23" s="25">
        <f>$C$2+$D$2*E22+$E$2*E21+$F$2*E20</f>
        <v>5.8085801123836968E-4</v>
      </c>
      <c r="E23" s="4">
        <f t="shared" si="4"/>
        <v>-1.7398071168650615E-2</v>
      </c>
      <c r="F23" s="4">
        <f t="shared" si="0"/>
        <v>3.0269288038943179E-4</v>
      </c>
      <c r="G23" s="4">
        <f t="shared" si="1"/>
        <v>-1.7398071168650615E-2</v>
      </c>
      <c r="H23" s="4">
        <v>-6.3700753223537377E-3</v>
      </c>
      <c r="I23" s="4">
        <v>-7.0886995481114221E-3</v>
      </c>
      <c r="J23" s="4">
        <v>8.6014780432544496E-3</v>
      </c>
      <c r="K23" s="27"/>
      <c r="L23" s="30" t="s">
        <v>21</v>
      </c>
      <c r="M23" s="30">
        <v>-4.0674367057444433E-4</v>
      </c>
      <c r="N23" s="30">
        <v>9.6388039661652832E-4</v>
      </c>
      <c r="O23" s="30">
        <v>-0.4219856239448595</v>
      </c>
      <c r="P23" s="30">
        <v>0.67348427404215183</v>
      </c>
      <c r="Q23" s="30">
        <v>-2.3073012381496514E-3</v>
      </c>
      <c r="R23" s="30">
        <v>1.4938138970007628E-3</v>
      </c>
      <c r="S23" s="30">
        <v>-2.3073012381496514E-3</v>
      </c>
      <c r="T23" s="30">
        <v>1.4938138970007628E-3</v>
      </c>
      <c r="U23" s="27"/>
    </row>
    <row r="24" spans="1:21" x14ac:dyDescent="0.3">
      <c r="A24" s="24">
        <v>42033</v>
      </c>
      <c r="B24" s="4">
        <v>411.75</v>
      </c>
      <c r="C24" s="25">
        <f t="shared" si="2"/>
        <v>-2.4257137424879005E-3</v>
      </c>
      <c r="D24" s="25">
        <f>$C$2+$D$2*E23+$E$2*E22+$F$2*E21</f>
        <v>-1.1774943976035502E-3</v>
      </c>
      <c r="E24" s="4">
        <f t="shared" si="4"/>
        <v>-1.2482193448843503E-3</v>
      </c>
      <c r="F24" s="4">
        <f t="shared" si="0"/>
        <v>1.5580515329435167E-6</v>
      </c>
      <c r="G24" s="4">
        <f t="shared" si="1"/>
        <v>-1.2482193448843503E-3</v>
      </c>
      <c r="H24" s="4">
        <v>-1.7398071168650615E-2</v>
      </c>
      <c r="I24" s="4">
        <v>-6.3700753223537377E-3</v>
      </c>
      <c r="J24" s="4">
        <v>-7.0886995481114221E-3</v>
      </c>
      <c r="K24" s="27"/>
      <c r="L24" s="30" t="s">
        <v>34</v>
      </c>
      <c r="M24" s="30">
        <v>3.125585788154378E-2</v>
      </c>
      <c r="N24" s="30">
        <v>7.0135034937960278E-2</v>
      </c>
      <c r="O24" s="30">
        <v>0.4456525602246002</v>
      </c>
      <c r="P24" s="30">
        <v>0.65632549857690736</v>
      </c>
      <c r="Q24" s="30">
        <v>-0.10703481788216562</v>
      </c>
      <c r="R24" s="30">
        <v>0.16954653364525318</v>
      </c>
      <c r="S24" s="30">
        <v>-0.10703481788216562</v>
      </c>
      <c r="T24" s="30">
        <v>0.16954653364525318</v>
      </c>
      <c r="U24" s="27"/>
    </row>
    <row r="25" spans="1:21" x14ac:dyDescent="0.3">
      <c r="A25" s="24">
        <v>42034</v>
      </c>
      <c r="B25" s="4">
        <v>409</v>
      </c>
      <c r="C25" s="25">
        <f t="shared" si="2"/>
        <v>-6.7012130149475269E-3</v>
      </c>
      <c r="D25" s="25">
        <f>$C$2+$D$2*E24+$E$2*E23+$F$2*E22</f>
        <v>-6.1424395014788951E-4</v>
      </c>
      <c r="E25" s="4">
        <f t="shared" si="4"/>
        <v>-6.0869690647996372E-3</v>
      </c>
      <c r="F25" s="4">
        <f t="shared" si="0"/>
        <v>3.7051192395827773E-5</v>
      </c>
      <c r="G25" s="4">
        <f t="shared" si="1"/>
        <v>-6.0869690647996372E-3</v>
      </c>
      <c r="H25" s="4">
        <v>-1.2482193448843503E-3</v>
      </c>
      <c r="I25" s="4">
        <v>-1.7398071168650615E-2</v>
      </c>
      <c r="J25" s="4">
        <v>-6.3700753223537377E-3</v>
      </c>
      <c r="K25" s="27"/>
      <c r="L25" s="30" t="s">
        <v>35</v>
      </c>
      <c r="M25" s="30">
        <v>-3.409842020055804E-2</v>
      </c>
      <c r="N25" s="30">
        <v>7.0146700857639938E-2</v>
      </c>
      <c r="O25" s="30">
        <v>-0.48610155265547678</v>
      </c>
      <c r="P25" s="30">
        <v>0.62742207687035456</v>
      </c>
      <c r="Q25" s="30">
        <v>-0.17241209856086318</v>
      </c>
      <c r="R25" s="30">
        <v>0.10421525815974711</v>
      </c>
      <c r="S25" s="30">
        <v>-0.17241209856086318</v>
      </c>
      <c r="T25" s="30">
        <v>0.10421525815974711</v>
      </c>
      <c r="U25" s="27"/>
    </row>
    <row r="26" spans="1:21" ht="19.5" thickBot="1" x14ac:dyDescent="0.35">
      <c r="A26" s="24">
        <v>42037</v>
      </c>
      <c r="B26" s="4">
        <v>409</v>
      </c>
      <c r="C26" s="25">
        <f t="shared" si="2"/>
        <v>0</v>
      </c>
      <c r="D26" s="25">
        <f>$C$2+$D$2*E25+$E$2*E24+$F$2*E23</f>
        <v>-1.7602581038011315E-3</v>
      </c>
      <c r="E26" s="4">
        <f t="shared" si="4"/>
        <v>1.7602581038011315E-3</v>
      </c>
      <c r="F26" s="4">
        <f t="shared" si="0"/>
        <v>3.0985085919975554E-6</v>
      </c>
      <c r="G26" s="4">
        <f t="shared" si="1"/>
        <v>1.7602581038011315E-3</v>
      </c>
      <c r="H26" s="4">
        <v>-6.0869690647996372E-3</v>
      </c>
      <c r="I26" s="4">
        <v>-1.2482193448843503E-3</v>
      </c>
      <c r="J26" s="4">
        <v>-1.7398071168650615E-2</v>
      </c>
      <c r="K26" s="27"/>
      <c r="L26" s="31" t="s">
        <v>52</v>
      </c>
      <c r="M26" s="31">
        <v>8.6926459902543968E-2</v>
      </c>
      <c r="N26" s="31">
        <v>6.9830582583362874E-2</v>
      </c>
      <c r="O26" s="31">
        <v>1.2448193425677387</v>
      </c>
      <c r="P26" s="31">
        <v>0.21464041313529211</v>
      </c>
      <c r="Q26" s="31">
        <v>-5.0763903593660759E-2</v>
      </c>
      <c r="R26" s="31">
        <v>0.22461682339874869</v>
      </c>
      <c r="S26" s="31">
        <v>-5.0763903593660759E-2</v>
      </c>
      <c r="T26" s="31">
        <v>0.22461682339874869</v>
      </c>
      <c r="U26" s="27"/>
    </row>
    <row r="27" spans="1:21" x14ac:dyDescent="0.3">
      <c r="A27" s="24">
        <v>42038</v>
      </c>
      <c r="B27" s="4">
        <v>424</v>
      </c>
      <c r="C27" s="25">
        <f t="shared" si="2"/>
        <v>3.6018299189155556E-2</v>
      </c>
      <c r="D27" s="25">
        <f>$C$2+$D$2*E26+$E$2*E25+$F$2*E24</f>
        <v>-5.850218667265926E-5</v>
      </c>
      <c r="E27" s="4">
        <f t="shared" si="4"/>
        <v>3.6076801375828214E-2</v>
      </c>
      <c r="F27" s="4">
        <f t="shared" si="0"/>
        <v>1.3015355975109606E-3</v>
      </c>
      <c r="G27" s="4">
        <f t="shared" si="1"/>
        <v>3.6076801375828214E-2</v>
      </c>
      <c r="H27" s="4">
        <v>1.7602581038011315E-3</v>
      </c>
      <c r="I27" s="4">
        <v>-6.0869690647996372E-3</v>
      </c>
      <c r="J27" s="4">
        <v>-1.2482193448843503E-3</v>
      </c>
      <c r="K27" s="27"/>
      <c r="L27" s="22"/>
      <c r="M27" s="22"/>
      <c r="N27" s="22"/>
      <c r="O27" s="22"/>
      <c r="P27" s="22"/>
      <c r="Q27" s="22"/>
      <c r="R27" s="22"/>
      <c r="S27" s="22"/>
      <c r="T27" s="22"/>
      <c r="U27" s="27"/>
    </row>
    <row r="28" spans="1:21" x14ac:dyDescent="0.3">
      <c r="A28" s="24">
        <v>42039</v>
      </c>
      <c r="B28" s="4">
        <v>422</v>
      </c>
      <c r="C28" s="25">
        <f t="shared" si="2"/>
        <v>-4.7281411959456676E-3</v>
      </c>
      <c r="D28" s="25">
        <f>$C$2+$D$2*E27+$E$2*E26+$F$2*E25</f>
        <v>5.630003187308461E-4</v>
      </c>
      <c r="E28" s="4">
        <f t="shared" si="4"/>
        <v>-5.2911415146765142E-3</v>
      </c>
      <c r="F28" s="4">
        <f t="shared" si="0"/>
        <v>2.7996178528333275E-5</v>
      </c>
      <c r="G28" s="4">
        <f t="shared" si="1"/>
        <v>-5.2911415146765142E-3</v>
      </c>
      <c r="H28" s="4">
        <v>3.6076801375828214E-2</v>
      </c>
      <c r="I28" s="4">
        <v>1.7602581038011315E-3</v>
      </c>
      <c r="J28" s="4">
        <v>-6.0869690647996372E-3</v>
      </c>
      <c r="K28" s="27"/>
      <c r="L28" s="22"/>
      <c r="M28" s="22"/>
      <c r="N28" s="22"/>
      <c r="O28" s="22"/>
      <c r="P28" s="22"/>
      <c r="Q28" s="22"/>
      <c r="R28" s="22"/>
      <c r="S28" s="22"/>
      <c r="T28" s="22"/>
      <c r="U28" s="27"/>
    </row>
    <row r="29" spans="1:21" x14ac:dyDescent="0.3">
      <c r="A29" s="24">
        <v>42040</v>
      </c>
      <c r="B29" s="4">
        <v>424</v>
      </c>
      <c r="C29" s="25">
        <f t="shared" si="2"/>
        <v>4.7281411959456676E-3</v>
      </c>
      <c r="D29" s="25">
        <f>$C$2+$D$2*E28+$E$2*E27+$F$2*E26</f>
        <v>-4.1643037933885804E-6</v>
      </c>
      <c r="E29" s="4">
        <f t="shared" si="4"/>
        <v>4.7323054997390566E-3</v>
      </c>
      <c r="F29" s="4">
        <f t="shared" si="0"/>
        <v>2.2394715342860521E-5</v>
      </c>
      <c r="G29" s="4">
        <f t="shared" si="1"/>
        <v>4.7323054997390566E-3</v>
      </c>
      <c r="H29" s="4">
        <v>-5.2911415146765142E-3</v>
      </c>
      <c r="I29" s="4">
        <v>3.6076801375828214E-2</v>
      </c>
      <c r="J29" s="4">
        <v>1.7602581038011315E-3</v>
      </c>
      <c r="L29"/>
      <c r="M29"/>
      <c r="N29"/>
      <c r="O29"/>
      <c r="P29"/>
      <c r="Q29"/>
      <c r="R29"/>
      <c r="S29"/>
      <c r="T29"/>
    </row>
    <row r="30" spans="1:21" x14ac:dyDescent="0.3">
      <c r="A30" s="24">
        <v>42041</v>
      </c>
      <c r="B30" s="4">
        <v>424.5</v>
      </c>
      <c r="C30" s="25">
        <f t="shared" si="2"/>
        <v>1.1785505194445989E-3</v>
      </c>
      <c r="D30" s="25">
        <f>$C$2+$D$2*E29+$E$2*E28+$F$2*E27</f>
        <v>3.4066524902907538E-3</v>
      </c>
      <c r="E30" s="4">
        <f t="shared" si="4"/>
        <v>-2.2281019708461549E-3</v>
      </c>
      <c r="F30" s="4">
        <f t="shared" si="0"/>
        <v>4.9644383924885201E-6</v>
      </c>
      <c r="G30" s="4">
        <f t="shared" si="1"/>
        <v>-2.2281019708461549E-3</v>
      </c>
      <c r="H30" s="4">
        <v>4.7323054997390566E-3</v>
      </c>
      <c r="I30" s="4">
        <v>-5.2911415146765142E-3</v>
      </c>
      <c r="J30" s="4">
        <v>3.6076801375828214E-2</v>
      </c>
    </row>
    <row r="31" spans="1:21" x14ac:dyDescent="0.3">
      <c r="A31" s="24">
        <v>42044</v>
      </c>
      <c r="B31" s="4">
        <v>429.25</v>
      </c>
      <c r="C31" s="25">
        <f t="shared" si="2"/>
        <v>1.1127494026182738E-2</v>
      </c>
      <c r="D31" s="25">
        <f>$C$2+$D$2*E30+$E$2*E29+$F$2*E28</f>
        <v>-5.4696351974945054E-4</v>
      </c>
      <c r="E31" s="4">
        <f t="shared" si="4"/>
        <v>1.1674457545932189E-2</v>
      </c>
      <c r="F31" s="4">
        <f t="shared" si="0"/>
        <v>1.3629295899177303E-4</v>
      </c>
      <c r="G31" s="4">
        <f t="shared" si="1"/>
        <v>1.1674457545932189E-2</v>
      </c>
      <c r="H31" s="4">
        <v>-2.2281019708461549E-3</v>
      </c>
      <c r="I31" s="4">
        <v>4.7323054997390566E-3</v>
      </c>
      <c r="J31" s="4">
        <v>-5.2911415146765142E-3</v>
      </c>
    </row>
    <row r="32" spans="1:21" x14ac:dyDescent="0.3">
      <c r="A32" s="24">
        <v>42045</v>
      </c>
      <c r="B32" s="4">
        <v>426.75</v>
      </c>
      <c r="C32" s="25">
        <f t="shared" si="2"/>
        <v>-5.8411381030349929E-3</v>
      </c>
      <c r="D32" s="25">
        <f>$C$2+$D$2*E31+$E$2*E30+$F$2*E29</f>
        <v>7.8792131278793706E-4</v>
      </c>
      <c r="E32" s="4">
        <f t="shared" si="4"/>
        <v>-6.6290594158229296E-3</v>
      </c>
      <c r="F32" s="4">
        <f t="shared" si="0"/>
        <v>4.3944428738510641E-5</v>
      </c>
      <c r="G32" s="4">
        <f t="shared" si="1"/>
        <v>-6.6290594158229296E-3</v>
      </c>
      <c r="H32" s="4">
        <v>1.1674457545932189E-2</v>
      </c>
      <c r="I32" s="4">
        <v>-2.2281019708461549E-3</v>
      </c>
      <c r="J32" s="4">
        <v>4.7323054997390566E-3</v>
      </c>
    </row>
    <row r="33" spans="1:10" x14ac:dyDescent="0.3">
      <c r="A33" s="24">
        <v>42046</v>
      </c>
      <c r="B33" s="4">
        <v>423.25</v>
      </c>
      <c r="C33" s="25">
        <f t="shared" si="2"/>
        <v>-8.2353406613053792E-3</v>
      </c>
      <c r="D33" s="25">
        <f>$C$2+$D$2*E32+$E$2*E31+$F$2*E30</f>
        <v>-4.0591535915795692E-4</v>
      </c>
      <c r="E33" s="4">
        <f t="shared" si="4"/>
        <v>-7.8294253021474226E-3</v>
      </c>
      <c r="F33" s="4">
        <f t="shared" si="0"/>
        <v>6.1299900561906254E-5</v>
      </c>
      <c r="G33" s="4">
        <f t="shared" si="1"/>
        <v>-7.8294253021474226E-3</v>
      </c>
      <c r="H33" s="4">
        <v>-6.6290594158229296E-3</v>
      </c>
      <c r="I33" s="4">
        <v>1.1674457545932189E-2</v>
      </c>
      <c r="J33" s="4">
        <v>-2.2281019708461549E-3</v>
      </c>
    </row>
    <row r="34" spans="1:10" x14ac:dyDescent="0.3">
      <c r="A34" s="24">
        <v>42047</v>
      </c>
      <c r="B34" s="4">
        <v>421.5</v>
      </c>
      <c r="C34" s="25">
        <f t="shared" si="2"/>
        <v>-4.1432435713346649E-3</v>
      </c>
      <c r="D34" s="25">
        <f>$C$2+$D$2*E33+$E$2*E32+$F$2*E31</f>
        <v>8.135673343918294E-4</v>
      </c>
      <c r="E34" s="4">
        <f t="shared" si="4"/>
        <v>-4.9568109057264945E-3</v>
      </c>
      <c r="F34" s="4">
        <f t="shared" si="0"/>
        <v>2.4569974355129109E-5</v>
      </c>
      <c r="G34" s="4">
        <f t="shared" si="1"/>
        <v>-4.9568109057264945E-3</v>
      </c>
      <c r="H34" s="4">
        <v>-7.8294253021474226E-3</v>
      </c>
      <c r="I34" s="4">
        <v>-6.6290594158229296E-3</v>
      </c>
      <c r="J34" s="4">
        <v>1.1674457545932189E-2</v>
      </c>
    </row>
    <row r="35" spans="1:10" x14ac:dyDescent="0.3">
      <c r="A35" s="24">
        <v>42048</v>
      </c>
      <c r="B35" s="4">
        <v>426</v>
      </c>
      <c r="C35" s="25">
        <f t="shared" si="2"/>
        <v>1.0619568827460846E-2</v>
      </c>
      <c r="D35" s="25">
        <f>$C$2+$D$2*E34+$E$2*E33+$F$2*E32</f>
        <v>-7.5207899732310343E-4</v>
      </c>
      <c r="E35" s="4">
        <f t="shared" si="4"/>
        <v>1.137164782478395E-2</v>
      </c>
      <c r="F35" s="4">
        <f t="shared" si="0"/>
        <v>1.2931437425091355E-4</v>
      </c>
      <c r="G35" s="4">
        <f t="shared" si="1"/>
        <v>1.137164782478395E-2</v>
      </c>
      <c r="H35" s="4">
        <v>-4.9568109057264945E-3</v>
      </c>
      <c r="I35" s="4">
        <v>-7.8294253021474226E-3</v>
      </c>
      <c r="J35" s="4">
        <v>-6.6290594158229296E-3</v>
      </c>
    </row>
    <row r="36" spans="1:10" x14ac:dyDescent="0.3">
      <c r="A36" s="24">
        <v>42052</v>
      </c>
      <c r="B36" s="4">
        <v>429.5</v>
      </c>
      <c r="C36" s="25">
        <f t="shared" si="2"/>
        <v>8.1823951549395701E-3</v>
      </c>
      <c r="D36" s="25">
        <f>$C$2+$D$2*E35+$E$2*E34+$F$2*E33</f>
        <v>-3.5675688078641875E-4</v>
      </c>
      <c r="E36" s="4">
        <f t="shared" si="4"/>
        <v>8.5391520357259894E-3</v>
      </c>
      <c r="F36" s="4">
        <f t="shared" si="0"/>
        <v>7.2917117489243303E-5</v>
      </c>
      <c r="G36" s="4">
        <f t="shared" si="1"/>
        <v>8.5391520357259894E-3</v>
      </c>
      <c r="H36" s="4">
        <v>1.137164782478395E-2</v>
      </c>
      <c r="I36" s="4">
        <v>-4.9568109057264945E-3</v>
      </c>
      <c r="J36" s="4">
        <v>-7.8294253021474226E-3</v>
      </c>
    </row>
    <row r="37" spans="1:10" x14ac:dyDescent="0.3">
      <c r="A37" s="24">
        <v>42053</v>
      </c>
      <c r="B37" s="4">
        <v>423.5</v>
      </c>
      <c r="C37" s="25">
        <f t="shared" si="2"/>
        <v>-1.4068227332201033E-2</v>
      </c>
      <c r="D37" s="25">
        <f>$C$2+$D$2*E36+$E$2*E35+$F$2*E34</f>
        <v>-1.8452482288268434E-4</v>
      </c>
      <c r="E37" s="4">
        <f t="shared" si="4"/>
        <v>-1.3883702509318349E-2</v>
      </c>
      <c r="F37" s="4">
        <f t="shared" si="0"/>
        <v>1.9275719536725262E-4</v>
      </c>
      <c r="G37" s="4">
        <f t="shared" si="1"/>
        <v>-1.3883702509318349E-2</v>
      </c>
      <c r="H37" s="4">
        <v>8.5391520357259894E-3</v>
      </c>
      <c r="I37" s="4">
        <v>1.137164782478395E-2</v>
      </c>
      <c r="J37" s="4">
        <v>-4.9568109057264945E-3</v>
      </c>
    </row>
    <row r="38" spans="1:10" x14ac:dyDescent="0.3">
      <c r="A38" s="24">
        <v>42054</v>
      </c>
      <c r="B38" s="4">
        <v>428.75</v>
      </c>
      <c r="C38" s="25">
        <f t="shared" si="2"/>
        <v>1.2320484388040676E-2</v>
      </c>
      <c r="D38" s="25">
        <f>$C$2+$D$2*E37+$E$2*E36+$F$2*E35</f>
        <v>5.9939558581906184E-4</v>
      </c>
      <c r="E38" s="4">
        <f t="shared" si="4"/>
        <v>1.1721088802221613E-2</v>
      </c>
      <c r="F38" s="4">
        <f t="shared" si="0"/>
        <v>1.3738392270956488E-4</v>
      </c>
      <c r="G38" s="4">
        <f t="shared" si="1"/>
        <v>1.1721088802221613E-2</v>
      </c>
      <c r="H38" s="4">
        <v>-1.3883702509318349E-2</v>
      </c>
      <c r="I38" s="4">
        <v>8.5391520357259894E-3</v>
      </c>
      <c r="J38" s="4">
        <v>1.137164782478395E-2</v>
      </c>
    </row>
    <row r="39" spans="1:10" x14ac:dyDescent="0.3">
      <c r="A39" s="24">
        <v>42055</v>
      </c>
      <c r="B39" s="4">
        <v>425.25</v>
      </c>
      <c r="C39" s="25">
        <f t="shared" si="2"/>
        <v>-8.1967672041791673E-3</v>
      </c>
      <c r="D39" s="25">
        <f>$C$2+$D$2*E38+$E$2*E37+$F$2*E36</f>
        <v>1.133424666538235E-3</v>
      </c>
      <c r="E39" s="4">
        <f t="shared" si="4"/>
        <v>-9.3301918707174025E-3</v>
      </c>
      <c r="F39" s="4">
        <f t="shared" si="0"/>
        <v>8.7052480344401102E-5</v>
      </c>
      <c r="G39" s="4">
        <f t="shared" si="1"/>
        <v>-9.3301918707174025E-3</v>
      </c>
      <c r="H39" s="4">
        <v>1.1721088802221613E-2</v>
      </c>
      <c r="I39" s="4">
        <v>-1.3883702509318349E-2</v>
      </c>
      <c r="J39" s="4">
        <v>8.5391520357259894E-3</v>
      </c>
    </row>
    <row r="40" spans="1:10" x14ac:dyDescent="0.3">
      <c r="A40" s="24">
        <v>42058</v>
      </c>
      <c r="B40" s="4">
        <v>419.5</v>
      </c>
      <c r="C40" s="25">
        <f t="shared" si="2"/>
        <v>-1.3613705368710427E-2</v>
      </c>
      <c r="D40" s="25">
        <f>$C$2+$D$2*E39+$E$2*E38+$F$2*E37</f>
        <v>-1.542696908503632E-3</v>
      </c>
      <c r="E40" s="4">
        <f t="shared" si="4"/>
        <v>-1.2071008460206796E-2</v>
      </c>
      <c r="F40" s="4">
        <f t="shared" si="0"/>
        <v>1.4570924524638404E-4</v>
      </c>
      <c r="G40" s="4">
        <f t="shared" si="1"/>
        <v>-1.2071008460206796E-2</v>
      </c>
      <c r="H40" s="4">
        <v>-9.3301918707174025E-3</v>
      </c>
      <c r="I40" s="4">
        <v>1.1721088802221613E-2</v>
      </c>
      <c r="J40" s="4">
        <v>-1.3883702509318349E-2</v>
      </c>
    </row>
    <row r="41" spans="1:10" x14ac:dyDescent="0.3">
      <c r="A41" s="24">
        <v>42059</v>
      </c>
      <c r="B41" s="4">
        <v>418.75</v>
      </c>
      <c r="C41" s="25">
        <f t="shared" si="2"/>
        <v>-1.7894427679845393E-3</v>
      </c>
      <c r="D41" s="25">
        <f>$C$2+$D$2*E40+$E$2*E39+$F$2*E38</f>
        <v>6.869085815627788E-4</v>
      </c>
      <c r="E41" s="4">
        <f t="shared" si="4"/>
        <v>-2.4763513495473181E-3</v>
      </c>
      <c r="F41" s="4">
        <f t="shared" si="0"/>
        <v>6.1323160064048237E-6</v>
      </c>
      <c r="G41" s="4">
        <f t="shared" si="1"/>
        <v>-2.4763513495473181E-3</v>
      </c>
      <c r="H41" s="4">
        <v>-1.2071008460206796E-2</v>
      </c>
      <c r="I41" s="4">
        <v>-9.3301918707174025E-3</v>
      </c>
      <c r="J41" s="4">
        <v>1.1721088802221613E-2</v>
      </c>
    </row>
    <row r="42" spans="1:10" x14ac:dyDescent="0.3">
      <c r="A42" s="24">
        <v>42060</v>
      </c>
      <c r="B42" s="4">
        <v>418</v>
      </c>
      <c r="C42" s="25">
        <f t="shared" si="2"/>
        <v>-1.7926506145196086E-3</v>
      </c>
      <c r="D42" s="25">
        <f>$C$2+$D$2*E41+$E$2*E40+$F$2*E39</f>
        <v>-9.1967445433473172E-4</v>
      </c>
      <c r="E42" s="4">
        <f t="shared" si="4"/>
        <v>-8.7297616018487689E-4</v>
      </c>
      <c r="F42" s="4">
        <f t="shared" si="0"/>
        <v>7.6208737625113185E-7</v>
      </c>
      <c r="G42" s="4">
        <f t="shared" si="1"/>
        <v>-8.7297616018487689E-4</v>
      </c>
      <c r="H42" s="4">
        <v>-2.4763513495473181E-3</v>
      </c>
      <c r="I42" s="4">
        <v>-1.2071008460206796E-2</v>
      </c>
      <c r="J42" s="4">
        <v>-9.3301918707174025E-3</v>
      </c>
    </row>
    <row r="43" spans="1:10" x14ac:dyDescent="0.3">
      <c r="A43" s="24">
        <v>42061</v>
      </c>
      <c r="B43" s="4">
        <v>422.5</v>
      </c>
      <c r="C43" s="25">
        <f t="shared" si="2"/>
        <v>1.0708014272472255E-2</v>
      </c>
      <c r="D43" s="25">
        <f>$C$2+$D$2*E42+$E$2*E41+$F$2*E40</f>
        <v>-1.117918866747348E-3</v>
      </c>
      <c r="E43" s="4">
        <f t="shared" si="4"/>
        <v>1.1825933139219603E-2</v>
      </c>
      <c r="F43" s="4">
        <f t="shared" si="0"/>
        <v>1.3985269461329241E-4</v>
      </c>
      <c r="G43" s="4">
        <f t="shared" si="1"/>
        <v>1.1825933139219603E-2</v>
      </c>
      <c r="H43" s="4">
        <v>-8.7297616018487689E-4</v>
      </c>
      <c r="I43" s="4">
        <v>-2.4763513495473181E-3</v>
      </c>
      <c r="J43" s="4">
        <v>-1.2071008460206796E-2</v>
      </c>
    </row>
    <row r="44" spans="1:10" x14ac:dyDescent="0.3">
      <c r="A44" s="24">
        <v>42062</v>
      </c>
      <c r="B44" s="4">
        <v>426</v>
      </c>
      <c r="C44" s="25">
        <f t="shared" si="2"/>
        <v>8.2498994721422747E-3</v>
      </c>
      <c r="D44" s="25">
        <f>$C$2+$D$2*E43+$E$2*E42+$F$2*E41</f>
        <v>1.41073318341071E-4</v>
      </c>
      <c r="E44" s="4">
        <f t="shared" si="4"/>
        <v>8.1088261538012039E-3</v>
      </c>
      <c r="F44" s="4">
        <f t="shared" si="0"/>
        <v>6.5753061592570432E-5</v>
      </c>
      <c r="G44" s="4">
        <f t="shared" si="1"/>
        <v>8.1088261538012039E-3</v>
      </c>
      <c r="H44" s="4">
        <v>1.1825933139219603E-2</v>
      </c>
      <c r="I44" s="4">
        <v>-8.7297616018487689E-4</v>
      </c>
      <c r="J44" s="4">
        <v>-2.4763513495473181E-3</v>
      </c>
    </row>
    <row r="45" spans="1:10" x14ac:dyDescent="0.3">
      <c r="A45" s="24">
        <v>42065</v>
      </c>
      <c r="B45" s="4">
        <v>422.25</v>
      </c>
      <c r="C45" s="25">
        <f t="shared" si="2"/>
        <v>-8.841790581461062E-3</v>
      </c>
      <c r="D45" s="25">
        <f>$C$2+$D$2*E44+$E$2*E43+$F$2*E42</f>
        <v>1.7129642445678377E-4</v>
      </c>
      <c r="E45" s="4">
        <f t="shared" si="4"/>
        <v>-9.0130870059178456E-3</v>
      </c>
      <c r="F45" s="4">
        <f t="shared" si="0"/>
        <v>8.123573737624511E-5</v>
      </c>
      <c r="G45" s="4">
        <f t="shared" si="1"/>
        <v>-9.0130870059178456E-3</v>
      </c>
      <c r="H45" s="4">
        <v>8.1088261538012039E-3</v>
      </c>
      <c r="I45" s="4">
        <v>1.1825933139219603E-2</v>
      </c>
      <c r="J45" s="4">
        <v>-8.7297616018487689E-4</v>
      </c>
    </row>
    <row r="46" spans="1:10" x14ac:dyDescent="0.3">
      <c r="A46" s="24">
        <v>42066</v>
      </c>
      <c r="B46" s="4">
        <v>425.5</v>
      </c>
      <c r="C46" s="25">
        <f t="shared" si="2"/>
        <v>7.6673923255192733E-3</v>
      </c>
      <c r="D46" s="25">
        <f>$C$2+$D$2*E45+$E$2*E44+$F$2*E43</f>
        <v>7.9073609362753194E-4</v>
      </c>
      <c r="E46" s="4">
        <f t="shared" si="4"/>
        <v>6.8766562318917411E-3</v>
      </c>
      <c r="F46" s="4">
        <f t="shared" si="0"/>
        <v>4.7288400931615522E-5</v>
      </c>
      <c r="G46" s="4">
        <f t="shared" si="1"/>
        <v>6.8766562318917411E-3</v>
      </c>
      <c r="H46" s="4">
        <v>-9.0130870059178456E-3</v>
      </c>
      <c r="I46" s="4">
        <v>8.1088261538012039E-3</v>
      </c>
      <c r="J46" s="4">
        <v>1.1825933139219603E-2</v>
      </c>
    </row>
    <row r="47" spans="1:10" x14ac:dyDescent="0.3">
      <c r="A47" s="24">
        <v>42067</v>
      </c>
      <c r="B47" s="4">
        <v>422.75</v>
      </c>
      <c r="C47" s="25">
        <f t="shared" si="2"/>
        <v>-6.4839602347390723E-3</v>
      </c>
      <c r="D47" s="25">
        <f>$C$2+$D$2*E46+$E$2*E45+$F$2*E44</f>
        <v>9.4505749317188843E-4</v>
      </c>
      <c r="E47" s="4">
        <f t="shared" si="4"/>
        <v>-7.4290177279109611E-3</v>
      </c>
      <c r="F47" s="4">
        <f t="shared" si="0"/>
        <v>5.5190304401615336E-5</v>
      </c>
      <c r="G47" s="4">
        <f t="shared" si="1"/>
        <v>-7.4290177279109611E-3</v>
      </c>
      <c r="H47" s="4">
        <v>6.8766562318917411E-3</v>
      </c>
      <c r="I47" s="4">
        <v>-9.0130870059178456E-3</v>
      </c>
      <c r="J47" s="4">
        <v>8.1088261538012039E-3</v>
      </c>
    </row>
    <row r="48" spans="1:10" x14ac:dyDescent="0.3">
      <c r="A48" s="24">
        <v>42068</v>
      </c>
      <c r="B48" s="4">
        <v>423.25</v>
      </c>
      <c r="C48" s="25">
        <f t="shared" si="2"/>
        <v>1.1820332345546802E-3</v>
      </c>
      <c r="D48" s="25">
        <f>$C$2+$D$2*E47+$E$2*E46+$F$2*E45</f>
        <v>-1.0438280256004978E-3</v>
      </c>
      <c r="E48" s="4">
        <f t="shared" si="4"/>
        <v>2.2258612601551778E-3</v>
      </c>
      <c r="F48" s="4">
        <f t="shared" si="0"/>
        <v>4.954458349459596E-6</v>
      </c>
      <c r="G48" s="4">
        <f t="shared" si="1"/>
        <v>2.2258612601551778E-3</v>
      </c>
      <c r="H48" s="4">
        <v>-7.4290177279109611E-3</v>
      </c>
      <c r="I48" s="4">
        <v>6.8766562318917411E-3</v>
      </c>
      <c r="J48" s="4">
        <v>-9.0130870059178456E-3</v>
      </c>
    </row>
    <row r="49" spans="1:10" x14ac:dyDescent="0.3">
      <c r="A49" s="24">
        <v>42069</v>
      </c>
      <c r="B49" s="4">
        <v>420</v>
      </c>
      <c r="C49" s="25">
        <f t="shared" si="2"/>
        <v>-7.7083097358308095E-3</v>
      </c>
      <c r="D49" s="25">
        <f>$C$2+$D$2*E48+$E$2*E47+$F$2*E46</f>
        <v>6.9019393807695474E-4</v>
      </c>
      <c r="E49" s="4">
        <f t="shared" si="4"/>
        <v>-8.3985036739077645E-3</v>
      </c>
      <c r="F49" s="4">
        <f t="shared" si="0"/>
        <v>7.0534863960642217E-5</v>
      </c>
      <c r="G49" s="4">
        <f t="shared" si="1"/>
        <v>-8.3985036739077645E-3</v>
      </c>
      <c r="H49" s="4">
        <v>2.2258612601551778E-3</v>
      </c>
      <c r="I49" s="4">
        <v>-7.4290177279109611E-3</v>
      </c>
      <c r="J49" s="4">
        <v>6.8766562318917411E-3</v>
      </c>
    </row>
    <row r="50" spans="1:10" x14ac:dyDescent="0.3">
      <c r="A50" s="24">
        <v>42072</v>
      </c>
      <c r="B50" s="4">
        <v>421.75</v>
      </c>
      <c r="C50" s="25">
        <f t="shared" si="2"/>
        <v>4.1580101486635712E-3</v>
      </c>
      <c r="D50" s="25">
        <f>$C$2+$D$2*E49+$E$2*E48+$F$2*E47</f>
        <v>-9.3057242950761389E-4</v>
      </c>
      <c r="E50" s="4">
        <f t="shared" si="4"/>
        <v>5.0885825781711849E-3</v>
      </c>
      <c r="F50" s="4">
        <f t="shared" si="0"/>
        <v>2.5893672654867303E-5</v>
      </c>
      <c r="G50" s="4">
        <f t="shared" si="1"/>
        <v>5.0885825781711849E-3</v>
      </c>
      <c r="H50" s="4">
        <v>-8.3985036739077645E-3</v>
      </c>
      <c r="I50" s="4">
        <v>2.2258612601551778E-3</v>
      </c>
      <c r="J50" s="4">
        <v>-7.4290177279109611E-3</v>
      </c>
    </row>
    <row r="51" spans="1:10" x14ac:dyDescent="0.3">
      <c r="A51" s="24">
        <v>42073</v>
      </c>
      <c r="B51" s="4">
        <v>421.5</v>
      </c>
      <c r="C51" s="25">
        <f t="shared" si="2"/>
        <v>-5.9294398416742666E-4</v>
      </c>
      <c r="D51" s="25">
        <f>$C$2+$D$2*E50+$E$2*E49+$F$2*E48</f>
        <v>3.5818169896455622E-4</v>
      </c>
      <c r="E51" s="4">
        <f t="shared" si="4"/>
        <v>-9.5112568313198288E-4</v>
      </c>
      <c r="F51" s="4">
        <f t="shared" si="0"/>
        <v>9.0464006511328108E-7</v>
      </c>
      <c r="G51" s="4">
        <f t="shared" si="1"/>
        <v>-9.5112568313198288E-4</v>
      </c>
      <c r="H51" s="4">
        <v>5.0885825781711849E-3</v>
      </c>
      <c r="I51" s="4">
        <v>-8.3985036739077645E-3</v>
      </c>
      <c r="J51" s="4">
        <v>2.2258612601551778E-3</v>
      </c>
    </row>
    <row r="52" spans="1:10" x14ac:dyDescent="0.3">
      <c r="A52" s="24">
        <v>42074</v>
      </c>
      <c r="B52" s="4">
        <v>423.25</v>
      </c>
      <c r="C52" s="25">
        <f t="shared" si="2"/>
        <v>4.1432435713346649E-3</v>
      </c>
      <c r="D52" s="25">
        <f>$C$2+$D$2*E51+$E$2*E50+$F$2*E49</f>
        <v>-7.8840747174993943E-4</v>
      </c>
      <c r="E52" s="4">
        <f t="shared" si="4"/>
        <v>4.931651043084604E-3</v>
      </c>
      <c r="F52" s="4">
        <f t="shared" si="0"/>
        <v>2.4321182010757462E-5</v>
      </c>
      <c r="G52" s="4">
        <f t="shared" si="1"/>
        <v>4.931651043084604E-3</v>
      </c>
      <c r="H52" s="4">
        <v>-9.5112568313198288E-4</v>
      </c>
      <c r="I52" s="4">
        <v>5.0885825781711849E-3</v>
      </c>
      <c r="J52" s="4">
        <v>-8.3985036739077645E-3</v>
      </c>
    </row>
    <row r="53" spans="1:10" x14ac:dyDescent="0.3">
      <c r="A53" s="24">
        <v>42075</v>
      </c>
      <c r="B53" s="4">
        <v>420.5</v>
      </c>
      <c r="C53" s="25">
        <f t="shared" si="2"/>
        <v>-6.5185416002417895E-3</v>
      </c>
      <c r="D53" s="25">
        <f>$C$2+$D$2*E52+$E$2*E51+$F$2*E50</f>
        <v>6.1207368352301258E-4</v>
      </c>
      <c r="E53" s="4">
        <f t="shared" si="4"/>
        <v>-7.1306152837648023E-3</v>
      </c>
      <c r="F53" s="4">
        <f t="shared" si="0"/>
        <v>5.0845674325060192E-5</v>
      </c>
      <c r="G53" s="4">
        <f t="shared" si="1"/>
        <v>-7.1306152837648023E-3</v>
      </c>
      <c r="H53" s="4">
        <v>4.931651043084604E-3</v>
      </c>
      <c r="I53" s="4">
        <v>-9.5112568313198288E-4</v>
      </c>
      <c r="J53" s="4">
        <v>5.0885825781711849E-3</v>
      </c>
    </row>
    <row r="54" spans="1:10" x14ac:dyDescent="0.3">
      <c r="A54" s="24">
        <v>42076</v>
      </c>
      <c r="B54" s="4">
        <v>413.75</v>
      </c>
      <c r="C54" s="25">
        <f t="shared" si="2"/>
        <v>-1.6182552721730303E-2</v>
      </c>
      <c r="D54" s="25">
        <f>$C$2+$D$2*E53+$E$2*E52+$F$2*E51</f>
        <v>-3.0597706905589753E-4</v>
      </c>
      <c r="E54" s="4">
        <f t="shared" si="4"/>
        <v>-1.5876575652674405E-2</v>
      </c>
      <c r="F54" s="4">
        <f t="shared" si="0"/>
        <v>2.5206565445509368E-4</v>
      </c>
      <c r="G54" s="4">
        <f t="shared" si="1"/>
        <v>-1.5876575652674405E-2</v>
      </c>
      <c r="H54" s="4">
        <v>-7.1306152837648023E-3</v>
      </c>
      <c r="I54" s="4">
        <v>4.931651043084604E-3</v>
      </c>
      <c r="J54" s="4">
        <v>-9.5112568313198288E-4</v>
      </c>
    </row>
    <row r="55" spans="1:10" x14ac:dyDescent="0.3">
      <c r="A55" s="24">
        <v>42079</v>
      </c>
      <c r="B55" s="4">
        <v>413.75</v>
      </c>
      <c r="C55" s="25">
        <f t="shared" si="2"/>
        <v>0</v>
      </c>
      <c r="D55" s="25">
        <f>$C$2+$D$2*E54+$E$2*E53+$F$2*E52</f>
        <v>-4.4144061104257806E-5</v>
      </c>
      <c r="E55" s="4">
        <f t="shared" si="4"/>
        <v>4.4144061104257806E-5</v>
      </c>
      <c r="F55" s="4">
        <f t="shared" si="0"/>
        <v>1.948698130776447E-9</v>
      </c>
      <c r="G55" s="4">
        <f t="shared" si="1"/>
        <v>4.4144061104257806E-5</v>
      </c>
      <c r="H55" s="4">
        <v>-1.5876575652674405E-2</v>
      </c>
      <c r="I55" s="4">
        <v>-7.1306152837648023E-3</v>
      </c>
      <c r="J55" s="4">
        <v>4.931651043084604E-3</v>
      </c>
    </row>
    <row r="56" spans="1:10" x14ac:dyDescent="0.3">
      <c r="A56" s="24">
        <v>42080</v>
      </c>
      <c r="B56" s="4">
        <v>406.75</v>
      </c>
      <c r="C56" s="25">
        <f t="shared" si="2"/>
        <v>-1.7063180592125526E-2</v>
      </c>
      <c r="D56" s="25">
        <f>$C$2+$D$2*E55+$E$2*E54+$F$2*E53</f>
        <v>-6.4310625725691863E-4</v>
      </c>
      <c r="E56" s="4">
        <f t="shared" si="4"/>
        <v>-1.6420074334868608E-2</v>
      </c>
      <c r="F56" s="4">
        <f t="shared" si="0"/>
        <v>2.6961884116261076E-4</v>
      </c>
      <c r="G56" s="4">
        <f t="shared" si="1"/>
        <v>-1.6420074334868608E-2</v>
      </c>
      <c r="H56" s="4">
        <v>4.4144061104257806E-5</v>
      </c>
      <c r="I56" s="4">
        <v>-1.5876575652674405E-2</v>
      </c>
      <c r="J56" s="4">
        <v>-7.1306152837648023E-3</v>
      </c>
    </row>
    <row r="57" spans="1:10" x14ac:dyDescent="0.3">
      <c r="A57" s="24">
        <v>42081</v>
      </c>
      <c r="B57" s="4">
        <v>409.5</v>
      </c>
      <c r="C57" s="25">
        <f t="shared" si="2"/>
        <v>6.7381571939773011E-3</v>
      </c>
      <c r="D57" s="25">
        <f>$C$2+$D$2*E56+$E$2*E55+$F$2*E54</f>
        <v>-1.9415707918548557E-3</v>
      </c>
      <c r="E57" s="4">
        <f t="shared" si="4"/>
        <v>8.6797279858321572E-3</v>
      </c>
      <c r="F57" s="4">
        <f t="shared" si="0"/>
        <v>7.533767790803796E-5</v>
      </c>
      <c r="G57" s="4">
        <f t="shared" si="1"/>
        <v>8.6797279858321572E-3</v>
      </c>
      <c r="H57" s="4">
        <v>-1.6420074334868608E-2</v>
      </c>
      <c r="I57" s="4">
        <v>4.4144061104257806E-5</v>
      </c>
      <c r="J57" s="4">
        <v>-1.5876575652674405E-2</v>
      </c>
    </row>
    <row r="58" spans="1:10" x14ac:dyDescent="0.3">
      <c r="A58" s="24">
        <v>42082</v>
      </c>
      <c r="B58" s="4">
        <v>408.5</v>
      </c>
      <c r="C58" s="25">
        <f t="shared" si="2"/>
        <v>-2.4449889930666657E-3</v>
      </c>
      <c r="D58" s="25">
        <f>$C$2+$D$2*E57+$E$2*E56+$F$2*E55</f>
        <v>2.7180125146067938E-4</v>
      </c>
      <c r="E58" s="4">
        <f t="shared" si="4"/>
        <v>-2.7167902445273452E-3</v>
      </c>
      <c r="F58" s="4">
        <f t="shared" si="0"/>
        <v>7.3809492327589523E-6</v>
      </c>
      <c r="G58" s="4">
        <f t="shared" si="1"/>
        <v>-2.7167902445273452E-3</v>
      </c>
      <c r="H58" s="4">
        <v>8.6797279858321572E-3</v>
      </c>
      <c r="I58" s="4">
        <v>-1.6420074334868608E-2</v>
      </c>
      <c r="J58" s="4">
        <v>4.4144061104257806E-5</v>
      </c>
    </row>
    <row r="59" spans="1:10" x14ac:dyDescent="0.3">
      <c r="A59" s="24">
        <v>42083</v>
      </c>
      <c r="B59" s="4">
        <v>418.75</v>
      </c>
      <c r="C59" s="25">
        <f t="shared" si="2"/>
        <v>2.4782168839218244E-2</v>
      </c>
      <c r="D59" s="25">
        <f>$C$2+$D$2*E58+$E$2*E57+$F$2*E56</f>
        <v>-1.5678800178710545E-3</v>
      </c>
      <c r="E59" s="4">
        <f t="shared" si="4"/>
        <v>2.63500488570893E-2</v>
      </c>
      <c r="F59" s="4">
        <f t="shared" si="0"/>
        <v>6.9432507477099308E-4</v>
      </c>
      <c r="G59" s="4">
        <f t="shared" si="1"/>
        <v>2.63500488570893E-2</v>
      </c>
      <c r="H59" s="4">
        <v>-2.7167902445273452E-3</v>
      </c>
      <c r="I59" s="4">
        <v>8.6797279858321572E-3</v>
      </c>
      <c r="J59" s="4">
        <v>-1.6420074334868608E-2</v>
      </c>
    </row>
    <row r="60" spans="1:10" x14ac:dyDescent="0.3">
      <c r="A60" s="24">
        <v>42086</v>
      </c>
      <c r="B60" s="4">
        <v>423.75</v>
      </c>
      <c r="C60" s="25">
        <f t="shared" si="2"/>
        <v>1.1869575555383705E-2</v>
      </c>
      <c r="D60" s="25">
        <f>$C$2+$D$2*E59+$E$2*E58+$F$2*E57</f>
        <v>1.5975039930544097E-3</v>
      </c>
      <c r="E60" s="4">
        <f t="shared" si="4"/>
        <v>1.0272071562329295E-2</v>
      </c>
      <c r="F60" s="4">
        <f t="shared" si="0"/>
        <v>1.055154541816142E-4</v>
      </c>
      <c r="G60" s="4">
        <f t="shared" si="1"/>
        <v>1.0272071562329295E-2</v>
      </c>
      <c r="H60" s="4">
        <v>2.63500488570893E-2</v>
      </c>
      <c r="I60" s="4">
        <v>-2.7167902445273452E-3</v>
      </c>
      <c r="J60" s="4">
        <v>8.6797279858321572E-3</v>
      </c>
    </row>
    <row r="61" spans="1:10" x14ac:dyDescent="0.3">
      <c r="A61" s="24">
        <v>42087</v>
      </c>
      <c r="B61" s="4">
        <v>426.25</v>
      </c>
      <c r="C61" s="25">
        <f t="shared" si="2"/>
        <v>5.8823699030670085E-3</v>
      </c>
      <c r="D61" s="25">
        <f>$C$2+$D$2*E60+$E$2*E59+$F$2*E58</f>
        <v>7.1398212050240238E-5</v>
      </c>
      <c r="E61" s="4">
        <f t="shared" si="4"/>
        <v>5.810971691016768E-3</v>
      </c>
      <c r="F61" s="4">
        <f t="shared" si="0"/>
        <v>3.3767391993798278E-5</v>
      </c>
      <c r="G61" s="4">
        <f t="shared" si="1"/>
        <v>5.810971691016768E-3</v>
      </c>
      <c r="H61" s="4">
        <v>1.0272071562329295E-2</v>
      </c>
      <c r="I61" s="4">
        <v>2.63500488570893E-2</v>
      </c>
      <c r="J61" s="4">
        <v>-2.7167902445273452E-3</v>
      </c>
    </row>
    <row r="62" spans="1:10" x14ac:dyDescent="0.3">
      <c r="A62" s="24">
        <v>42088</v>
      </c>
      <c r="B62" s="4">
        <v>426.75</v>
      </c>
      <c r="C62" s="25">
        <f t="shared" si="2"/>
        <v>1.1723330768234064E-3</v>
      </c>
      <c r="D62" s="25">
        <f>$C$2+$D$2*E61+$E$2*E60+$F$2*E59</f>
        <v>2.560826145975192E-3</v>
      </c>
      <c r="E62" s="4">
        <f t="shared" si="4"/>
        <v>-1.3884930691517856E-3</v>
      </c>
      <c r="F62" s="4">
        <f t="shared" si="0"/>
        <v>1.9279130030825455E-6</v>
      </c>
      <c r="G62" s="4">
        <f t="shared" si="1"/>
        <v>-1.3884930691517856E-3</v>
      </c>
      <c r="H62" s="4">
        <v>5.810971691016768E-3</v>
      </c>
      <c r="I62" s="4">
        <v>1.0272071562329295E-2</v>
      </c>
      <c r="J62" s="4">
        <v>2.63500488570893E-2</v>
      </c>
    </row>
    <row r="63" spans="1:10" x14ac:dyDescent="0.3">
      <c r="A63" s="24">
        <v>42089</v>
      </c>
      <c r="B63" s="4">
        <v>423.75</v>
      </c>
      <c r="C63" s="25">
        <f t="shared" si="2"/>
        <v>-7.0547029798904148E-3</v>
      </c>
      <c r="D63" s="25">
        <f>$C$2+$D$2*E62+$E$2*E61+$F$2*E60</f>
        <v>8.855528780494919E-4</v>
      </c>
      <c r="E63" s="4">
        <f t="shared" si="4"/>
        <v>-7.9402558579399068E-3</v>
      </c>
      <c r="F63" s="4">
        <f t="shared" si="0"/>
        <v>6.3047663089549002E-5</v>
      </c>
      <c r="G63" s="4">
        <f t="shared" si="1"/>
        <v>-7.9402558579399068E-3</v>
      </c>
      <c r="H63" s="4">
        <v>-1.3884930691517856E-3</v>
      </c>
      <c r="I63" s="4">
        <v>5.810971691016768E-3</v>
      </c>
      <c r="J63" s="4">
        <v>1.0272071562329295E-2</v>
      </c>
    </row>
    <row r="64" spans="1:10" x14ac:dyDescent="0.3">
      <c r="A64" s="24">
        <v>42090</v>
      </c>
      <c r="B64" s="4">
        <v>423.75</v>
      </c>
      <c r="C64" s="25">
        <f t="shared" si="2"/>
        <v>0</v>
      </c>
      <c r="D64" s="25">
        <f>$C$2+$D$2*E63+$E$2*E62+$F$2*E61</f>
        <v>2.8020310752584725E-4</v>
      </c>
      <c r="E64" s="4">
        <f t="shared" si="4"/>
        <v>-2.8020310752584725E-4</v>
      </c>
      <c r="F64" s="4">
        <f t="shared" si="0"/>
        <v>7.8513781467141513E-8</v>
      </c>
      <c r="G64" s="4">
        <f t="shared" si="1"/>
        <v>-2.8020310752584725E-4</v>
      </c>
      <c r="H64" s="4">
        <v>-7.9402558579399068E-3</v>
      </c>
      <c r="I64" s="4">
        <v>-1.3884930691517856E-3</v>
      </c>
      <c r="J64" s="4">
        <v>5.810971691016768E-3</v>
      </c>
    </row>
    <row r="65" spans="1:10" x14ac:dyDescent="0.3">
      <c r="A65" s="24">
        <v>42093</v>
      </c>
      <c r="B65" s="4">
        <v>427</v>
      </c>
      <c r="C65" s="25">
        <f t="shared" si="2"/>
        <v>7.6403545339651657E-3</v>
      </c>
      <c r="D65" s="25">
        <f>$C$2+$D$2*E64+$E$2*E63+$F$2*E62</f>
        <v>-1.3413826512292669E-4</v>
      </c>
      <c r="E65" s="4">
        <f t="shared" si="4"/>
        <v>7.7744927990880926E-3</v>
      </c>
      <c r="F65" s="4">
        <f t="shared" si="0"/>
        <v>6.0442738283072604E-5</v>
      </c>
      <c r="G65" s="4">
        <f t="shared" si="1"/>
        <v>7.7744927990880926E-3</v>
      </c>
      <c r="H65" s="4">
        <v>-2.8020310752584725E-4</v>
      </c>
      <c r="I65" s="4">
        <v>-7.9402558579399068E-3</v>
      </c>
      <c r="J65" s="4">
        <v>-1.3884930691517856E-3</v>
      </c>
    </row>
    <row r="66" spans="1:10" x14ac:dyDescent="0.3">
      <c r="A66" s="24">
        <v>42094</v>
      </c>
      <c r="B66" s="4">
        <v>410</v>
      </c>
      <c r="C66" s="25">
        <f t="shared" si="2"/>
        <v>-4.0626853530270957E-2</v>
      </c>
      <c r="D66" s="25">
        <f>$C$2+$D$2*E65+$E$2*E64+$F$2*E63</f>
        <v>-4.7776338772855534E-4</v>
      </c>
      <c r="E66" s="4">
        <f t="shared" si="4"/>
        <v>-4.01490901425424E-2</v>
      </c>
      <c r="F66" s="4">
        <f t="shared" si="0"/>
        <v>1.6119494392739953E-3</v>
      </c>
      <c r="G66" s="4">
        <f t="shared" si="1"/>
        <v>-4.01490901425424E-2</v>
      </c>
      <c r="H66" s="4">
        <v>7.7744927990880926E-3</v>
      </c>
      <c r="I66" s="4">
        <v>-2.8020310752584725E-4</v>
      </c>
      <c r="J66" s="4">
        <v>-7.9402558579399068E-3</v>
      </c>
    </row>
    <row r="67" spans="1:10" x14ac:dyDescent="0.3">
      <c r="A67" s="24">
        <v>42095</v>
      </c>
      <c r="B67" s="4">
        <v>416.25</v>
      </c>
      <c r="C67" s="25">
        <f t="shared" si="2"/>
        <v>1.512888159629977E-2</v>
      </c>
      <c r="D67" s="25">
        <f>$C$2+$D$2*E66+$E$2*E65+$F$2*E64</f>
        <v>-1.2641180495122969E-3</v>
      </c>
      <c r="E67" s="4">
        <f t="shared" si="4"/>
        <v>1.6392999645812069E-2</v>
      </c>
      <c r="F67" s="4">
        <f t="shared" si="0"/>
        <v>2.6873043738759463E-4</v>
      </c>
      <c r="G67" s="4">
        <f t="shared" si="1"/>
        <v>1.6392999645812069E-2</v>
      </c>
      <c r="H67" s="4">
        <v>-4.01490901425424E-2</v>
      </c>
      <c r="I67" s="4">
        <v>7.7744927990880926E-3</v>
      </c>
      <c r="J67" s="4">
        <v>-2.8020310752584725E-4</v>
      </c>
    </row>
    <row r="68" spans="1:10" x14ac:dyDescent="0.3">
      <c r="A68" s="24">
        <v>42096</v>
      </c>
      <c r="B68" s="4">
        <v>420</v>
      </c>
      <c r="C68" s="25">
        <f t="shared" si="2"/>
        <v>8.9686699827602467E-3</v>
      </c>
      <c r="D68" s="25">
        <f>$C$2+$D$2*E67+$E$2*E66+$F$2*E65</f>
        <v>1.208465403244776E-3</v>
      </c>
      <c r="E68" s="4">
        <f t="shared" si="4"/>
        <v>7.7602045795154709E-3</v>
      </c>
      <c r="F68" s="4">
        <f t="shared" si="0"/>
        <v>6.0220775115932887E-5</v>
      </c>
      <c r="G68" s="4">
        <f t="shared" si="1"/>
        <v>7.7602045795154709E-3</v>
      </c>
      <c r="H68" s="4">
        <v>1.6392999645812069E-2</v>
      </c>
      <c r="I68" s="4">
        <v>-4.01490901425424E-2</v>
      </c>
      <c r="J68" s="4">
        <v>7.7744927990880926E-3</v>
      </c>
    </row>
    <row r="69" spans="1:10" x14ac:dyDescent="0.3">
      <c r="A69" s="24">
        <v>42100</v>
      </c>
      <c r="B69" s="4">
        <v>419.25</v>
      </c>
      <c r="C69" s="25">
        <f t="shared" si="2"/>
        <v>-1.7873105740955353E-3</v>
      </c>
      <c r="D69" s="25">
        <f>$C$2+$D$2*E68+$E$2*E67+$F$2*E66</f>
        <v>-3.3892536204253084E-3</v>
      </c>
      <c r="E69" s="4">
        <f t="shared" si="4"/>
        <v>1.6019430463297731E-3</v>
      </c>
      <c r="F69" s="4">
        <f t="shared" si="0"/>
        <v>2.5662215236843136E-6</v>
      </c>
      <c r="G69" s="4">
        <f t="shared" si="1"/>
        <v>1.6019430463297731E-3</v>
      </c>
      <c r="H69" s="4">
        <v>7.7602045795154709E-3</v>
      </c>
      <c r="I69" s="4">
        <v>1.6392999645812069E-2</v>
      </c>
      <c r="J69" s="4">
        <v>-4.01490901425424E-2</v>
      </c>
    </row>
    <row r="70" spans="1:10" x14ac:dyDescent="0.3">
      <c r="A70" s="24">
        <v>42101</v>
      </c>
      <c r="B70" s="4">
        <v>417.5</v>
      </c>
      <c r="C70" s="25">
        <f t="shared" si="2"/>
        <v>-4.1828564124077872E-3</v>
      </c>
      <c r="D70" s="25">
        <f>$C$2+$D$2*E69+$E$2*E68+$F$2*E67</f>
        <v>1.5310345793747124E-3</v>
      </c>
      <c r="E70" s="4">
        <f t="shared" si="4"/>
        <v>-5.7138909917824991E-3</v>
      </c>
      <c r="F70" s="4">
        <f t="shared" si="0"/>
        <v>3.2648550265973191E-5</v>
      </c>
      <c r="G70" s="4">
        <f t="shared" si="1"/>
        <v>-5.7138909917824991E-3</v>
      </c>
      <c r="H70" s="4">
        <v>1.6019430463297731E-3</v>
      </c>
      <c r="I70" s="4">
        <v>7.7602045795154709E-3</v>
      </c>
      <c r="J70" s="4">
        <v>1.6392999645812069E-2</v>
      </c>
    </row>
    <row r="71" spans="1:10" x14ac:dyDescent="0.3">
      <c r="A71" s="24">
        <v>42102</v>
      </c>
      <c r="B71" s="4">
        <v>414.75</v>
      </c>
      <c r="C71" s="25">
        <f t="shared" si="2"/>
        <v>-6.6086152203563842E-3</v>
      </c>
      <c r="D71" s="25">
        <f>$C$2+$D$2*E70+$E$2*E69+$F$2*E68</f>
        <v>5.250697785281202E-4</v>
      </c>
      <c r="E71" s="4">
        <f t="shared" si="4"/>
        <v>-7.1336849988845041E-3</v>
      </c>
      <c r="F71" s="4">
        <f t="shared" si="0"/>
        <v>5.0889461663309808E-5</v>
      </c>
      <c r="G71" s="4">
        <f t="shared" si="1"/>
        <v>-7.1336849988845041E-3</v>
      </c>
      <c r="H71" s="4">
        <v>-5.7138909917824991E-3</v>
      </c>
      <c r="I71" s="4">
        <v>1.6019430463297731E-3</v>
      </c>
      <c r="J71" s="4">
        <v>7.7602045795154709E-3</v>
      </c>
    </row>
    <row r="72" spans="1:10" x14ac:dyDescent="0.3">
      <c r="A72" s="24">
        <v>42103</v>
      </c>
      <c r="B72" s="4">
        <v>413.75</v>
      </c>
      <c r="C72" s="25">
        <f t="shared" si="2"/>
        <v>-2.4140023792815768E-3</v>
      </c>
      <c r="D72" s="25">
        <f>$C$2+$D$2*E71+$E$2*E70+$F$2*E69</f>
        <v>-7.5324249404845991E-5</v>
      </c>
      <c r="E72" s="4">
        <f t="shared" si="4"/>
        <v>-2.3386781298767307E-3</v>
      </c>
      <c r="F72" s="4">
        <f t="shared" ref="F72:F135" si="5">E72^2</f>
        <v>5.4694153951637227E-6</v>
      </c>
      <c r="G72" s="4">
        <f t="shared" si="1"/>
        <v>-2.3386781298767307E-3</v>
      </c>
      <c r="H72" s="4">
        <v>-7.1336849988845041E-3</v>
      </c>
      <c r="I72" s="4">
        <v>-5.7138909917824991E-3</v>
      </c>
      <c r="J72" s="4">
        <v>1.6019430463297731E-3</v>
      </c>
    </row>
    <row r="73" spans="1:10" x14ac:dyDescent="0.3">
      <c r="A73" s="24">
        <v>42104</v>
      </c>
      <c r="B73" s="4">
        <v>412.75</v>
      </c>
      <c r="C73" s="25">
        <f t="shared" si="2"/>
        <v>-2.4198438910350006E-3</v>
      </c>
      <c r="D73" s="25">
        <f>$C$2+$D$2*E72+$E$2*E71+$F$2*E70</f>
        <v>-5.885836215149266E-4</v>
      </c>
      <c r="E73" s="4">
        <f t="shared" si="4"/>
        <v>-1.8312602695200741E-3</v>
      </c>
      <c r="F73" s="4">
        <f t="shared" si="5"/>
        <v>3.3535141747227348E-6</v>
      </c>
      <c r="G73" s="4">
        <f t="shared" ref="G73:G136" si="6">E73</f>
        <v>-1.8312602695200741E-3</v>
      </c>
      <c r="H73" s="4">
        <v>-2.3386781298767307E-3</v>
      </c>
      <c r="I73" s="4">
        <v>-7.1336849988845041E-3</v>
      </c>
      <c r="J73" s="4">
        <v>-5.7138909917824991E-3</v>
      </c>
    </row>
    <row r="74" spans="1:10" x14ac:dyDescent="0.3">
      <c r="A74" s="24">
        <v>42107</v>
      </c>
      <c r="B74" s="4">
        <v>407</v>
      </c>
      <c r="C74" s="25">
        <f t="shared" ref="C74:C137" si="7">LN(B74)-LN(B73)</f>
        <v>-1.4028897357643011E-2</v>
      </c>
      <c r="D74" s="25">
        <f>$C$2+$D$2*E73+$E$2*E72+$F$2*E71</f>
        <v>-7.0124897254261894E-4</v>
      </c>
      <c r="E74" s="4">
        <f t="shared" si="4"/>
        <v>-1.3327648385100392E-2</v>
      </c>
      <c r="F74" s="4">
        <f t="shared" si="5"/>
        <v>1.7762621147686909E-4</v>
      </c>
      <c r="G74" s="4">
        <f t="shared" si="6"/>
        <v>-1.3327648385100392E-2</v>
      </c>
      <c r="H74" s="4">
        <v>-1.8312602695200741E-3</v>
      </c>
      <c r="I74" s="4">
        <v>-2.3386781298767307E-3</v>
      </c>
      <c r="J74" s="4">
        <v>-7.1336849988845041E-3</v>
      </c>
    </row>
    <row r="75" spans="1:10" x14ac:dyDescent="0.3">
      <c r="A75" s="24">
        <v>42108</v>
      </c>
      <c r="B75" s="4">
        <v>409.5</v>
      </c>
      <c r="C75" s="25">
        <f t="shared" si="7"/>
        <v>6.1237178505297862E-3</v>
      </c>
      <c r="D75" s="25">
        <f>$C$2+$D$2*E74+$E$2*E73+$F$2*E72</f>
        <v>-6.2259307614795075E-4</v>
      </c>
      <c r="E75" s="4">
        <f t="shared" si="4"/>
        <v>6.7463109266777373E-3</v>
      </c>
      <c r="F75" s="4">
        <f t="shared" si="5"/>
        <v>4.5512711119411431E-5</v>
      </c>
      <c r="G75" s="4">
        <f t="shared" si="6"/>
        <v>6.7463109266777373E-3</v>
      </c>
      <c r="H75" s="4">
        <v>-1.3327648385100392E-2</v>
      </c>
      <c r="I75" s="4">
        <v>-1.8312602695200741E-3</v>
      </c>
      <c r="J75" s="4">
        <v>-2.3386781298767307E-3</v>
      </c>
    </row>
    <row r="76" spans="1:10" x14ac:dyDescent="0.3">
      <c r="A76" s="24">
        <v>42109</v>
      </c>
      <c r="B76" s="4">
        <v>411</v>
      </c>
      <c r="C76" s="25">
        <f t="shared" si="7"/>
        <v>3.6563112031098299E-3</v>
      </c>
      <c r="D76" s="25">
        <f>$C$2+$D$2*E75+$E$2*E74+$F$2*E73</f>
        <v>4.2646093150861751E-5</v>
      </c>
      <c r="E76" s="4">
        <f t="shared" si="4"/>
        <v>3.613665109958968E-3</v>
      </c>
      <c r="F76" s="4">
        <f t="shared" si="5"/>
        <v>1.305857552693476E-5</v>
      </c>
      <c r="G76" s="4">
        <f t="shared" si="6"/>
        <v>3.613665109958968E-3</v>
      </c>
      <c r="H76" s="4">
        <v>6.7463109266777373E-3</v>
      </c>
      <c r="I76" s="4">
        <v>-1.3327648385100392E-2</v>
      </c>
      <c r="J76" s="4">
        <v>-1.8312602695200741E-3</v>
      </c>
    </row>
    <row r="77" spans="1:10" x14ac:dyDescent="0.3">
      <c r="A77" s="24">
        <v>42110</v>
      </c>
      <c r="B77" s="4">
        <v>410.5</v>
      </c>
      <c r="C77" s="25">
        <f t="shared" si="7"/>
        <v>-1.217285603750895E-3</v>
      </c>
      <c r="D77" s="25">
        <f>$C$2+$D$2*E76+$E$2*E75+$F$2*E74</f>
        <v>-1.0930600330139972E-3</v>
      </c>
      <c r="E77" s="4">
        <f t="shared" si="4"/>
        <v>-1.2422557073689779E-4</v>
      </c>
      <c r="F77" s="4">
        <f t="shared" si="5"/>
        <v>1.5431992424907996E-8</v>
      </c>
      <c r="G77" s="4">
        <f t="shared" si="6"/>
        <v>-1.2422557073689779E-4</v>
      </c>
      <c r="H77" s="4">
        <v>3.613665109958968E-3</v>
      </c>
      <c r="I77" s="4">
        <v>6.7463109266777373E-3</v>
      </c>
      <c r="J77" s="4">
        <v>-1.3327648385100392E-2</v>
      </c>
    </row>
    <row r="78" spans="1:10" x14ac:dyDescent="0.3">
      <c r="A78" s="24">
        <v>42111</v>
      </c>
      <c r="B78" s="4">
        <v>413</v>
      </c>
      <c r="C78" s="25">
        <f t="shared" si="7"/>
        <v>6.0716640685498646E-3</v>
      </c>
      <c r="D78" s="25">
        <f>$C$2+$D$2*E77+$E$2*E76+$F$2*E75</f>
        <v>6.05901750339066E-4</v>
      </c>
      <c r="E78" s="4">
        <f t="shared" si="4"/>
        <v>5.4657623182107987E-3</v>
      </c>
      <c r="F78" s="4">
        <f t="shared" si="5"/>
        <v>2.9874557719173086E-5</v>
      </c>
      <c r="G78" s="4">
        <f t="shared" si="6"/>
        <v>5.4657623182107987E-3</v>
      </c>
      <c r="H78" s="4">
        <v>-1.2422557073689779E-4</v>
      </c>
      <c r="I78" s="4">
        <v>3.613665109958968E-3</v>
      </c>
      <c r="J78" s="4">
        <v>6.7463109266777373E-3</v>
      </c>
    </row>
    <row r="79" spans="1:10" x14ac:dyDescent="0.3">
      <c r="A79" s="24">
        <v>42114</v>
      </c>
      <c r="B79" s="4">
        <v>411.25</v>
      </c>
      <c r="C79" s="25">
        <f t="shared" si="7"/>
        <v>-4.2462908814515643E-3</v>
      </c>
      <c r="D79" s="25">
        <f>$C$2+$D$2*E78+$E$2*E77+$F$2*E76</f>
        <v>4.9524986917887526E-4</v>
      </c>
      <c r="E79" s="4">
        <f t="shared" si="4"/>
        <v>-4.7415407506304396E-3</v>
      </c>
      <c r="F79" s="4">
        <f t="shared" si="5"/>
        <v>2.2482208689889072E-5</v>
      </c>
      <c r="G79" s="4">
        <f t="shared" si="6"/>
        <v>-4.7415407506304396E-3</v>
      </c>
      <c r="H79" s="4">
        <v>5.4657623182107987E-3</v>
      </c>
      <c r="I79" s="4">
        <v>-1.2422557073689779E-4</v>
      </c>
      <c r="J79" s="4">
        <v>3.613665109958968E-3</v>
      </c>
    </row>
    <row r="80" spans="1:10" x14ac:dyDescent="0.3">
      <c r="A80" s="24">
        <v>42115</v>
      </c>
      <c r="B80" s="4">
        <v>407.75</v>
      </c>
      <c r="C80" s="25">
        <f t="shared" si="7"/>
        <v>-8.5470605784587761E-3</v>
      </c>
      <c r="D80" s="25">
        <f>$C$2+$D$2*E79+$E$2*E78+$F$2*E77</f>
        <v>-1.5752697623381786E-4</v>
      </c>
      <c r="E80" s="4">
        <f t="shared" si="4"/>
        <v>-8.3895336022249585E-3</v>
      </c>
      <c r="F80" s="4">
        <f t="shared" si="5"/>
        <v>7.0384274062861688E-5</v>
      </c>
      <c r="G80" s="4">
        <f t="shared" si="6"/>
        <v>-8.3895336022249585E-3</v>
      </c>
      <c r="H80" s="4">
        <v>-4.7415407506304396E-3</v>
      </c>
      <c r="I80" s="4">
        <v>5.4657623182107987E-3</v>
      </c>
      <c r="J80" s="4">
        <v>-1.2422557073689779E-4</v>
      </c>
    </row>
    <row r="81" spans="1:10" x14ac:dyDescent="0.3">
      <c r="A81" s="24">
        <v>42116</v>
      </c>
      <c r="B81" s="4">
        <v>407.75</v>
      </c>
      <c r="C81" s="25">
        <f t="shared" si="7"/>
        <v>0</v>
      </c>
      <c r="D81" s="25">
        <f>$C$2+$D$2*E80+$E$2*E79+$F$2*E78</f>
        <v>2.3514053808279143E-4</v>
      </c>
      <c r="E81" s="4">
        <f t="shared" si="4"/>
        <v>-2.3514053808279143E-4</v>
      </c>
      <c r="F81" s="4">
        <f t="shared" si="5"/>
        <v>5.5291072649864686E-8</v>
      </c>
      <c r="G81" s="4">
        <f t="shared" si="6"/>
        <v>-2.3514053808279143E-4</v>
      </c>
      <c r="H81" s="4">
        <v>-8.3895336022249585E-3</v>
      </c>
      <c r="I81" s="4">
        <v>-4.7415407506304396E-3</v>
      </c>
      <c r="J81" s="4">
        <v>5.4657623182107987E-3</v>
      </c>
    </row>
    <row r="82" spans="1:10" x14ac:dyDescent="0.3">
      <c r="A82" s="24">
        <v>42117</v>
      </c>
      <c r="B82" s="4">
        <v>405.25</v>
      </c>
      <c r="C82" s="25">
        <f t="shared" si="7"/>
        <v>-6.1500808853374167E-3</v>
      </c>
      <c r="D82" s="25">
        <f>$C$2+$D$2*E81+$E$2*E80+$F$2*E79</f>
        <v>-4.3579787108141964E-4</v>
      </c>
      <c r="E82" s="4">
        <f t="shared" si="4"/>
        <v>-5.7142830142559971E-3</v>
      </c>
      <c r="F82" s="4">
        <f t="shared" si="5"/>
        <v>3.2653030367014601E-5</v>
      </c>
      <c r="G82" s="4">
        <f t="shared" si="6"/>
        <v>-5.7142830142559971E-3</v>
      </c>
      <c r="H82" s="4">
        <v>-2.3514053808279143E-4</v>
      </c>
      <c r="I82" s="4">
        <v>-8.3895336022249585E-3</v>
      </c>
      <c r="J82" s="4">
        <v>-4.7415407506304396E-3</v>
      </c>
    </row>
    <row r="83" spans="1:10" x14ac:dyDescent="0.3">
      <c r="A83" s="24">
        <v>42118</v>
      </c>
      <c r="B83" s="4">
        <v>399.25</v>
      </c>
      <c r="C83" s="25">
        <f t="shared" si="7"/>
        <v>-1.4916373520663662E-2</v>
      </c>
      <c r="D83" s="25">
        <f>$C$2+$D$2*E82+$E$2*E81+$F$2*E80</f>
        <v>-9.3456313989758735E-4</v>
      </c>
      <c r="E83" s="4">
        <f t="shared" si="4"/>
        <v>-1.3981810380766074E-2</v>
      </c>
      <c r="F83" s="4">
        <f t="shared" si="5"/>
        <v>1.9549102152369795E-4</v>
      </c>
      <c r="G83" s="4">
        <f t="shared" si="6"/>
        <v>-1.3981810380766074E-2</v>
      </c>
      <c r="H83" s="4">
        <v>-5.7142830142559971E-3</v>
      </c>
      <c r="I83" s="4">
        <v>-2.3514053808279143E-4</v>
      </c>
      <c r="J83" s="4">
        <v>-8.3895336022249585E-3</v>
      </c>
    </row>
    <row r="84" spans="1:10" x14ac:dyDescent="0.3">
      <c r="A84" s="24">
        <v>42121</v>
      </c>
      <c r="B84" s="4">
        <v>394.25</v>
      </c>
      <c r="C84" s="25">
        <f t="shared" si="7"/>
        <v>-1.2602561251974009E-2</v>
      </c>
      <c r="D84" s="25">
        <f>$C$2+$D$2*E83+$E$2*E82+$F$2*E81</f>
        <v>-4.5265842766540731E-4</v>
      </c>
      <c r="E84" s="4">
        <f t="shared" si="4"/>
        <v>-1.2149902824308601E-2</v>
      </c>
      <c r="F84" s="4">
        <f t="shared" si="5"/>
        <v>1.4762013864014212E-4</v>
      </c>
      <c r="G84" s="4">
        <f t="shared" si="6"/>
        <v>-1.2149902824308601E-2</v>
      </c>
      <c r="H84" s="4">
        <v>-1.3981810380766074E-2</v>
      </c>
      <c r="I84" s="4">
        <v>-5.7142830142559971E-3</v>
      </c>
      <c r="J84" s="4">
        <v>-2.3514053808279143E-4</v>
      </c>
    </row>
    <row r="85" spans="1:10" x14ac:dyDescent="0.3">
      <c r="A85" s="24">
        <v>42122</v>
      </c>
      <c r="B85" s="4">
        <v>393.75</v>
      </c>
      <c r="C85" s="25">
        <f t="shared" si="7"/>
        <v>-1.2690357033049438E-3</v>
      </c>
      <c r="D85" s="25">
        <f>$C$2+$D$2*E84+$E$2*E83+$F$2*E82</f>
        <v>-8.913426767287369E-4</v>
      </c>
      <c r="E85" s="4">
        <f t="shared" ref="E85:E148" si="8">C85-D85</f>
        <v>-3.7769302657620686E-4</v>
      </c>
      <c r="F85" s="4">
        <f t="shared" si="5"/>
        <v>1.426520223242953E-7</v>
      </c>
      <c r="G85" s="4">
        <f t="shared" si="6"/>
        <v>-3.7769302657620686E-4</v>
      </c>
      <c r="H85" s="4">
        <v>-1.2149902824308601E-2</v>
      </c>
      <c r="I85" s="4">
        <v>-1.3981810380766074E-2</v>
      </c>
      <c r="J85" s="4">
        <v>-5.7142830142559971E-3</v>
      </c>
    </row>
    <row r="86" spans="1:10" x14ac:dyDescent="0.3">
      <c r="A86" s="24">
        <v>42123</v>
      </c>
      <c r="B86" s="4">
        <v>397</v>
      </c>
      <c r="C86" s="25">
        <f t="shared" si="7"/>
        <v>8.220090547347958E-3</v>
      </c>
      <c r="D86" s="25">
        <f>$C$2+$D$2*E85+$E$2*E84+$F$2*E83</f>
        <v>-1.275336155460784E-3</v>
      </c>
      <c r="E86" s="4">
        <f t="shared" si="8"/>
        <v>9.4954267028087413E-3</v>
      </c>
      <c r="F86" s="4">
        <f t="shared" si="5"/>
        <v>9.016312826841329E-5</v>
      </c>
      <c r="G86" s="4">
        <f t="shared" si="6"/>
        <v>9.4954267028087413E-3</v>
      </c>
      <c r="H86" s="4">
        <v>-3.7769302657620686E-4</v>
      </c>
      <c r="I86" s="4">
        <v>-1.2149902824308601E-2</v>
      </c>
      <c r="J86" s="4">
        <v>-1.3981810380766074E-2</v>
      </c>
    </row>
    <row r="87" spans="1:10" x14ac:dyDescent="0.3">
      <c r="A87" s="24">
        <v>42124</v>
      </c>
      <c r="B87" s="4">
        <v>394.75</v>
      </c>
      <c r="C87" s="25">
        <f t="shared" si="7"/>
        <v>-5.6836275514395851E-3</v>
      </c>
      <c r="D87" s="25">
        <f>$C$2+$D$2*E86+$E$2*E85+$F$2*E84</f>
        <v>-8.0513411684478839E-4</v>
      </c>
      <c r="E87" s="4">
        <f t="shared" si="8"/>
        <v>-4.878493434594797E-3</v>
      </c>
      <c r="F87" s="4">
        <f t="shared" si="5"/>
        <v>2.3799698191384539E-5</v>
      </c>
      <c r="G87" s="4">
        <f t="shared" si="6"/>
        <v>-4.878493434594797E-3</v>
      </c>
      <c r="H87" s="4">
        <v>9.4954267028087413E-3</v>
      </c>
      <c r="I87" s="4">
        <v>-3.7769302657620686E-4</v>
      </c>
      <c r="J87" s="4">
        <v>-1.2149902824308601E-2</v>
      </c>
    </row>
    <row r="88" spans="1:10" x14ac:dyDescent="0.3">
      <c r="A88" s="24">
        <v>42125</v>
      </c>
      <c r="B88" s="4">
        <v>391.5</v>
      </c>
      <c r="C88" s="25">
        <f t="shared" si="7"/>
        <v>-8.2671377048937345E-3</v>
      </c>
      <c r="D88" s="25">
        <f>$C$2+$D$2*E87+$E$2*E86+$F$2*E85</f>
        <v>-1.8466113352026426E-4</v>
      </c>
      <c r="E88" s="4">
        <f t="shared" si="8"/>
        <v>-8.082476571373471E-3</v>
      </c>
      <c r="F88" s="4">
        <f t="shared" si="5"/>
        <v>6.5326427526801061E-5</v>
      </c>
      <c r="G88" s="4">
        <f t="shared" si="6"/>
        <v>-8.082476571373471E-3</v>
      </c>
      <c r="H88" s="4">
        <v>-4.878493434594797E-3</v>
      </c>
      <c r="I88" s="4">
        <v>9.4954267028087413E-3</v>
      </c>
      <c r="J88" s="4">
        <v>-3.7769302657620686E-4</v>
      </c>
    </row>
    <row r="89" spans="1:10" x14ac:dyDescent="0.3">
      <c r="A89" s="24">
        <v>42128</v>
      </c>
      <c r="B89" s="4">
        <v>389</v>
      </c>
      <c r="C89" s="25">
        <f t="shared" si="7"/>
        <v>-6.406171812411543E-3</v>
      </c>
      <c r="D89" s="25">
        <f>$C$2+$D$2*E88+$E$2*E87+$F$2*E86</f>
        <v>6.0881766405253735E-4</v>
      </c>
      <c r="E89" s="4">
        <f t="shared" si="8"/>
        <v>-7.0149894764640801E-3</v>
      </c>
      <c r="F89" s="4">
        <f t="shared" si="5"/>
        <v>4.9210077354901786E-5</v>
      </c>
      <c r="G89" s="4">
        <f t="shared" si="6"/>
        <v>-7.0149894764640801E-3</v>
      </c>
      <c r="H89" s="4">
        <v>-8.082476571373471E-3</v>
      </c>
      <c r="I89" s="4">
        <v>-4.878493434594797E-3</v>
      </c>
      <c r="J89" s="4">
        <v>9.4954267028087413E-3</v>
      </c>
    </row>
    <row r="90" spans="1:10" x14ac:dyDescent="0.3">
      <c r="A90" s="24">
        <v>42129</v>
      </c>
      <c r="B90" s="4">
        <v>390</v>
      </c>
      <c r="C90" s="25">
        <f t="shared" si="7"/>
        <v>2.5673955052463171E-3</v>
      </c>
      <c r="D90" s="25">
        <f>$C$2+$D$2*E89+$E$2*E88+$F$2*E87</f>
        <v>-6.5736677277259076E-4</v>
      </c>
      <c r="E90" s="4">
        <f t="shared" si="8"/>
        <v>3.2247622780189077E-3</v>
      </c>
      <c r="F90" s="4">
        <f t="shared" si="5"/>
        <v>1.0399091749733695E-5</v>
      </c>
      <c r="G90" s="4">
        <f t="shared" si="6"/>
        <v>3.2247622780189077E-3</v>
      </c>
      <c r="H90" s="4">
        <v>-7.0149894764640801E-3</v>
      </c>
      <c r="I90" s="4">
        <v>-8.082476571373471E-3</v>
      </c>
      <c r="J90" s="4">
        <v>-4.878493434594797E-3</v>
      </c>
    </row>
    <row r="91" spans="1:10" x14ac:dyDescent="0.3">
      <c r="A91" s="24">
        <v>42130</v>
      </c>
      <c r="B91" s="4">
        <v>394</v>
      </c>
      <c r="C91" s="25">
        <f t="shared" si="7"/>
        <v>1.0204170174241689E-2</v>
      </c>
      <c r="D91" s="25">
        <f>$C$2+$D$2*E90+$E$2*E89+$F$2*E88</f>
        <v>-6.3099850217434282E-4</v>
      </c>
      <c r="E91" s="4">
        <f t="shared" si="8"/>
        <v>1.0835168676416032E-2</v>
      </c>
      <c r="F91" s="4">
        <f t="shared" si="5"/>
        <v>1.1740088024638714E-4</v>
      </c>
      <c r="G91" s="4">
        <f t="shared" si="6"/>
        <v>1.0835168676416032E-2</v>
      </c>
      <c r="H91" s="4">
        <v>3.2247622780189077E-3</v>
      </c>
      <c r="I91" s="4">
        <v>-7.0149894764640801E-3</v>
      </c>
      <c r="J91" s="4">
        <v>-8.082476571373471E-3</v>
      </c>
    </row>
    <row r="92" spans="1:10" x14ac:dyDescent="0.3">
      <c r="A92" s="24">
        <v>42131</v>
      </c>
      <c r="B92" s="4">
        <v>388.75</v>
      </c>
      <c r="C92" s="25">
        <f t="shared" si="7"/>
        <v>-1.3414445804490249E-2</v>
      </c>
      <c r="D92" s="25">
        <f>$C$2+$D$2*E91+$E$2*E90+$F$2*E89</f>
        <v>-2.9970076375770635E-4</v>
      </c>
      <c r="E92" s="4">
        <f t="shared" si="8"/>
        <v>-1.3114745040732543E-2</v>
      </c>
      <c r="F92" s="4">
        <f t="shared" si="5"/>
        <v>1.7199653748341883E-4</v>
      </c>
      <c r="G92" s="4">
        <f t="shared" si="6"/>
        <v>-1.3114745040732543E-2</v>
      </c>
      <c r="H92" s="4">
        <v>1.0835168676416032E-2</v>
      </c>
      <c r="I92" s="4">
        <v>3.2247622780189077E-3</v>
      </c>
      <c r="J92" s="4">
        <v>-7.0149894764640801E-3</v>
      </c>
    </row>
    <row r="93" spans="1:10" x14ac:dyDescent="0.3">
      <c r="A93" s="24">
        <v>42132</v>
      </c>
      <c r="B93" s="4">
        <v>389.5</v>
      </c>
      <c r="C93" s="25">
        <f t="shared" si="7"/>
        <v>1.9274018173591756E-3</v>
      </c>
      <c r="D93" s="25">
        <f>$C$2+$D$2*E92+$E$2*E91+$F$2*E90</f>
        <v>-1.1319765780100669E-4</v>
      </c>
      <c r="E93" s="4">
        <f t="shared" si="8"/>
        <v>2.0405994751601822E-3</v>
      </c>
      <c r="F93" s="4">
        <f t="shared" si="5"/>
        <v>4.1640462180240109E-6</v>
      </c>
      <c r="G93" s="4">
        <f t="shared" si="6"/>
        <v>2.0405994751601822E-3</v>
      </c>
      <c r="H93" s="4">
        <v>-1.3114745040732543E-2</v>
      </c>
      <c r="I93" s="4">
        <v>1.0835168676416032E-2</v>
      </c>
      <c r="J93" s="4">
        <v>3.2247622780189077E-3</v>
      </c>
    </row>
    <row r="94" spans="1:10" x14ac:dyDescent="0.3">
      <c r="A94" s="24">
        <v>42135</v>
      </c>
      <c r="B94" s="4">
        <v>386.75</v>
      </c>
      <c r="C94" s="25">
        <f t="shared" si="7"/>
        <v>-7.085375857627696E-3</v>
      </c>
      <c r="D94" s="25">
        <f>$C$2+$D$2*E93+$E$2*E92+$F$2*E91</f>
        <v>1.0422499076616564E-3</v>
      </c>
      <c r="E94" s="4">
        <f t="shared" si="8"/>
        <v>-8.1276257652893522E-3</v>
      </c>
      <c r="F94" s="4">
        <f t="shared" si="5"/>
        <v>6.6058300580595323E-5</v>
      </c>
      <c r="G94" s="4">
        <f t="shared" si="6"/>
        <v>-8.1276257652893522E-3</v>
      </c>
      <c r="H94" s="4">
        <v>2.0405994751601822E-3</v>
      </c>
      <c r="I94" s="4">
        <v>-1.3114745040732543E-2</v>
      </c>
      <c r="J94" s="4">
        <v>1.0835168676416032E-2</v>
      </c>
    </row>
    <row r="95" spans="1:10" x14ac:dyDescent="0.3">
      <c r="A95" s="24">
        <v>42136</v>
      </c>
      <c r="B95" s="4">
        <v>387.5</v>
      </c>
      <c r="C95" s="25">
        <f t="shared" si="7"/>
        <v>1.937359340226763E-3</v>
      </c>
      <c r="D95" s="25">
        <f>$C$2+$D$2*E94+$E$2*E93+$F$2*E92</f>
        <v>-1.4360932089545709E-3</v>
      </c>
      <c r="E95" s="4">
        <f t="shared" si="8"/>
        <v>3.373452549181334E-3</v>
      </c>
      <c r="F95" s="4">
        <f t="shared" si="5"/>
        <v>1.138018210157804E-5</v>
      </c>
      <c r="G95" s="4">
        <f t="shared" si="6"/>
        <v>3.373452549181334E-3</v>
      </c>
      <c r="H95" s="4">
        <v>-8.1276257652893522E-3</v>
      </c>
      <c r="I95" s="4">
        <v>2.0405994751601822E-3</v>
      </c>
      <c r="J95" s="4">
        <v>-1.3114745040732543E-2</v>
      </c>
    </row>
    <row r="96" spans="1:10" x14ac:dyDescent="0.3">
      <c r="A96" s="24">
        <v>42137</v>
      </c>
      <c r="B96" s="4">
        <v>389.75</v>
      </c>
      <c r="C96" s="25">
        <f t="shared" si="7"/>
        <v>5.7896591444839274E-3</v>
      </c>
      <c r="D96" s="25">
        <f>$C$2+$D$2*E95+$E$2*E94+$F$2*E93</f>
        <v>2.8851761553220568E-4</v>
      </c>
      <c r="E96" s="4">
        <f t="shared" si="8"/>
        <v>5.501141528951722E-3</v>
      </c>
      <c r="F96" s="4">
        <f t="shared" si="5"/>
        <v>3.0262558121557291E-5</v>
      </c>
      <c r="G96" s="4">
        <f t="shared" si="6"/>
        <v>5.501141528951722E-3</v>
      </c>
      <c r="H96" s="4">
        <v>3.373452549181334E-3</v>
      </c>
      <c r="I96" s="4">
        <v>-8.1276257652893522E-3</v>
      </c>
      <c r="J96" s="4">
        <v>2.0405994751601822E-3</v>
      </c>
    </row>
    <row r="97" spans="1:10" x14ac:dyDescent="0.3">
      <c r="A97" s="24">
        <v>42138</v>
      </c>
      <c r="B97" s="4">
        <v>395.5</v>
      </c>
      <c r="C97" s="25">
        <f t="shared" si="7"/>
        <v>1.4645279269823064E-2</v>
      </c>
      <c r="D97" s="25">
        <f>$C$2+$D$2*E96+$E$2*E95+$F$2*E94</f>
        <v>-5.6484182311734399E-4</v>
      </c>
      <c r="E97" s="4">
        <f t="shared" si="8"/>
        <v>1.5210121092940407E-2</v>
      </c>
      <c r="F97" s="4">
        <f t="shared" si="5"/>
        <v>2.3134778366191069E-4</v>
      </c>
      <c r="G97" s="4">
        <f t="shared" si="6"/>
        <v>1.5210121092940407E-2</v>
      </c>
      <c r="H97" s="4">
        <v>5.501141528951722E-3</v>
      </c>
      <c r="I97" s="4">
        <v>3.373452549181334E-3</v>
      </c>
      <c r="J97" s="4">
        <v>-8.1276257652893522E-3</v>
      </c>
    </row>
    <row r="98" spans="1:10" x14ac:dyDescent="0.3">
      <c r="A98" s="24">
        <v>42139</v>
      </c>
      <c r="B98" s="4">
        <v>393.5</v>
      </c>
      <c r="C98" s="25">
        <f t="shared" si="7"/>
        <v>-5.069719350251134E-3</v>
      </c>
      <c r="D98" s="25">
        <f>$C$2+$D$2*E97+$E$2*E96+$F$2*E95</f>
        <v>7.7419983436096806E-4</v>
      </c>
      <c r="E98" s="4">
        <f t="shared" si="8"/>
        <v>-5.843919184612102E-3</v>
      </c>
      <c r="F98" s="4">
        <f t="shared" si="5"/>
        <v>3.4151391436277372E-5</v>
      </c>
      <c r="G98" s="4">
        <f t="shared" si="6"/>
        <v>-5.843919184612102E-3</v>
      </c>
      <c r="H98" s="4">
        <v>1.5210121092940407E-2</v>
      </c>
      <c r="I98" s="4">
        <v>5.501141528951722E-3</v>
      </c>
      <c r="J98" s="4">
        <v>3.373452549181334E-3</v>
      </c>
    </row>
    <row r="99" spans="1:10" x14ac:dyDescent="0.3">
      <c r="A99" s="24">
        <v>42142</v>
      </c>
      <c r="B99" s="4">
        <v>396.25</v>
      </c>
      <c r="C99" s="25">
        <f t="shared" si="7"/>
        <v>6.9642573340322755E-3</v>
      </c>
      <c r="D99" s="25">
        <f>$C$2+$D$2*E98+$E$2*E97+$F$2*E96</f>
        <v>3.1688261571513035E-4</v>
      </c>
      <c r="E99" s="4">
        <f t="shared" si="8"/>
        <v>6.6473747183171455E-3</v>
      </c>
      <c r="F99" s="4">
        <f t="shared" si="5"/>
        <v>4.418759064572195E-5</v>
      </c>
      <c r="G99" s="4">
        <f t="shared" si="6"/>
        <v>6.6473747183171455E-3</v>
      </c>
      <c r="H99" s="4">
        <v>-5.843919184612102E-3</v>
      </c>
      <c r="I99" s="4">
        <v>1.5210121092940407E-2</v>
      </c>
      <c r="J99" s="4">
        <v>5.501141528951722E-3</v>
      </c>
    </row>
    <row r="100" spans="1:10" x14ac:dyDescent="0.3">
      <c r="A100" s="24">
        <v>42143</v>
      </c>
      <c r="B100" s="4">
        <v>390.75</v>
      </c>
      <c r="C100" s="25">
        <f t="shared" si="7"/>
        <v>-1.3977355889903897E-2</v>
      </c>
      <c r="D100" s="25">
        <f>$C$2+$D$2*E99+$E$2*E98+$F$2*E97</f>
        <v>1.5798013803362582E-3</v>
      </c>
      <c r="E100" s="4">
        <f t="shared" si="8"/>
        <v>-1.5557157270240155E-2</v>
      </c>
      <c r="F100" s="4">
        <f t="shared" si="5"/>
        <v>2.4202514233098612E-4</v>
      </c>
      <c r="G100" s="4">
        <f t="shared" si="6"/>
        <v>-1.5557157270240155E-2</v>
      </c>
      <c r="H100" s="4">
        <v>6.6473747183171455E-3</v>
      </c>
      <c r="I100" s="4">
        <v>-5.843919184612102E-3</v>
      </c>
      <c r="J100" s="4">
        <v>1.5210121092940407E-2</v>
      </c>
    </row>
    <row r="101" spans="1:10" x14ac:dyDescent="0.3">
      <c r="A101" s="24">
        <v>42144</v>
      </c>
      <c r="B101" s="4">
        <v>388</v>
      </c>
      <c r="C101" s="25">
        <f t="shared" si="7"/>
        <v>-7.0626296783125042E-3</v>
      </c>
      <c r="D101" s="25">
        <f>$C$2+$D$2*E100+$E$2*E99+$F$2*E98</f>
        <v>-1.0081894946167421E-3</v>
      </c>
      <c r="E101" s="4">
        <f t="shared" si="8"/>
        <v>-6.0544401836957621E-3</v>
      </c>
      <c r="F101" s="4">
        <f t="shared" si="5"/>
        <v>3.6656245937949974E-5</v>
      </c>
      <c r="G101" s="4">
        <f t="shared" si="6"/>
        <v>-6.0544401836957621E-3</v>
      </c>
      <c r="H101" s="4">
        <v>-1.5557157270240155E-2</v>
      </c>
      <c r="I101" s="4">
        <v>6.6473747183171455E-3</v>
      </c>
      <c r="J101" s="4">
        <v>-5.843919184612102E-3</v>
      </c>
    </row>
    <row r="102" spans="1:10" x14ac:dyDescent="0.3">
      <c r="A102" s="24">
        <v>42145</v>
      </c>
      <c r="B102" s="4">
        <v>392.75</v>
      </c>
      <c r="C102" s="25">
        <f t="shared" si="7"/>
        <v>1.2167937512456817E-2</v>
      </c>
      <c r="D102" s="25">
        <f>$C$2+$D$2*E101+$E$2*E100+$F$2*E99</f>
        <v>4.1398411402424263E-4</v>
      </c>
      <c r="E102" s="4">
        <f t="shared" si="8"/>
        <v>1.1753953398432574E-2</v>
      </c>
      <c r="F102" s="4">
        <f t="shared" si="5"/>
        <v>1.3815542049252466E-4</v>
      </c>
      <c r="G102" s="4">
        <f t="shared" si="6"/>
        <v>1.1753953398432574E-2</v>
      </c>
      <c r="H102" s="4">
        <v>-6.0544401836957621E-3</v>
      </c>
      <c r="I102" s="4">
        <v>-1.5557157270240155E-2</v>
      </c>
      <c r="J102" s="4">
        <v>6.6473747183171455E-3</v>
      </c>
    </row>
    <row r="103" spans="1:10" x14ac:dyDescent="0.3">
      <c r="A103" s="24">
        <v>42146</v>
      </c>
      <c r="B103" s="4">
        <v>388.25</v>
      </c>
      <c r="C103" s="25">
        <f t="shared" si="7"/>
        <v>-1.1523815106934343E-2</v>
      </c>
      <c r="D103" s="25">
        <f>$C$2+$D$2*E102+$E$2*E101+$F$2*E100</f>
        <v>-1.0433969063535012E-3</v>
      </c>
      <c r="E103" s="4">
        <f t="shared" si="8"/>
        <v>-1.0480418200580842E-2</v>
      </c>
      <c r="F103" s="4">
        <f t="shared" si="5"/>
        <v>1.0983916565906617E-4</v>
      </c>
      <c r="G103" s="4">
        <f t="shared" si="6"/>
        <v>-1.0480418200580842E-2</v>
      </c>
      <c r="H103" s="4">
        <v>1.1753953398432574E-2</v>
      </c>
      <c r="I103" s="4">
        <v>-6.0544401836957621E-3</v>
      </c>
      <c r="J103" s="4">
        <v>-1.5557157270240155E-2</v>
      </c>
    </row>
    <row r="104" spans="1:10" x14ac:dyDescent="0.3">
      <c r="A104" s="24">
        <v>42150</v>
      </c>
      <c r="B104" s="4">
        <v>384.25</v>
      </c>
      <c r="C104" s="25">
        <f t="shared" si="7"/>
        <v>-1.0356079610090774E-2</v>
      </c>
      <c r="D104" s="25">
        <f>$C$2+$D$2*E103+$E$2*E102+$F$2*E101</f>
        <v>-8.7057458294761481E-4</v>
      </c>
      <c r="E104" s="4">
        <f t="shared" si="8"/>
        <v>-9.4855050271431592E-3</v>
      </c>
      <c r="F104" s="4">
        <f t="shared" si="5"/>
        <v>8.9974805619958144E-5</v>
      </c>
      <c r="G104" s="4">
        <f t="shared" si="6"/>
        <v>-9.4855050271431592E-3</v>
      </c>
      <c r="H104" s="4">
        <v>-1.0480418200580842E-2</v>
      </c>
      <c r="I104" s="4">
        <v>1.1753953398432574E-2</v>
      </c>
      <c r="J104" s="4">
        <v>-6.0544401836957621E-3</v>
      </c>
    </row>
    <row r="105" spans="1:10" x14ac:dyDescent="0.3">
      <c r="A105" s="24">
        <v>42151</v>
      </c>
      <c r="B105" s="4">
        <v>377.5</v>
      </c>
      <c r="C105" s="25">
        <f t="shared" si="7"/>
        <v>-1.7722813729625919E-2</v>
      </c>
      <c r="D105" s="25">
        <f>$C$2+$D$2*E104+$E$2*E103+$F$2*E102</f>
        <v>7.6965415577190919E-4</v>
      </c>
      <c r="E105" s="4">
        <f t="shared" si="8"/>
        <v>-1.849246788539783E-2</v>
      </c>
      <c r="F105" s="4">
        <f t="shared" si="5"/>
        <v>3.4197136849247009E-4</v>
      </c>
      <c r="G105" s="4">
        <f t="shared" si="6"/>
        <v>-1.849246788539783E-2</v>
      </c>
      <c r="H105" s="4">
        <v>-9.4855050271431592E-3</v>
      </c>
      <c r="I105" s="4">
        <v>-1.0480418200580842E-2</v>
      </c>
      <c r="J105" s="4">
        <v>1.1753953398432574E-2</v>
      </c>
    </row>
    <row r="106" spans="1:10" x14ac:dyDescent="0.3">
      <c r="A106" s="24">
        <v>42152</v>
      </c>
      <c r="B106" s="4">
        <v>380.5</v>
      </c>
      <c r="C106" s="25">
        <f t="shared" si="7"/>
        <v>7.9156086126612735E-3</v>
      </c>
      <c r="D106" s="25">
        <f>$C$2+$D$2*E105+$E$2*E104+$F$2*E103</f>
        <v>-1.517806921070316E-3</v>
      </c>
      <c r="E106" s="4">
        <f t="shared" si="8"/>
        <v>9.433415533731589E-3</v>
      </c>
      <c r="F106" s="4">
        <f t="shared" si="5"/>
        <v>8.8989328632048438E-5</v>
      </c>
      <c r="G106" s="4">
        <f t="shared" si="6"/>
        <v>9.433415533731589E-3</v>
      </c>
      <c r="H106" s="4">
        <v>-1.849246788539783E-2</v>
      </c>
      <c r="I106" s="4">
        <v>-9.4855050271431592E-3</v>
      </c>
      <c r="J106" s="4">
        <v>-1.0480418200580842E-2</v>
      </c>
    </row>
    <row r="107" spans="1:10" x14ac:dyDescent="0.3">
      <c r="A107" s="24">
        <v>42153</v>
      </c>
      <c r="B107" s="4">
        <v>378.5</v>
      </c>
      <c r="C107" s="25">
        <f t="shared" si="7"/>
        <v>-5.2701044242375872E-3</v>
      </c>
      <c r="D107" s="25">
        <f>$C$2+$D$2*E106+$E$2*E105+$F$2*E104</f>
        <v>-5.6623795271657147E-4</v>
      </c>
      <c r="E107" s="4">
        <f t="shared" si="8"/>
        <v>-4.7038664715210159E-3</v>
      </c>
      <c r="F107" s="4">
        <f t="shared" si="5"/>
        <v>2.2126359781899573E-5</v>
      </c>
      <c r="G107" s="4">
        <f t="shared" si="6"/>
        <v>-4.7038664715210159E-3</v>
      </c>
      <c r="H107" s="4">
        <v>9.433415533731589E-3</v>
      </c>
      <c r="I107" s="4">
        <v>-1.849246788539783E-2</v>
      </c>
      <c r="J107" s="4">
        <v>-9.4855050271431592E-3</v>
      </c>
    </row>
    <row r="108" spans="1:10" x14ac:dyDescent="0.3">
      <c r="A108" s="24">
        <v>42156</v>
      </c>
      <c r="B108" s="4">
        <v>379</v>
      </c>
      <c r="C108" s="25">
        <f t="shared" si="7"/>
        <v>1.3201322049232189E-3</v>
      </c>
      <c r="D108" s="25">
        <f>$C$2+$D$2*E107+$E$2*E106+$F$2*E105</f>
        <v>-1.8164947974349636E-3</v>
      </c>
      <c r="E108" s="4">
        <f t="shared" si="8"/>
        <v>3.1366270023581826E-3</v>
      </c>
      <c r="F108" s="4">
        <f t="shared" si="5"/>
        <v>9.8384289519224775E-6</v>
      </c>
      <c r="G108" s="4">
        <f t="shared" si="6"/>
        <v>3.1366270023581826E-3</v>
      </c>
      <c r="H108" s="4">
        <v>-4.7038664715210159E-3</v>
      </c>
      <c r="I108" s="4">
        <v>9.433415533731589E-3</v>
      </c>
      <c r="J108" s="4">
        <v>-1.849246788539783E-2</v>
      </c>
    </row>
    <row r="109" spans="1:10" x14ac:dyDescent="0.3">
      <c r="A109" s="24">
        <v>42157</v>
      </c>
      <c r="B109" s="4">
        <v>386.25</v>
      </c>
      <c r="C109" s="25">
        <f t="shared" si="7"/>
        <v>1.8948623129529274E-2</v>
      </c>
      <c r="D109" s="25">
        <f>$C$2+$D$2*E108+$E$2*E107+$F$2*E106</f>
        <v>9.4937654676957117E-4</v>
      </c>
      <c r="E109" s="4">
        <f t="shared" si="8"/>
        <v>1.7999246582759702E-2</v>
      </c>
      <c r="F109" s="4">
        <f t="shared" si="5"/>
        <v>3.239728775469868E-4</v>
      </c>
      <c r="G109" s="4">
        <f t="shared" si="6"/>
        <v>1.7999246582759702E-2</v>
      </c>
      <c r="H109" s="4">
        <v>3.1366270023581826E-3</v>
      </c>
      <c r="I109" s="4">
        <v>-4.7038664715210159E-3</v>
      </c>
      <c r="J109" s="4">
        <v>9.433415533731589E-3</v>
      </c>
    </row>
    <row r="110" spans="1:10" x14ac:dyDescent="0.3">
      <c r="A110" s="24">
        <v>42158</v>
      </c>
      <c r="B110" s="4">
        <v>387.5</v>
      </c>
      <c r="C110" s="25">
        <f t="shared" si="7"/>
        <v>3.2310205814463089E-3</v>
      </c>
      <c r="D110" s="25">
        <f>$C$2+$D$2*E109+$E$2*E108+$F$2*E107</f>
        <v>1.3022597700765716E-4</v>
      </c>
      <c r="E110" s="4">
        <f t="shared" si="8"/>
        <v>3.1007946044386515E-3</v>
      </c>
      <c r="F110" s="4">
        <f t="shared" si="5"/>
        <v>9.6149271789158529E-6</v>
      </c>
      <c r="G110" s="4">
        <f t="shared" si="6"/>
        <v>3.1007946044386515E-3</v>
      </c>
      <c r="H110" s="4">
        <v>1.7999246582759702E-2</v>
      </c>
      <c r="I110" s="4">
        <v>3.1366270023581826E-3</v>
      </c>
      <c r="J110" s="4">
        <v>-4.7038664715210159E-3</v>
      </c>
    </row>
    <row r="111" spans="1:10" x14ac:dyDescent="0.3">
      <c r="A111" s="24">
        <v>42159</v>
      </c>
      <c r="B111" s="4">
        <v>391.75</v>
      </c>
      <c r="C111" s="25">
        <f t="shared" si="7"/>
        <v>1.0908032442728199E-2</v>
      </c>
      <c r="D111" s="25">
        <f>$C$2+$D$2*E110+$E$2*E109+$F$2*E108</f>
        <v>3.7916427821943287E-4</v>
      </c>
      <c r="E111" s="4">
        <f t="shared" si="8"/>
        <v>1.0528868164508766E-2</v>
      </c>
      <c r="F111" s="4">
        <f t="shared" si="5"/>
        <v>1.108570648256062E-4</v>
      </c>
      <c r="G111" s="4">
        <f t="shared" si="6"/>
        <v>1.0528868164508766E-2</v>
      </c>
      <c r="H111" s="4">
        <v>3.1007946044386515E-3</v>
      </c>
      <c r="I111" s="4">
        <v>1.7999246582759702E-2</v>
      </c>
      <c r="J111" s="4">
        <v>3.1366270023581826E-3</v>
      </c>
    </row>
    <row r="112" spans="1:10" x14ac:dyDescent="0.3">
      <c r="A112" s="24">
        <v>42160</v>
      </c>
      <c r="B112" s="4">
        <v>389</v>
      </c>
      <c r="C112" s="25">
        <f t="shared" si="7"/>
        <v>-7.0445376176841989E-3</v>
      </c>
      <c r="D112" s="25">
        <f>$C$2+$D$2*E111+$E$2*E110+$F$2*E109</f>
        <v>1.9516466371608504E-3</v>
      </c>
      <c r="E112" s="4">
        <f t="shared" si="8"/>
        <v>-8.9961842548450487E-3</v>
      </c>
      <c r="F112" s="4">
        <f t="shared" si="5"/>
        <v>8.0931331147121959E-5</v>
      </c>
      <c r="G112" s="4">
        <f t="shared" si="6"/>
        <v>-8.9961842548450487E-3</v>
      </c>
      <c r="H112" s="4">
        <v>1.0528868164508766E-2</v>
      </c>
      <c r="I112" s="4">
        <v>3.1007946044386515E-3</v>
      </c>
      <c r="J112" s="4">
        <v>1.7999246582759702E-2</v>
      </c>
    </row>
    <row r="113" spans="1:10" x14ac:dyDescent="0.3">
      <c r="A113" s="24">
        <v>42163</v>
      </c>
      <c r="B113" s="4">
        <v>394.25</v>
      </c>
      <c r="C113" s="25">
        <f t="shared" si="7"/>
        <v>1.3405882224701848E-2</v>
      </c>
      <c r="D113" s="25">
        <f>$C$2+$D$2*E112+$E$2*E111+$F$2*E110</f>
        <v>2.6755599832912341E-6</v>
      </c>
      <c r="E113" s="4">
        <f t="shared" si="8"/>
        <v>1.3403206664718557E-2</v>
      </c>
      <c r="F113" s="4">
        <f t="shared" si="5"/>
        <v>1.7964594889715595E-4</v>
      </c>
      <c r="G113" s="4">
        <f t="shared" si="6"/>
        <v>1.3403206664718557E-2</v>
      </c>
      <c r="H113" s="4">
        <v>-8.9961842548450487E-3</v>
      </c>
      <c r="I113" s="4">
        <v>1.0528868164508766E-2</v>
      </c>
      <c r="J113" s="4">
        <v>3.1007946044386515E-3</v>
      </c>
    </row>
    <row r="114" spans="1:10" x14ac:dyDescent="0.3">
      <c r="A114" s="24">
        <v>42164</v>
      </c>
      <c r="B114" s="4">
        <v>394</v>
      </c>
      <c r="C114" s="25">
        <f t="shared" si="7"/>
        <v>-6.3431654521384218E-4</v>
      </c>
      <c r="D114" s="25">
        <f>$C$2+$D$2*E113+$E$2*E112+$F$2*E111</f>
        <v>1.3651575853379128E-3</v>
      </c>
      <c r="E114" s="4">
        <f t="shared" si="8"/>
        <v>-1.999474130551755E-3</v>
      </c>
      <c r="F114" s="4">
        <f t="shared" si="5"/>
        <v>3.9978967987456964E-6</v>
      </c>
      <c r="G114" s="4">
        <f t="shared" si="6"/>
        <v>-1.999474130551755E-3</v>
      </c>
      <c r="H114" s="4">
        <v>1.3403206664718557E-2</v>
      </c>
      <c r="I114" s="4">
        <v>-8.9961842548450487E-3</v>
      </c>
      <c r="J114" s="4">
        <v>1.0528868164508766E-2</v>
      </c>
    </row>
    <row r="115" spans="1:10" x14ac:dyDescent="0.3">
      <c r="A115" s="24">
        <v>42165</v>
      </c>
      <c r="B115" s="4">
        <v>386.5</v>
      </c>
      <c r="C115" s="25">
        <f t="shared" si="7"/>
        <v>-1.9219041270456927E-2</v>
      </c>
      <c r="D115" s="25">
        <f>$C$2+$D$2*E114+$E$2*E113+$F$2*E112</f>
        <v>-8.7477272790471925E-4</v>
      </c>
      <c r="E115" s="4">
        <f t="shared" si="8"/>
        <v>-1.8344268542552208E-2</v>
      </c>
      <c r="F115" s="4">
        <f t="shared" si="5"/>
        <v>3.365121883612705E-4</v>
      </c>
      <c r="G115" s="4">
        <f t="shared" si="6"/>
        <v>-1.8344268542552208E-2</v>
      </c>
      <c r="H115" s="4">
        <v>-1.999474130551755E-3</v>
      </c>
      <c r="I115" s="4">
        <v>1.3403206664718557E-2</v>
      </c>
      <c r="J115" s="4">
        <v>-8.9961842548450487E-3</v>
      </c>
    </row>
    <row r="116" spans="1:10" x14ac:dyDescent="0.3">
      <c r="A116" s="24">
        <v>42166</v>
      </c>
      <c r="B116" s="4">
        <v>385.75</v>
      </c>
      <c r="C116" s="25">
        <f t="shared" si="7"/>
        <v>-1.9423767842070561E-3</v>
      </c>
      <c r="D116" s="25">
        <f>$C$2+$D$2*E115+$E$2*E114+$F$2*E113</f>
        <v>6.4537882969967653E-4</v>
      </c>
      <c r="E116" s="4">
        <f t="shared" si="8"/>
        <v>-2.5877556139067325E-3</v>
      </c>
      <c r="F116" s="4">
        <f t="shared" si="5"/>
        <v>6.6964791173058099E-6</v>
      </c>
      <c r="G116" s="4">
        <f t="shared" si="6"/>
        <v>-2.5877556139067325E-3</v>
      </c>
      <c r="H116" s="4">
        <v>-1.8344268542552208E-2</v>
      </c>
      <c r="I116" s="4">
        <v>-1.999474130551755E-3</v>
      </c>
      <c r="J116" s="4">
        <v>1.3403206664718557E-2</v>
      </c>
    </row>
    <row r="117" spans="1:10" x14ac:dyDescent="0.3">
      <c r="A117" s="24">
        <v>42167</v>
      </c>
      <c r="B117" s="4">
        <v>381</v>
      </c>
      <c r="C117" s="25">
        <f t="shared" si="7"/>
        <v>-1.2390116116568706E-2</v>
      </c>
      <c r="D117" s="25">
        <f>$C$2+$D$2*E116+$E$2*E115+$F$2*E114</f>
        <v>-2.6055814613808409E-4</v>
      </c>
      <c r="E117" s="4">
        <f t="shared" si="8"/>
        <v>-1.2129557970430622E-2</v>
      </c>
      <c r="F117" s="4">
        <f t="shared" si="5"/>
        <v>1.4712617655803704E-4</v>
      </c>
      <c r="G117" s="4">
        <f t="shared" si="6"/>
        <v>-1.2129557970430622E-2</v>
      </c>
      <c r="H117" s="4">
        <v>-2.5877556139067325E-3</v>
      </c>
      <c r="I117" s="4">
        <v>-1.8344268542552208E-2</v>
      </c>
      <c r="J117" s="4">
        <v>-1.999474130551755E-3</v>
      </c>
    </row>
    <row r="118" spans="1:10" x14ac:dyDescent="0.3">
      <c r="A118" s="24">
        <v>42170</v>
      </c>
      <c r="B118" s="4">
        <v>375</v>
      </c>
      <c r="C118" s="25">
        <f t="shared" si="7"/>
        <v>-1.5873349156290573E-2</v>
      </c>
      <c r="D118" s="25">
        <f>$C$2+$D$2*E117+$E$2*E116+$F$2*E115</f>
        <v>-2.0322188861525156E-3</v>
      </c>
      <c r="E118" s="4">
        <f t="shared" si="8"/>
        <v>-1.3841130270138058E-2</v>
      </c>
      <c r="F118" s="4">
        <f t="shared" si="5"/>
        <v>1.9157688715493203E-4</v>
      </c>
      <c r="G118" s="4">
        <f t="shared" si="6"/>
        <v>-1.3841130270138058E-2</v>
      </c>
      <c r="H118" s="4">
        <v>-1.2129557970430622E-2</v>
      </c>
      <c r="I118" s="4">
        <v>-2.5877556139067325E-3</v>
      </c>
      <c r="J118" s="4">
        <v>-1.8344268542552208E-2</v>
      </c>
    </row>
    <row r="119" spans="1:10" x14ac:dyDescent="0.3">
      <c r="A119" s="24">
        <v>42171</v>
      </c>
      <c r="B119" s="4">
        <v>381</v>
      </c>
      <c r="C119" s="25">
        <f t="shared" si="7"/>
        <v>1.5873349156290573E-2</v>
      </c>
      <c r="D119" s="25">
        <f>$C$2+$D$2*E118+$E$2*E117+$F$2*E116</f>
        <v>-6.6094820847130583E-4</v>
      </c>
      <c r="E119" s="4">
        <f t="shared" si="8"/>
        <v>1.6534297364761877E-2</v>
      </c>
      <c r="F119" s="4">
        <f t="shared" si="5"/>
        <v>2.7338298934637156E-4</v>
      </c>
      <c r="G119" s="4">
        <f t="shared" si="6"/>
        <v>1.6534297364761877E-2</v>
      </c>
      <c r="H119" s="4">
        <v>-1.3841130270138058E-2</v>
      </c>
      <c r="I119" s="4">
        <v>-1.2129557970430622E-2</v>
      </c>
      <c r="J119" s="4">
        <v>-2.5877556139067325E-3</v>
      </c>
    </row>
    <row r="120" spans="1:10" x14ac:dyDescent="0.3">
      <c r="A120" s="24">
        <v>42172</v>
      </c>
      <c r="B120" s="4">
        <v>386.25</v>
      </c>
      <c r="C120" s="25">
        <f t="shared" si="7"/>
        <v>1.3685453085254373E-2</v>
      </c>
      <c r="D120" s="25">
        <f>$C$2+$D$2*E119+$E$2*E118+$F$2*E117</f>
        <v>-5.8611221485447965E-4</v>
      </c>
      <c r="E120" s="4">
        <f t="shared" si="8"/>
        <v>1.4271565300108853E-2</v>
      </c>
      <c r="F120" s="4">
        <f t="shared" si="5"/>
        <v>2.0367757611527108E-4</v>
      </c>
      <c r="G120" s="4">
        <f t="shared" si="6"/>
        <v>1.4271565300108853E-2</v>
      </c>
      <c r="H120" s="4">
        <v>1.6534297364761877E-2</v>
      </c>
      <c r="I120" s="4">
        <v>-1.3841130270138058E-2</v>
      </c>
      <c r="J120" s="4">
        <v>-1.2129557970430622E-2</v>
      </c>
    </row>
    <row r="121" spans="1:10" x14ac:dyDescent="0.3">
      <c r="A121" s="24">
        <v>42173</v>
      </c>
      <c r="B121" s="4">
        <v>384.5</v>
      </c>
      <c r="C121" s="25">
        <f t="shared" si="7"/>
        <v>-4.5410392662565968E-3</v>
      </c>
      <c r="D121" s="25">
        <f>$C$2+$D$2*E120+$E$2*E119+$F$2*E118</f>
        <v>-8.1062111523730871E-4</v>
      </c>
      <c r="E121" s="4">
        <f t="shared" si="8"/>
        <v>-3.7304181510192883E-3</v>
      </c>
      <c r="F121" s="4">
        <f t="shared" si="5"/>
        <v>1.3916019581454166E-5</v>
      </c>
      <c r="G121" s="4">
        <f t="shared" si="6"/>
        <v>-3.7304181510192883E-3</v>
      </c>
      <c r="H121" s="4">
        <v>1.4271565300108853E-2</v>
      </c>
      <c r="I121" s="4">
        <v>1.6534297364761877E-2</v>
      </c>
      <c r="J121" s="4">
        <v>-1.3841130270138058E-2</v>
      </c>
    </row>
    <row r="122" spans="1:10" x14ac:dyDescent="0.3">
      <c r="A122" s="24">
        <v>42174</v>
      </c>
      <c r="B122" s="4">
        <v>379.75</v>
      </c>
      <c r="C122" s="25">
        <f t="shared" si="7"/>
        <v>-1.2430647469816591E-2</v>
      </c>
      <c r="D122" s="25">
        <f>$C$2+$D$2*E121+$E$2*E120+$F$2*E119</f>
        <v>1.3792760594648222E-3</v>
      </c>
      <c r="E122" s="4">
        <f t="shared" si="8"/>
        <v>-1.3809923529281414E-2</v>
      </c>
      <c r="F122" s="4">
        <f t="shared" si="5"/>
        <v>1.9071398788460042E-4</v>
      </c>
      <c r="G122" s="4">
        <f t="shared" si="6"/>
        <v>-1.3809923529281414E-2</v>
      </c>
      <c r="H122" s="4">
        <v>-3.7304181510192883E-3</v>
      </c>
      <c r="I122" s="4">
        <v>1.4271565300108853E-2</v>
      </c>
      <c r="J122" s="4">
        <v>1.6534297364761877E-2</v>
      </c>
    </row>
    <row r="123" spans="1:10" x14ac:dyDescent="0.3">
      <c r="A123" s="24">
        <v>42177</v>
      </c>
      <c r="B123" s="4">
        <v>385</v>
      </c>
      <c r="C123" s="25">
        <f t="shared" si="7"/>
        <v>1.3730192811902242E-2</v>
      </c>
      <c r="D123" s="25">
        <f>$C$2+$D$2*E122+$E$2*E121+$F$2*E120</f>
        <v>8.6376790895808858E-4</v>
      </c>
      <c r="E123" s="4">
        <f t="shared" si="8"/>
        <v>1.2866424902944153E-2</v>
      </c>
      <c r="F123" s="4">
        <f t="shared" si="5"/>
        <v>1.6554488978310145E-4</v>
      </c>
      <c r="G123" s="4">
        <f t="shared" si="6"/>
        <v>1.2866424902944153E-2</v>
      </c>
      <c r="H123" s="4">
        <v>-1.3809923529281414E-2</v>
      </c>
      <c r="I123" s="4">
        <v>-3.7304181510192883E-3</v>
      </c>
      <c r="J123" s="4">
        <v>1.4271565300108853E-2</v>
      </c>
    </row>
    <row r="124" spans="1:10" x14ac:dyDescent="0.3">
      <c r="A124" s="24">
        <v>42178</v>
      </c>
      <c r="B124" s="4">
        <v>392.5</v>
      </c>
      <c r="C124" s="25">
        <f t="shared" si="7"/>
        <v>1.9293202934678177E-2</v>
      </c>
      <c r="D124" s="25">
        <f>$C$2+$D$2*E123+$E$2*E122+$F$2*E121</f>
        <v>5.9834371143257278E-5</v>
      </c>
      <c r="E124" s="4">
        <f t="shared" si="8"/>
        <v>1.9233368563534921E-2</v>
      </c>
      <c r="F124" s="4">
        <f t="shared" si="5"/>
        <v>3.6992246630077334E-4</v>
      </c>
      <c r="G124" s="4">
        <f t="shared" si="6"/>
        <v>1.9233368563534921E-2</v>
      </c>
      <c r="H124" s="4">
        <v>1.2866424902944153E-2</v>
      </c>
      <c r="I124" s="4">
        <v>-1.3809923529281414E-2</v>
      </c>
      <c r="J124" s="4">
        <v>-3.7304181510192883E-3</v>
      </c>
    </row>
    <row r="125" spans="1:10" x14ac:dyDescent="0.3">
      <c r="A125" s="24">
        <v>42179</v>
      </c>
      <c r="B125" s="4">
        <v>391.5</v>
      </c>
      <c r="C125" s="25">
        <f t="shared" si="7"/>
        <v>-2.551021791605379E-3</v>
      </c>
      <c r="D125" s="25">
        <f>$C$2+$D$2*E124+$E$2*E123+$F$2*E122</f>
        <v>-6.5470506260940063E-4</v>
      </c>
      <c r="E125" s="4">
        <f t="shared" si="8"/>
        <v>-1.8963167289959785E-3</v>
      </c>
      <c r="F125" s="4">
        <f t="shared" si="5"/>
        <v>3.5960171366700072E-6</v>
      </c>
      <c r="G125" s="4">
        <f t="shared" si="6"/>
        <v>-1.8963167289959785E-3</v>
      </c>
      <c r="H125" s="4">
        <v>1.9233368563534921E-2</v>
      </c>
      <c r="I125" s="4">
        <v>1.2866424902944153E-2</v>
      </c>
      <c r="J125" s="4">
        <v>-1.3809923529281414E-2</v>
      </c>
    </row>
    <row r="126" spans="1:10" x14ac:dyDescent="0.3">
      <c r="A126" s="24">
        <v>42180</v>
      </c>
      <c r="B126" s="4">
        <v>403</v>
      </c>
      <c r="C126" s="25">
        <f t="shared" si="7"/>
        <v>2.8951046515825141E-2</v>
      </c>
      <c r="D126" s="25">
        <f>$C$2+$D$2*E125+$E$2*E124+$F$2*E123</f>
        <v>1.1043629252030407E-3</v>
      </c>
      <c r="E126" s="4">
        <f t="shared" si="8"/>
        <v>2.78466835906221E-2</v>
      </c>
      <c r="F126" s="4">
        <f t="shared" si="5"/>
        <v>7.7543778699622212E-4</v>
      </c>
      <c r="G126" s="4">
        <f t="shared" si="6"/>
        <v>2.78466835906221E-2</v>
      </c>
      <c r="H126" s="4">
        <v>-1.8963167289959785E-3</v>
      </c>
      <c r="I126" s="4">
        <v>1.9233368563534921E-2</v>
      </c>
      <c r="J126" s="4">
        <v>1.2866424902944153E-2</v>
      </c>
    </row>
    <row r="127" spans="1:10" x14ac:dyDescent="0.3">
      <c r="A127" s="24">
        <v>42181</v>
      </c>
      <c r="B127" s="4">
        <v>412.75</v>
      </c>
      <c r="C127" s="25">
        <f t="shared" si="7"/>
        <v>2.3905520853555018E-2</v>
      </c>
      <c r="D127" s="25">
        <f>$C$2+$D$2*E126+$E$2*E125+$F$2*E124</f>
        <v>2.5975253235809527E-3</v>
      </c>
      <c r="E127" s="4">
        <f t="shared" si="8"/>
        <v>2.1307995529974064E-2</v>
      </c>
      <c r="F127" s="4">
        <f t="shared" si="5"/>
        <v>4.540306735053947E-4</v>
      </c>
      <c r="G127" s="4">
        <f t="shared" si="6"/>
        <v>2.1307995529974064E-2</v>
      </c>
      <c r="H127" s="4">
        <v>2.78466835906221E-2</v>
      </c>
      <c r="I127" s="4">
        <v>-1.8963167289959785E-3</v>
      </c>
      <c r="J127" s="4">
        <v>1.9233368563534921E-2</v>
      </c>
    </row>
    <row r="128" spans="1:10" x14ac:dyDescent="0.3">
      <c r="A128" s="24">
        <v>42184</v>
      </c>
      <c r="B128" s="4">
        <v>412.5</v>
      </c>
      <c r="C128" s="25">
        <f t="shared" si="7"/>
        <v>-6.0587702550218836E-4</v>
      </c>
      <c r="D128" s="25">
        <f>$C$2+$D$2*E127+$E$2*E126+$F$2*E125</f>
        <v>4.860644948676548E-4</v>
      </c>
      <c r="E128" s="4">
        <f t="shared" si="8"/>
        <v>-1.0919415203698431E-3</v>
      </c>
      <c r="F128" s="4">
        <f t="shared" si="5"/>
        <v>1.1923362839076043E-6</v>
      </c>
      <c r="G128" s="4">
        <f t="shared" si="6"/>
        <v>-1.0919415203698431E-3</v>
      </c>
      <c r="H128" s="4">
        <v>2.1307995529974064E-2</v>
      </c>
      <c r="I128" s="4">
        <v>2.78466835906221E-2</v>
      </c>
      <c r="J128" s="4">
        <v>-1.8963167289959785E-3</v>
      </c>
    </row>
    <row r="129" spans="1:10" x14ac:dyDescent="0.3">
      <c r="A129" s="24">
        <v>42185</v>
      </c>
      <c r="B129" s="4">
        <v>440.75</v>
      </c>
      <c r="C129" s="25">
        <f t="shared" si="7"/>
        <v>6.6241615503244589E-2</v>
      </c>
      <c r="D129" s="25">
        <f>$C$2+$D$2*E128+$E$2*E127+$F$2*E126</f>
        <v>2.4831045056370564E-3</v>
      </c>
      <c r="E129" s="4">
        <f t="shared" si="8"/>
        <v>6.3758510997607529E-2</v>
      </c>
      <c r="F129" s="4">
        <f t="shared" si="5"/>
        <v>4.06514772463204E-3</v>
      </c>
      <c r="G129" s="4">
        <f t="shared" si="6"/>
        <v>6.3758510997607529E-2</v>
      </c>
      <c r="H129" s="4">
        <v>-1.0919415203698431E-3</v>
      </c>
      <c r="I129" s="4">
        <v>2.1307995529974064E-2</v>
      </c>
      <c r="J129" s="4">
        <v>2.78466835906221E-2</v>
      </c>
    </row>
    <row r="130" spans="1:10" x14ac:dyDescent="0.3">
      <c r="A130" s="24">
        <v>42186</v>
      </c>
      <c r="B130" s="4">
        <v>441.5</v>
      </c>
      <c r="C130" s="25">
        <f t="shared" si="7"/>
        <v>1.7001987660343332E-3</v>
      </c>
      <c r="D130" s="25">
        <f>$C$2+$D$2*E129+$E$2*E128+$F$2*E127</f>
        <v>3.8930842317129967E-3</v>
      </c>
      <c r="E130" s="4">
        <f t="shared" si="8"/>
        <v>-2.1928854656786635E-3</v>
      </c>
      <c r="F130" s="4">
        <f t="shared" si="5"/>
        <v>4.8087466655847284E-6</v>
      </c>
      <c r="G130" s="4">
        <f t="shared" si="6"/>
        <v>-2.1928854656786635E-3</v>
      </c>
      <c r="H130" s="4">
        <v>6.3758510997607529E-2</v>
      </c>
      <c r="I130" s="4">
        <v>-1.0919415203698431E-3</v>
      </c>
      <c r="J130" s="4">
        <v>2.1307995529974064E-2</v>
      </c>
    </row>
    <row r="131" spans="1:10" x14ac:dyDescent="0.3">
      <c r="A131" s="24">
        <v>42187</v>
      </c>
      <c r="B131" s="4">
        <v>446.5</v>
      </c>
      <c r="C131" s="25">
        <f t="shared" si="7"/>
        <v>1.1261380272538979E-2</v>
      </c>
      <c r="D131" s="25">
        <f>$C$2+$D$2*E130+$E$2*E129+$F$2*E128</f>
        <v>-1.6635127872320735E-4</v>
      </c>
      <c r="E131" s="4">
        <f t="shared" si="8"/>
        <v>1.1427731551262187E-2</v>
      </c>
      <c r="F131" s="4">
        <f t="shared" si="5"/>
        <v>1.3059304840771328E-4</v>
      </c>
      <c r="G131" s="4">
        <f t="shared" si="6"/>
        <v>1.1427731551262187E-2</v>
      </c>
      <c r="H131" s="4">
        <v>-2.1928854656786635E-3</v>
      </c>
      <c r="I131" s="4">
        <v>6.3758510997607529E-2</v>
      </c>
      <c r="J131" s="4">
        <v>-1.0919415203698431E-3</v>
      </c>
    </row>
    <row r="132" spans="1:10" x14ac:dyDescent="0.3">
      <c r="A132" s="24">
        <v>42191</v>
      </c>
      <c r="B132" s="4">
        <v>444.5</v>
      </c>
      <c r="C132" s="25">
        <f t="shared" si="7"/>
        <v>-4.4893453625940438E-3</v>
      </c>
      <c r="D132" s="25">
        <f>$C$2+$D$2*E131+$E$2*E130+$F$2*E129</f>
        <v>6.1151244382236522E-3</v>
      </c>
      <c r="E132" s="4">
        <f t="shared" si="8"/>
        <v>-1.0604469800817695E-2</v>
      </c>
      <c r="F132" s="4">
        <f t="shared" si="5"/>
        <v>1.1245477975645449E-4</v>
      </c>
      <c r="G132" s="4">
        <f t="shared" si="6"/>
        <v>-1.0604469800817695E-2</v>
      </c>
      <c r="H132" s="4">
        <v>1.1427731551262187E-2</v>
      </c>
      <c r="I132" s="4">
        <v>-2.1928854656786635E-3</v>
      </c>
      <c r="J132" s="4">
        <v>6.3758510997607529E-2</v>
      </c>
    </row>
    <row r="133" spans="1:10" x14ac:dyDescent="0.3">
      <c r="A133" s="24">
        <v>42192</v>
      </c>
      <c r="B133" s="4">
        <v>442.75</v>
      </c>
      <c r="C133" s="25">
        <f t="shared" si="7"/>
        <v>-3.9447782910162488E-3</v>
      </c>
      <c r="D133" s="25">
        <f>$C$2+$D$2*E132+$E$2*E131+$F$2*E130</f>
        <v>-5.253930680687572E-4</v>
      </c>
      <c r="E133" s="4">
        <f t="shared" si="8"/>
        <v>-3.4193852229474917E-3</v>
      </c>
      <c r="F133" s="4">
        <f t="shared" si="5"/>
        <v>1.1692195302911668E-5</v>
      </c>
      <c r="G133" s="4">
        <f t="shared" si="6"/>
        <v>-3.4193852229474917E-3</v>
      </c>
      <c r="H133" s="4">
        <v>-1.0604469800817695E-2</v>
      </c>
      <c r="I133" s="4">
        <v>1.1427731551262187E-2</v>
      </c>
      <c r="J133" s="4">
        <v>-2.1928854656786635E-3</v>
      </c>
    </row>
    <row r="134" spans="1:10" x14ac:dyDescent="0.3">
      <c r="A134" s="24">
        <v>42193</v>
      </c>
      <c r="B134" s="4">
        <v>444</v>
      </c>
      <c r="C134" s="25">
        <f t="shared" si="7"/>
        <v>2.8192857692816986E-3</v>
      </c>
      <c r="D134" s="25">
        <f>$C$2+$D$2*E133+$E$2*E132+$F$2*E131</f>
        <v>9.2733914089187641E-4</v>
      </c>
      <c r="E134" s="4">
        <f t="shared" si="8"/>
        <v>1.8919466283898222E-3</v>
      </c>
      <c r="F134" s="4">
        <f t="shared" si="5"/>
        <v>3.5794620446756161E-6</v>
      </c>
      <c r="G134" s="4">
        <f t="shared" si="6"/>
        <v>1.8919466283898222E-3</v>
      </c>
      <c r="H134" s="4">
        <v>-3.4193852229474917E-3</v>
      </c>
      <c r="I134" s="4">
        <v>-1.0604469800817695E-2</v>
      </c>
      <c r="J134" s="4">
        <v>1.1427731551262187E-2</v>
      </c>
    </row>
    <row r="135" spans="1:10" x14ac:dyDescent="0.3">
      <c r="A135" s="24">
        <v>42194</v>
      </c>
      <c r="B135" s="4">
        <v>449</v>
      </c>
      <c r="C135" s="25">
        <f t="shared" si="7"/>
        <v>1.1198325310029844E-2</v>
      </c>
      <c r="D135" s="25">
        <f>$C$2+$D$2*E134+$E$2*E133+$F$2*E132</f>
        <v>-9.0006121329543737E-4</v>
      </c>
      <c r="E135" s="4">
        <f t="shared" si="8"/>
        <v>1.2098386523325282E-2</v>
      </c>
      <c r="F135" s="4">
        <f t="shared" si="5"/>
        <v>1.4637095646777878E-4</v>
      </c>
      <c r="G135" s="4">
        <f t="shared" si="6"/>
        <v>1.2098386523325282E-2</v>
      </c>
      <c r="H135" s="4">
        <v>1.8919466283898222E-3</v>
      </c>
      <c r="I135" s="4">
        <v>-3.4193852229474917E-3</v>
      </c>
      <c r="J135" s="4">
        <v>-1.0604469800817695E-2</v>
      </c>
    </row>
    <row r="136" spans="1:10" x14ac:dyDescent="0.3">
      <c r="A136" s="24">
        <v>42195</v>
      </c>
      <c r="B136" s="4">
        <v>454.75</v>
      </c>
      <c r="C136" s="25">
        <f t="shared" si="7"/>
        <v>1.272492965597749E-2</v>
      </c>
      <c r="D136" s="25">
        <f>$C$2+$D$2*E135+$E$2*E134+$F$2*E133</f>
        <v>6.4247981317448115E-5</v>
      </c>
      <c r="E136" s="4">
        <f t="shared" si="8"/>
        <v>1.2660681674660043E-2</v>
      </c>
      <c r="F136" s="4">
        <f t="shared" ref="F136:F199" si="9">E136^2</f>
        <v>1.6029286046707262E-4</v>
      </c>
      <c r="G136" s="4">
        <f t="shared" si="6"/>
        <v>1.2660681674660043E-2</v>
      </c>
      <c r="H136" s="4">
        <v>1.2098386523325282E-2</v>
      </c>
      <c r="I136" s="4">
        <v>1.8919466283898222E-3</v>
      </c>
      <c r="J136" s="4">
        <v>-3.4193852229474917E-3</v>
      </c>
    </row>
    <row r="137" spans="1:10" x14ac:dyDescent="0.3">
      <c r="A137" s="24">
        <v>42198</v>
      </c>
      <c r="B137" s="4">
        <v>461.75</v>
      </c>
      <c r="C137" s="25">
        <f t="shared" si="7"/>
        <v>1.5275801681116974E-2</v>
      </c>
      <c r="D137" s="25">
        <f>$C$2+$D$2*E136+$E$2*E135+$F$2*E134</f>
        <v>5.6163813463385468E-4</v>
      </c>
      <c r="E137" s="4">
        <f t="shared" si="8"/>
        <v>1.471416354648312E-2</v>
      </c>
      <c r="F137" s="4">
        <f t="shared" si="9"/>
        <v>2.165066088726527E-4</v>
      </c>
      <c r="G137" s="4">
        <f t="shared" ref="G137:G200" si="10">E137</f>
        <v>1.471416354648312E-2</v>
      </c>
      <c r="H137" s="4">
        <v>1.2660681674660043E-2</v>
      </c>
      <c r="I137" s="4">
        <v>1.2098386523325282E-2</v>
      </c>
      <c r="J137" s="4">
        <v>1.8919466283898222E-3</v>
      </c>
    </row>
    <row r="138" spans="1:10" x14ac:dyDescent="0.3">
      <c r="A138" s="24">
        <v>42199</v>
      </c>
      <c r="B138" s="4">
        <v>449</v>
      </c>
      <c r="C138" s="25">
        <f t="shared" ref="C138:C201" si="11">LN(B138)-LN(B137)</f>
        <v>-2.8000731337094464E-2</v>
      </c>
      <c r="D138" s="25">
        <f>$C$2+$D$2*E137+$E$2*E136+$F$2*E135</f>
        <v>1.5474607276936771E-3</v>
      </c>
      <c r="E138" s="4">
        <f t="shared" si="8"/>
        <v>-2.9548192064788141E-2</v>
      </c>
      <c r="F138" s="4">
        <f t="shared" si="9"/>
        <v>8.7309565429760888E-4</v>
      </c>
      <c r="G138" s="4">
        <f t="shared" si="10"/>
        <v>-2.9548192064788141E-2</v>
      </c>
      <c r="H138" s="4">
        <v>1.471416354648312E-2</v>
      </c>
      <c r="I138" s="4">
        <v>1.2660681674660043E-2</v>
      </c>
      <c r="J138" s="4">
        <v>1.2098386523325282E-2</v>
      </c>
    </row>
    <row r="139" spans="1:10" x14ac:dyDescent="0.3">
      <c r="A139" s="24">
        <v>42200</v>
      </c>
      <c r="B139" s="4">
        <v>450.5</v>
      </c>
      <c r="C139" s="25">
        <f t="shared" si="11"/>
        <v>3.3351893061377424E-3</v>
      </c>
      <c r="D139" s="25">
        <f>$C$2+$D$2*E138+$E$2*E137+$F$2*E136</f>
        <v>2.3257397383607203E-4</v>
      </c>
      <c r="E139" s="4">
        <f t="shared" si="8"/>
        <v>3.1026153323016705E-3</v>
      </c>
      <c r="F139" s="4">
        <f t="shared" si="9"/>
        <v>9.6262219002334047E-6</v>
      </c>
      <c r="G139" s="4">
        <f t="shared" si="10"/>
        <v>3.1026153323016705E-3</v>
      </c>
      <c r="H139" s="4">
        <v>-2.9548192064788141E-2</v>
      </c>
      <c r="I139" s="4">
        <v>1.471416354648312E-2</v>
      </c>
      <c r="J139" s="4">
        <v>1.2660681674660043E-2</v>
      </c>
    </row>
    <row r="140" spans="1:10" x14ac:dyDescent="0.3">
      <c r="A140" s="24">
        <v>42201</v>
      </c>
      <c r="B140" s="4">
        <v>451</v>
      </c>
      <c r="C140" s="25">
        <f t="shared" si="11"/>
        <v>1.1092624542863305E-3</v>
      </c>
      <c r="D140" s="25">
        <f>$C$2+$D$2*E139+$E$2*E138+$F$2*E137</f>
        <v>1.4256035757720543E-3</v>
      </c>
      <c r="E140" s="4">
        <f t="shared" si="8"/>
        <v>-3.1634112148572376E-4</v>
      </c>
      <c r="F140" s="4">
        <f t="shared" si="9"/>
        <v>1.0007170514284544E-7</v>
      </c>
      <c r="G140" s="4">
        <f t="shared" si="10"/>
        <v>-3.1634112148572376E-4</v>
      </c>
      <c r="H140" s="4">
        <v>3.1026153323016705E-3</v>
      </c>
      <c r="I140" s="4">
        <v>-2.9548192064788141E-2</v>
      </c>
      <c r="J140" s="4">
        <v>1.471416354648312E-2</v>
      </c>
    </row>
    <row r="141" spans="1:10" x14ac:dyDescent="0.3">
      <c r="A141" s="24">
        <v>42202</v>
      </c>
      <c r="B141" s="4">
        <v>441.5</v>
      </c>
      <c r="C141" s="25">
        <f t="shared" si="11"/>
        <v>-2.1289319458664302E-2</v>
      </c>
      <c r="D141" s="25">
        <f>$C$2+$D$2*E140+$E$2*E139+$F$2*E138</f>
        <v>-2.6803399451245055E-3</v>
      </c>
      <c r="E141" s="4">
        <f t="shared" si="8"/>
        <v>-1.8608979513539795E-2</v>
      </c>
      <c r="F141" s="4">
        <f t="shared" si="9"/>
        <v>3.4629411853534379E-4</v>
      </c>
      <c r="G141" s="4">
        <f t="shared" si="10"/>
        <v>-1.8608979513539795E-2</v>
      </c>
      <c r="H141" s="4">
        <v>-3.1634112148572376E-4</v>
      </c>
      <c r="I141" s="4">
        <v>3.1026153323016705E-3</v>
      </c>
      <c r="J141" s="4">
        <v>-2.9548192064788141E-2</v>
      </c>
    </row>
    <row r="142" spans="1:10" x14ac:dyDescent="0.3">
      <c r="A142" s="24">
        <v>42205</v>
      </c>
      <c r="B142" s="4">
        <v>426.25</v>
      </c>
      <c r="C142" s="25">
        <f t="shared" si="11"/>
        <v>-3.5151991446287667E-2</v>
      </c>
      <c r="D142" s="25">
        <f>$C$2+$D$2*E141+$E$2*E140+$F$2*E139</f>
        <v>-2.9376100025306745E-4</v>
      </c>
      <c r="E142" s="4">
        <f t="shared" si="8"/>
        <v>-3.4858230446034602E-2</v>
      </c>
      <c r="F142" s="4">
        <f t="shared" si="9"/>
        <v>1.2150962298288538E-3</v>
      </c>
      <c r="G142" s="4">
        <f t="shared" si="10"/>
        <v>-3.4858230446034602E-2</v>
      </c>
      <c r="H142" s="4">
        <v>-1.8608979513539795E-2</v>
      </c>
      <c r="I142" s="4">
        <v>-3.1634112148572376E-4</v>
      </c>
      <c r="J142" s="4">
        <v>3.1026153323016705E-3</v>
      </c>
    </row>
    <row r="143" spans="1:10" x14ac:dyDescent="0.3">
      <c r="A143" s="24">
        <v>42206</v>
      </c>
      <c r="B143" s="4">
        <v>427.75</v>
      </c>
      <c r="C143" s="25">
        <f t="shared" si="11"/>
        <v>3.5128841745759587E-3</v>
      </c>
      <c r="D143" s="25">
        <f>$C$2+$D$2*E142+$E$2*E141+$F$2*E140</f>
        <v>-1.104135668280107E-3</v>
      </c>
      <c r="E143" s="4">
        <f t="shared" si="8"/>
        <v>4.6170198428560662E-3</v>
      </c>
      <c r="F143" s="4">
        <f t="shared" si="9"/>
        <v>2.1316872229326655E-5</v>
      </c>
      <c r="G143" s="4">
        <f t="shared" si="10"/>
        <v>4.6170198428560662E-3</v>
      </c>
      <c r="H143" s="4">
        <v>-3.4858230446034602E-2</v>
      </c>
      <c r="I143" s="4">
        <v>-1.8608979513539795E-2</v>
      </c>
      <c r="J143" s="4">
        <v>-3.1634112148572376E-4</v>
      </c>
    </row>
    <row r="144" spans="1:10" x14ac:dyDescent="0.3">
      <c r="A144" s="24">
        <v>42207</v>
      </c>
      <c r="B144" s="4">
        <v>423.5</v>
      </c>
      <c r="C144" s="25">
        <f t="shared" si="11"/>
        <v>-9.9853986801932137E-3</v>
      </c>
      <c r="D144" s="25">
        <f>$C$2+$D$2*E143+$E$2*E142+$F$2*E141</f>
        <v>-1.5394308534115424E-3</v>
      </c>
      <c r="E144" s="4">
        <f t="shared" si="8"/>
        <v>-8.4459678267816713E-3</v>
      </c>
      <c r="F144" s="4">
        <f t="shared" si="9"/>
        <v>7.1334372531031107E-5</v>
      </c>
      <c r="G144" s="4">
        <f t="shared" si="10"/>
        <v>-8.4459678267816713E-3</v>
      </c>
      <c r="H144" s="4">
        <v>4.6170198428560662E-3</v>
      </c>
      <c r="I144" s="4">
        <v>-3.4858230446034602E-2</v>
      </c>
      <c r="J144" s="4">
        <v>-1.8608979513539795E-2</v>
      </c>
    </row>
    <row r="145" spans="1:10" x14ac:dyDescent="0.3">
      <c r="A145" s="24">
        <v>42208</v>
      </c>
      <c r="B145" s="4">
        <v>423.5</v>
      </c>
      <c r="C145" s="25">
        <f t="shared" si="11"/>
        <v>0</v>
      </c>
      <c r="D145" s="25">
        <f>$C$2+$D$2*E144+$E$2*E143+$F$2*E142</f>
        <v>-3.4111018871880528E-3</v>
      </c>
      <c r="E145" s="4">
        <f t="shared" si="8"/>
        <v>3.4111018871880528E-3</v>
      </c>
      <c r="F145" s="4">
        <f t="shared" si="9"/>
        <v>1.1635616084777896E-5</v>
      </c>
      <c r="G145" s="4">
        <f t="shared" si="10"/>
        <v>3.4111018871880528E-3</v>
      </c>
      <c r="H145" s="4">
        <v>-8.4459678267816713E-3</v>
      </c>
      <c r="I145" s="4">
        <v>4.6170198428560662E-3</v>
      </c>
      <c r="J145" s="4">
        <v>-3.4858230446034602E-2</v>
      </c>
    </row>
    <row r="146" spans="1:10" x14ac:dyDescent="0.3">
      <c r="A146" s="24">
        <v>42209</v>
      </c>
      <c r="B146" s="4">
        <v>412.75</v>
      </c>
      <c r="C146" s="25">
        <f t="shared" si="11"/>
        <v>-2.5711431291871811E-2</v>
      </c>
      <c r="D146" s="25">
        <f>$C$2+$D$2*E145+$E$2*E144+$F$2*E143</f>
        <v>5.2253734634195436E-4</v>
      </c>
      <c r="E146" s="4">
        <f t="shared" si="8"/>
        <v>-2.6233968638213766E-2</v>
      </c>
      <c r="F146" s="4">
        <f t="shared" si="9"/>
        <v>6.882211105107835E-4</v>
      </c>
      <c r="G146" s="4">
        <f t="shared" si="10"/>
        <v>-2.6233968638213766E-2</v>
      </c>
      <c r="H146" s="4">
        <v>3.4111018871880528E-3</v>
      </c>
      <c r="I146" s="4">
        <v>-8.4459678267816713E-3</v>
      </c>
      <c r="J146" s="4">
        <v>4.6170198428560662E-3</v>
      </c>
    </row>
    <row r="147" spans="1:10" x14ac:dyDescent="0.3">
      <c r="A147" s="24">
        <v>42212</v>
      </c>
      <c r="B147" s="4">
        <v>394.25</v>
      </c>
      <c r="C147" s="25">
        <f t="shared" si="11"/>
        <v>-4.5856856957089853E-2</v>
      </c>
      <c r="D147" s="25">
        <f>$C$2+$D$2*E146+$E$2*E145+$F$2*E144</f>
        <v>-1.5727950066506636E-3</v>
      </c>
      <c r="E147" s="4">
        <f t="shared" si="8"/>
        <v>-4.4284061950439192E-2</v>
      </c>
      <c r="F147" s="4">
        <f t="shared" si="9"/>
        <v>1.9610781428303363E-3</v>
      </c>
      <c r="G147" s="4">
        <f t="shared" si="10"/>
        <v>-4.4284061950439192E-2</v>
      </c>
      <c r="H147" s="4">
        <v>-2.6233968638213766E-2</v>
      </c>
      <c r="I147" s="4">
        <v>3.4111018871880528E-3</v>
      </c>
      <c r="J147" s="4">
        <v>-8.4459678267816713E-3</v>
      </c>
    </row>
    <row r="148" spans="1:10" x14ac:dyDescent="0.3">
      <c r="A148" s="24">
        <v>42213</v>
      </c>
      <c r="B148" s="4">
        <v>396.5</v>
      </c>
      <c r="C148" s="25">
        <f t="shared" si="11"/>
        <v>5.6908152317545202E-3</v>
      </c>
      <c r="D148" s="25">
        <f>$C$2+$D$2*E147+$E$2*E146+$F$2*E145</f>
        <v>-1.0580800258869279E-3</v>
      </c>
      <c r="E148" s="4">
        <f t="shared" si="8"/>
        <v>6.7488952576414477E-3</v>
      </c>
      <c r="F148" s="4">
        <f t="shared" si="9"/>
        <v>4.5547587198615221E-5</v>
      </c>
      <c r="G148" s="4">
        <f t="shared" si="10"/>
        <v>6.7488952576414477E-3</v>
      </c>
      <c r="H148" s="4">
        <v>-4.4284061950439192E-2</v>
      </c>
      <c r="I148" s="4">
        <v>-2.6233968638213766E-2</v>
      </c>
      <c r="J148" s="4">
        <v>3.4111018871880528E-3</v>
      </c>
    </row>
    <row r="149" spans="1:10" x14ac:dyDescent="0.3">
      <c r="A149" s="24">
        <v>42214</v>
      </c>
      <c r="B149" s="4">
        <v>389</v>
      </c>
      <c r="C149" s="25">
        <f t="shared" si="11"/>
        <v>-1.9096697456456369E-2</v>
      </c>
      <c r="D149" s="25">
        <f>$C$2+$D$2*E148+$E$2*E147+$F$2*E146</f>
        <v>-2.1628022613477994E-3</v>
      </c>
      <c r="E149" s="4">
        <f t="shared" ref="E149:E212" si="12">C149-D149</f>
        <v>-1.6933895195108569E-2</v>
      </c>
      <c r="F149" s="4">
        <f t="shared" si="9"/>
        <v>2.8675680647892107E-4</v>
      </c>
      <c r="G149" s="4">
        <f t="shared" si="10"/>
        <v>-1.6933895195108569E-2</v>
      </c>
      <c r="H149" s="4">
        <v>6.7488952576414477E-3</v>
      </c>
      <c r="I149" s="4">
        <v>-4.4284061950439192E-2</v>
      </c>
      <c r="J149" s="4">
        <v>-2.6233968638213766E-2</v>
      </c>
    </row>
    <row r="150" spans="1:10" x14ac:dyDescent="0.3">
      <c r="A150" s="24">
        <v>42215</v>
      </c>
      <c r="B150" s="4">
        <v>394.75</v>
      </c>
      <c r="C150" s="25">
        <f t="shared" si="11"/>
        <v>1.4673309517305277E-2</v>
      </c>
      <c r="D150" s="25">
        <f>$C$2+$D$2*E149+$E$2*E148+$F$2*E147</f>
        <v>-4.5249064238543036E-3</v>
      </c>
      <c r="E150" s="4">
        <f t="shared" si="12"/>
        <v>1.9198215941159582E-2</v>
      </c>
      <c r="F150" s="4">
        <f t="shared" si="9"/>
        <v>3.6857149532339389E-4</v>
      </c>
      <c r="G150" s="4">
        <f t="shared" si="10"/>
        <v>1.9198215941159582E-2</v>
      </c>
      <c r="H150" s="4">
        <v>-1.6933895195108569E-2</v>
      </c>
      <c r="I150" s="4">
        <v>6.7488952576414477E-3</v>
      </c>
      <c r="J150" s="4">
        <v>-4.4284061950439192E-2</v>
      </c>
    </row>
    <row r="151" spans="1:10" x14ac:dyDescent="0.3">
      <c r="A151" s="24">
        <v>42216</v>
      </c>
      <c r="B151" s="4">
        <v>392</v>
      </c>
      <c r="C151" s="25">
        <f t="shared" si="11"/>
        <v>-6.9908133452889487E-3</v>
      </c>
      <c r="D151" s="25">
        <f>$C$2+$D$2*E150+$E$2*E149+$F$2*E148</f>
        <v>1.2023258808153798E-3</v>
      </c>
      <c r="E151" s="4">
        <f t="shared" si="12"/>
        <v>-8.1931392261043283E-3</v>
      </c>
      <c r="F151" s="4">
        <f t="shared" si="9"/>
        <v>6.7127530378329427E-5</v>
      </c>
      <c r="G151" s="4">
        <f t="shared" si="10"/>
        <v>-8.1931392261043283E-3</v>
      </c>
      <c r="H151" s="4">
        <v>1.9198215941159582E-2</v>
      </c>
      <c r="I151" s="4">
        <v>-1.6933895195108569E-2</v>
      </c>
      <c r="J151" s="4">
        <v>6.7488952576414477E-3</v>
      </c>
    </row>
    <row r="152" spans="1:10" x14ac:dyDescent="0.3">
      <c r="A152" s="24">
        <v>42219</v>
      </c>
      <c r="B152" s="4">
        <v>387.25</v>
      </c>
      <c r="C152" s="25">
        <f t="shared" si="11"/>
        <v>-1.219136049348446E-2</v>
      </c>
      <c r="D152" s="25">
        <f>$C$2+$D$2*E151+$E$2*E150+$F$2*E149</f>
        <v>-1.7832911765600218E-3</v>
      </c>
      <c r="E152" s="4">
        <f t="shared" si="12"/>
        <v>-1.0408069316924439E-2</v>
      </c>
      <c r="F152" s="4">
        <f t="shared" si="9"/>
        <v>1.0832790690590395E-4</v>
      </c>
      <c r="G152" s="4">
        <f t="shared" si="10"/>
        <v>-1.0408069316924439E-2</v>
      </c>
      <c r="H152" s="4">
        <v>-8.1931392261043283E-3</v>
      </c>
      <c r="I152" s="4">
        <v>1.9198215941159582E-2</v>
      </c>
      <c r="J152" s="4">
        <v>-1.6933895195108569E-2</v>
      </c>
    </row>
    <row r="153" spans="1:10" x14ac:dyDescent="0.3">
      <c r="A153" s="24">
        <v>42220</v>
      </c>
      <c r="B153" s="4">
        <v>389.75</v>
      </c>
      <c r="C153" s="25">
        <f t="shared" si="11"/>
        <v>6.4350286409080582E-3</v>
      </c>
      <c r="D153" s="25">
        <f>$C$2+$D$2*E152+$E$2*E151+$F$2*E150</f>
        <v>1.4140044949704201E-3</v>
      </c>
      <c r="E153" s="4">
        <f t="shared" si="12"/>
        <v>5.0210241459376376E-3</v>
      </c>
      <c r="F153" s="4">
        <f t="shared" si="9"/>
        <v>2.5210683474088785E-5</v>
      </c>
      <c r="G153" s="4">
        <f t="shared" si="10"/>
        <v>5.0210241459376376E-3</v>
      </c>
      <c r="H153" s="4">
        <v>-1.0408069316924439E-2</v>
      </c>
      <c r="I153" s="4">
        <v>-8.1931392261043283E-3</v>
      </c>
      <c r="J153" s="4">
        <v>1.9198215941159582E-2</v>
      </c>
    </row>
    <row r="154" spans="1:10" x14ac:dyDescent="0.3">
      <c r="A154" s="24">
        <v>42221</v>
      </c>
      <c r="B154" s="4">
        <v>394.5</v>
      </c>
      <c r="C154" s="25">
        <f t="shared" si="11"/>
        <v>1.2113632348043524E-2</v>
      </c>
      <c r="D154" s="25">
        <f>$C$2+$D$2*E153+$E$2*E152+$F$2*E151</f>
        <v>-5.8557689805482753E-4</v>
      </c>
      <c r="E154" s="4">
        <f t="shared" si="12"/>
        <v>1.2699209246098351E-2</v>
      </c>
      <c r="F154" s="4">
        <f t="shared" si="9"/>
        <v>1.6126991547618985E-4</v>
      </c>
      <c r="G154" s="4">
        <f t="shared" si="10"/>
        <v>1.2699209246098351E-2</v>
      </c>
      <c r="H154" s="4">
        <v>5.0210241459376376E-3</v>
      </c>
      <c r="I154" s="4">
        <v>-1.0408069316924439E-2</v>
      </c>
      <c r="J154" s="4">
        <v>-8.1931392261043283E-3</v>
      </c>
    </row>
    <row r="155" spans="1:10" x14ac:dyDescent="0.3">
      <c r="A155" s="24">
        <v>42222</v>
      </c>
      <c r="B155" s="4">
        <v>391.5</v>
      </c>
      <c r="C155" s="25">
        <f t="shared" si="11"/>
        <v>-7.6336248550719077E-3</v>
      </c>
      <c r="D155" s="25">
        <f>$C$2+$D$2*E154+$E$2*E153+$F$2*E152</f>
        <v>-5.4885424635750806E-4</v>
      </c>
      <c r="E155" s="4">
        <f t="shared" si="12"/>
        <v>-7.0847706087143998E-3</v>
      </c>
      <c r="F155" s="4">
        <f t="shared" si="9"/>
        <v>5.0193974578103405E-5</v>
      </c>
      <c r="G155" s="4">
        <f t="shared" si="10"/>
        <v>-7.0847706087143998E-3</v>
      </c>
      <c r="H155" s="4">
        <v>1.2699209246098351E-2</v>
      </c>
      <c r="I155" s="4">
        <v>5.0210241459376376E-3</v>
      </c>
      <c r="J155" s="4">
        <v>-1.0408069316924439E-2</v>
      </c>
    </row>
    <row r="156" spans="1:10" x14ac:dyDescent="0.3">
      <c r="A156" s="24">
        <v>42223</v>
      </c>
      <c r="B156" s="4">
        <v>394.75</v>
      </c>
      <c r="C156" s="25">
        <f t="shared" si="11"/>
        <v>8.2671377048937345E-3</v>
      </c>
      <c r="D156" s="25">
        <f>$C$2+$D$2*E155+$E$2*E154+$F$2*E153</f>
        <v>2.3520313016436569E-4</v>
      </c>
      <c r="E156" s="4">
        <f t="shared" si="12"/>
        <v>8.0319345747293693E-3</v>
      </c>
      <c r="F156" s="4">
        <f t="shared" si="9"/>
        <v>6.4511973012733054E-5</v>
      </c>
      <c r="G156" s="4">
        <f t="shared" si="10"/>
        <v>8.0319345747293693E-3</v>
      </c>
      <c r="H156" s="4">
        <v>-7.0847706087143998E-3</v>
      </c>
      <c r="I156" s="4">
        <v>1.2699209246098351E-2</v>
      </c>
      <c r="J156" s="4">
        <v>5.0210241459376376E-3</v>
      </c>
    </row>
    <row r="157" spans="1:10" x14ac:dyDescent="0.3">
      <c r="A157" s="24">
        <v>42226</v>
      </c>
      <c r="B157" s="4">
        <v>412</v>
      </c>
      <c r="C157" s="25">
        <f t="shared" si="11"/>
        <v>4.2770696213775494E-2</v>
      </c>
      <c r="D157" s="25">
        <f>$C$2+$D$2*E156+$E$2*E155+$F$2*E154</f>
        <v>1.3955843562565343E-3</v>
      </c>
      <c r="E157" s="4">
        <f t="shared" si="12"/>
        <v>4.1375111857518958E-2</v>
      </c>
      <c r="F157" s="4">
        <f t="shared" si="9"/>
        <v>1.7118998812222059E-3</v>
      </c>
      <c r="G157" s="4">
        <f t="shared" si="10"/>
        <v>4.1375111857518958E-2</v>
      </c>
      <c r="H157" s="4">
        <v>8.0319345747293693E-3</v>
      </c>
      <c r="I157" s="4">
        <v>-7.0847706087143998E-3</v>
      </c>
      <c r="J157" s="4">
        <v>1.2699209246098351E-2</v>
      </c>
    </row>
    <row r="158" spans="1:10" x14ac:dyDescent="0.3">
      <c r="A158" s="24">
        <v>42227</v>
      </c>
      <c r="B158" s="4">
        <v>398.75</v>
      </c>
      <c r="C158" s="25">
        <f t="shared" si="11"/>
        <v>-3.2688695250472577E-2</v>
      </c>
      <c r="D158" s="25">
        <f>$C$2+$D$2*E157+$E$2*E156+$F$2*E155</f>
        <v>6.3629699704780538E-4</v>
      </c>
      <c r="E158" s="4">
        <f t="shared" si="12"/>
        <v>-3.3324992247520384E-2</v>
      </c>
      <c r="F158" s="4">
        <f t="shared" si="9"/>
        <v>1.1105551082972937E-3</v>
      </c>
      <c r="G158" s="4">
        <f t="shared" si="10"/>
        <v>-3.3324992247520384E-2</v>
      </c>
      <c r="H158" s="4">
        <v>4.1375111857518958E-2</v>
      </c>
      <c r="I158" s="4">
        <v>8.0319345747293693E-3</v>
      </c>
      <c r="J158" s="4">
        <v>-7.0847706087143998E-3</v>
      </c>
    </row>
    <row r="159" spans="1:10" x14ac:dyDescent="0.3">
      <c r="A159" s="24">
        <v>42228</v>
      </c>
      <c r="B159" s="4">
        <v>379.75</v>
      </c>
      <c r="C159" s="25">
        <f t="shared" si="11"/>
        <v>-4.8821512623171692E-2</v>
      </c>
      <c r="D159" s="25">
        <f>$C$2+$D$2*E158+$E$2*E157+$F$2*E156</f>
        <v>-3.0230684446195654E-4</v>
      </c>
      <c r="E159" s="4">
        <f t="shared" si="12"/>
        <v>-4.8519205778709738E-2</v>
      </c>
      <c r="F159" s="4">
        <f t="shared" si="9"/>
        <v>2.3541133293967804E-3</v>
      </c>
      <c r="G159" s="4">
        <f t="shared" si="10"/>
        <v>-4.8519205778709738E-2</v>
      </c>
      <c r="H159" s="4">
        <v>-3.3324992247520384E-2</v>
      </c>
      <c r="I159" s="4">
        <v>4.1375111857518958E-2</v>
      </c>
      <c r="J159" s="4">
        <v>8.0319345747293693E-3</v>
      </c>
    </row>
    <row r="160" spans="1:10" x14ac:dyDescent="0.3">
      <c r="A160" s="24">
        <v>42229</v>
      </c>
      <c r="B160" s="4">
        <v>387</v>
      </c>
      <c r="C160" s="25">
        <f t="shared" si="11"/>
        <v>1.8911551553899564E-2</v>
      </c>
      <c r="D160" s="25">
        <f>$C$2+$D$2*E159+$E$2*E158+$F$2*E157</f>
        <v>2.242450169431932E-3</v>
      </c>
      <c r="E160" s="4">
        <f t="shared" si="12"/>
        <v>1.666910138446763E-2</v>
      </c>
      <c r="F160" s="4">
        <f t="shared" si="9"/>
        <v>2.7785894096566066E-4</v>
      </c>
      <c r="G160" s="4">
        <f t="shared" si="10"/>
        <v>1.666910138446763E-2</v>
      </c>
      <c r="H160" s="4">
        <v>-4.8519205778709738E-2</v>
      </c>
      <c r="I160" s="4">
        <v>-3.3324992247520384E-2</v>
      </c>
      <c r="J160" s="4">
        <v>4.1375111857518958E-2</v>
      </c>
    </row>
    <row r="161" spans="1:10" x14ac:dyDescent="0.3">
      <c r="A161" s="24">
        <v>42230</v>
      </c>
      <c r="B161" s="4">
        <v>387</v>
      </c>
      <c r="C161" s="25">
        <f t="shared" si="11"/>
        <v>0</v>
      </c>
      <c r="D161" s="25">
        <f>$C$2+$D$2*E160+$E$2*E159+$F$2*E158</f>
        <v>-2.4976060349097646E-3</v>
      </c>
      <c r="E161" s="4">
        <f t="shared" si="12"/>
        <v>2.4976060349097646E-3</v>
      </c>
      <c r="F161" s="4">
        <f t="shared" si="9"/>
        <v>6.2380359056176763E-6</v>
      </c>
      <c r="G161" s="4">
        <f t="shared" si="10"/>
        <v>2.4976060349097646E-3</v>
      </c>
      <c r="H161" s="4">
        <v>1.666910138446763E-2</v>
      </c>
      <c r="I161" s="4">
        <v>-4.8519205778709738E-2</v>
      </c>
      <c r="J161" s="4">
        <v>-3.3324992247520384E-2</v>
      </c>
    </row>
    <row r="162" spans="1:10" x14ac:dyDescent="0.3">
      <c r="A162" s="24">
        <v>42233</v>
      </c>
      <c r="B162" s="4">
        <v>386</v>
      </c>
      <c r="C162" s="25">
        <f t="shared" si="11"/>
        <v>-2.5873235649509496E-3</v>
      </c>
      <c r="D162" s="25">
        <f>$C$2+$D$2*E161+$E$2*E160+$F$2*E159</f>
        <v>-4.3081251101428474E-3</v>
      </c>
      <c r="E162" s="4">
        <f t="shared" si="12"/>
        <v>1.7208015451918978E-3</v>
      </c>
      <c r="F162" s="4">
        <f t="shared" si="9"/>
        <v>2.9611579579348232E-6</v>
      </c>
      <c r="G162" s="4">
        <f t="shared" si="10"/>
        <v>1.7208015451918978E-3</v>
      </c>
      <c r="H162" s="4">
        <v>2.4976060349097646E-3</v>
      </c>
      <c r="I162" s="4">
        <v>1.666910138446763E-2</v>
      </c>
      <c r="J162" s="4">
        <v>-4.8519205778709738E-2</v>
      </c>
    </row>
    <row r="163" spans="1:10" x14ac:dyDescent="0.3">
      <c r="A163" s="24">
        <v>42234</v>
      </c>
      <c r="B163" s="4">
        <v>388.75</v>
      </c>
      <c r="C163" s="25">
        <f t="shared" si="11"/>
        <v>7.0990940286126403E-3</v>
      </c>
      <c r="D163" s="25">
        <f>$C$2+$D$2*E162+$E$2*E161+$F$2*E160</f>
        <v>1.5596561407131145E-3</v>
      </c>
      <c r="E163" s="4">
        <f t="shared" si="12"/>
        <v>5.539437887899526E-3</v>
      </c>
      <c r="F163" s="4">
        <f t="shared" si="9"/>
        <v>3.0685372113896759E-5</v>
      </c>
      <c r="G163" s="4">
        <f t="shared" si="10"/>
        <v>5.539437887899526E-3</v>
      </c>
      <c r="H163" s="4">
        <v>1.7208015451918978E-3</v>
      </c>
      <c r="I163" s="4">
        <v>2.4976060349097646E-3</v>
      </c>
      <c r="J163" s="4">
        <v>1.666910138446763E-2</v>
      </c>
    </row>
    <row r="164" spans="1:10" x14ac:dyDescent="0.3">
      <c r="A164" s="24">
        <v>42235</v>
      </c>
      <c r="B164" s="4">
        <v>390</v>
      </c>
      <c r="C164" s="25">
        <f t="shared" si="11"/>
        <v>3.2102756302485602E-3</v>
      </c>
      <c r="D164" s="25">
        <f>$C$2+$D$2*E163+$E$2*E162+$F$2*E161</f>
        <v>3.9665317948936788E-4</v>
      </c>
      <c r="E164" s="4">
        <f t="shared" si="12"/>
        <v>2.8136224507591921E-3</v>
      </c>
      <c r="F164" s="4">
        <f t="shared" si="9"/>
        <v>7.9164712954161626E-6</v>
      </c>
      <c r="G164" s="4">
        <f t="shared" si="10"/>
        <v>2.8136224507591921E-3</v>
      </c>
      <c r="H164" s="4">
        <v>5.539437887899526E-3</v>
      </c>
      <c r="I164" s="4">
        <v>1.7208015451918978E-3</v>
      </c>
      <c r="J164" s="4">
        <v>2.4976060349097646E-3</v>
      </c>
    </row>
    <row r="165" spans="1:10" x14ac:dyDescent="0.3">
      <c r="A165" s="24">
        <v>42236</v>
      </c>
      <c r="B165" s="4">
        <v>393.75</v>
      </c>
      <c r="C165" s="25">
        <f t="shared" si="11"/>
        <v>9.5694510161505875E-3</v>
      </c>
      <c r="D165" s="25">
        <f>$C$2+$D$2*E164+$E$2*E163+$F$2*E162</f>
        <v>2.4234067049690617E-4</v>
      </c>
      <c r="E165" s="4">
        <f t="shared" si="12"/>
        <v>9.3271103456536806E-3</v>
      </c>
      <c r="F165" s="4">
        <f t="shared" si="9"/>
        <v>8.6994987399999926E-5</v>
      </c>
      <c r="G165" s="4">
        <f t="shared" si="10"/>
        <v>9.3271103456536806E-3</v>
      </c>
      <c r="H165" s="4">
        <v>2.8136224507591921E-3</v>
      </c>
      <c r="I165" s="4">
        <v>5.539437887899526E-3</v>
      </c>
      <c r="J165" s="4">
        <v>1.7208015451918978E-3</v>
      </c>
    </row>
    <row r="166" spans="1:10" x14ac:dyDescent="0.3">
      <c r="A166" s="24">
        <v>42237</v>
      </c>
      <c r="B166" s="4">
        <v>388.75</v>
      </c>
      <c r="C166" s="25">
        <f t="shared" si="11"/>
        <v>-1.2779726646399148E-2</v>
      </c>
      <c r="D166" s="25">
        <f>$C$2+$D$2*E165+$E$2*E164+$F$2*E163</f>
        <v>7.8844332434370511E-4</v>
      </c>
      <c r="E166" s="4">
        <f t="shared" si="12"/>
        <v>-1.3568169970742852E-2</v>
      </c>
      <c r="F166" s="4">
        <f t="shared" si="9"/>
        <v>1.840952363549681E-4</v>
      </c>
      <c r="G166" s="4">
        <f t="shared" si="10"/>
        <v>-1.3568169970742852E-2</v>
      </c>
      <c r="H166" s="4">
        <v>9.3271103456536806E-3</v>
      </c>
      <c r="I166" s="4">
        <v>2.8136224507591921E-3</v>
      </c>
      <c r="J166" s="4">
        <v>5.539437887899526E-3</v>
      </c>
    </row>
    <row r="167" spans="1:10" x14ac:dyDescent="0.3">
      <c r="A167" s="24">
        <v>42240</v>
      </c>
      <c r="B167" s="4">
        <v>391.75</v>
      </c>
      <c r="C167" s="25">
        <f t="shared" si="11"/>
        <v>7.6874177426864421E-3</v>
      </c>
      <c r="D167" s="25">
        <f>$C$2+$D$2*E166+$E$2*E165+$F$2*E164</f>
        <v>-1.6434701296896229E-4</v>
      </c>
      <c r="E167" s="4">
        <f t="shared" si="12"/>
        <v>7.8517647556554035E-3</v>
      </c>
      <c r="F167" s="4">
        <f t="shared" si="9"/>
        <v>6.1650209778152363E-5</v>
      </c>
      <c r="G167" s="4">
        <f t="shared" si="10"/>
        <v>7.8517647556554035E-3</v>
      </c>
      <c r="H167" s="4">
        <v>-1.3568169970742852E-2</v>
      </c>
      <c r="I167" s="4">
        <v>9.3271103456536806E-3</v>
      </c>
      <c r="J167" s="4">
        <v>2.8136224507591921E-3</v>
      </c>
    </row>
    <row r="168" spans="1:10" x14ac:dyDescent="0.3">
      <c r="A168" s="24">
        <v>42241</v>
      </c>
      <c r="B168" s="4">
        <v>388</v>
      </c>
      <c r="C168" s="25">
        <f t="shared" si="11"/>
        <v>-9.6185416128564682E-3</v>
      </c>
      <c r="D168" s="25">
        <f>$C$2+$D$2*E167+$E$2*E166+$F$2*E165</f>
        <v>1.0852533862949754E-3</v>
      </c>
      <c r="E168" s="4">
        <f t="shared" si="12"/>
        <v>-1.0703794999151443E-2</v>
      </c>
      <c r="F168" s="4">
        <f t="shared" si="9"/>
        <v>1.1457122738385943E-4</v>
      </c>
      <c r="G168" s="4">
        <f t="shared" si="10"/>
        <v>-1.0703794999151443E-2</v>
      </c>
      <c r="H168" s="4">
        <v>7.8517647556554035E-3</v>
      </c>
      <c r="I168" s="4">
        <v>-1.3568169970742852E-2</v>
      </c>
      <c r="J168" s="4">
        <v>9.3271103456536806E-3</v>
      </c>
    </row>
    <row r="169" spans="1:10" x14ac:dyDescent="0.3">
      <c r="A169" s="24">
        <v>42242</v>
      </c>
      <c r="B169" s="4">
        <v>384.25</v>
      </c>
      <c r="C169" s="25">
        <f t="shared" si="11"/>
        <v>-9.7119572045683E-3</v>
      </c>
      <c r="D169" s="25">
        <f>$C$2+$D$2*E168+$E$2*E167+$F$2*E166</f>
        <v>-1.5565612159860848E-3</v>
      </c>
      <c r="E169" s="4">
        <f t="shared" si="12"/>
        <v>-8.1553959885822154E-3</v>
      </c>
      <c r="F169" s="4">
        <f t="shared" si="9"/>
        <v>6.6510483730582891E-5</v>
      </c>
      <c r="G169" s="4">
        <f t="shared" si="10"/>
        <v>-8.1553959885822154E-3</v>
      </c>
      <c r="H169" s="4">
        <v>-1.0703794999151443E-2</v>
      </c>
      <c r="I169" s="4">
        <v>7.8517647556554035E-3</v>
      </c>
      <c r="J169" s="4">
        <v>-1.3568169970742852E-2</v>
      </c>
    </row>
    <row r="170" spans="1:10" x14ac:dyDescent="0.3">
      <c r="A170" s="24">
        <v>42243</v>
      </c>
      <c r="B170" s="4">
        <v>386.25</v>
      </c>
      <c r="C170" s="25">
        <f t="shared" si="11"/>
        <v>5.19144579325026E-3</v>
      </c>
      <c r="D170" s="25">
        <f>$C$2+$D$2*E169+$E$2*E168+$F$2*E167</f>
        <v>4.580128195138944E-4</v>
      </c>
      <c r="E170" s="4">
        <f t="shared" si="12"/>
        <v>4.7334329737363659E-3</v>
      </c>
      <c r="F170" s="4">
        <f t="shared" si="9"/>
        <v>2.2405387716854695E-5</v>
      </c>
      <c r="G170" s="4">
        <f t="shared" si="10"/>
        <v>4.7334329737363659E-3</v>
      </c>
      <c r="H170" s="4">
        <v>-8.1553959885822154E-3</v>
      </c>
      <c r="I170" s="4">
        <v>-1.0703794999151443E-2</v>
      </c>
      <c r="J170" s="4">
        <v>7.8517647556554035E-3</v>
      </c>
    </row>
    <row r="171" spans="1:10" x14ac:dyDescent="0.3">
      <c r="A171" s="24">
        <v>42244</v>
      </c>
      <c r="B171" s="4">
        <v>386.5</v>
      </c>
      <c r="C171" s="25">
        <f t="shared" si="11"/>
        <v>6.4703981552138856E-4</v>
      </c>
      <c r="D171" s="25">
        <f>$C$2+$D$2*E170+$E$2*E169+$F$2*E168</f>
        <v>-8.2136470594898763E-4</v>
      </c>
      <c r="E171" s="4">
        <f t="shared" si="12"/>
        <v>1.4684045214703762E-3</v>
      </c>
      <c r="F171" s="4">
        <f t="shared" si="9"/>
        <v>2.1562118386746445E-6</v>
      </c>
      <c r="G171" s="4">
        <f t="shared" si="10"/>
        <v>1.4684045214703762E-3</v>
      </c>
      <c r="H171" s="4">
        <v>4.7334329737363659E-3</v>
      </c>
      <c r="I171" s="4">
        <v>-8.1553959885822154E-3</v>
      </c>
      <c r="J171" s="4">
        <v>-1.0703794999151443E-2</v>
      </c>
    </row>
    <row r="172" spans="1:10" x14ac:dyDescent="0.3">
      <c r="A172" s="24">
        <v>42247</v>
      </c>
      <c r="B172" s="4">
        <v>386.25</v>
      </c>
      <c r="C172" s="25">
        <f t="shared" si="11"/>
        <v>-6.4703981552138856E-4</v>
      </c>
      <c r="D172" s="25">
        <f>$C$2+$D$2*E171+$E$2*E170+$F$2*E169</f>
        <v>-6.9178110466472397E-4</v>
      </c>
      <c r="E172" s="4">
        <f t="shared" si="12"/>
        <v>4.4741289143335411E-5</v>
      </c>
      <c r="F172" s="4">
        <f t="shared" si="9"/>
        <v>2.0017829542075433E-9</v>
      </c>
      <c r="G172" s="4">
        <f t="shared" si="10"/>
        <v>4.4741289143335411E-5</v>
      </c>
      <c r="H172" s="4">
        <v>1.4684045214703762E-3</v>
      </c>
      <c r="I172" s="4">
        <v>4.7334329737363659E-3</v>
      </c>
      <c r="J172" s="4">
        <v>-8.1553959885822154E-3</v>
      </c>
    </row>
    <row r="173" spans="1:10" x14ac:dyDescent="0.3">
      <c r="A173" s="24">
        <v>42248</v>
      </c>
      <c r="B173" s="4">
        <v>380.25</v>
      </c>
      <c r="C173" s="25">
        <f t="shared" si="11"/>
        <v>-1.565589707255377E-2</v>
      </c>
      <c r="D173" s="25">
        <f>$C$2+$D$2*E172+$E$2*E171+$F$2*E170</f>
        <v>4.2919035088207841E-4</v>
      </c>
      <c r="E173" s="4">
        <f t="shared" si="12"/>
        <v>-1.608508742343585E-2</v>
      </c>
      <c r="F173" s="4">
        <f t="shared" si="9"/>
        <v>2.5873003741957415E-4</v>
      </c>
      <c r="G173" s="4">
        <f t="shared" si="10"/>
        <v>-1.608508742343585E-2</v>
      </c>
      <c r="H173" s="4">
        <v>4.4741289143335411E-5</v>
      </c>
      <c r="I173" s="4">
        <v>1.4684045214703762E-3</v>
      </c>
      <c r="J173" s="4">
        <v>4.7334329737363659E-3</v>
      </c>
    </row>
    <row r="174" spans="1:10" x14ac:dyDescent="0.3">
      <c r="A174" s="24">
        <v>42249</v>
      </c>
      <c r="B174" s="4">
        <v>378.75</v>
      </c>
      <c r="C174" s="25">
        <f t="shared" si="11"/>
        <v>-3.9525743158232984E-3</v>
      </c>
      <c r="D174" s="25">
        <f>$C$2+$D$2*E173+$E$2*E172+$F$2*E171</f>
        <v>-3.6358748128445089E-4</v>
      </c>
      <c r="E174" s="4">
        <f t="shared" si="12"/>
        <v>-3.5889868345388475E-3</v>
      </c>
      <c r="F174" s="4">
        <f t="shared" si="9"/>
        <v>1.2880826498493177E-5</v>
      </c>
      <c r="G174" s="4">
        <f t="shared" si="10"/>
        <v>-3.5889868345388475E-3</v>
      </c>
      <c r="H174" s="4">
        <v>-1.608508742343585E-2</v>
      </c>
      <c r="I174" s="4">
        <v>4.4741289143335411E-5</v>
      </c>
      <c r="J174" s="4">
        <v>1.4684045214703762E-3</v>
      </c>
    </row>
    <row r="175" spans="1:10" x14ac:dyDescent="0.3">
      <c r="A175" s="24">
        <v>42250</v>
      </c>
      <c r="B175" s="4">
        <v>373</v>
      </c>
      <c r="C175" s="25">
        <f t="shared" si="11"/>
        <v>-1.5297937179762577E-2</v>
      </c>
      <c r="D175" s="25">
        <f>$C$2+$D$2*E174+$E$2*E173+$F$2*E172</f>
        <v>-1.0669382337444667E-4</v>
      </c>
      <c r="E175" s="4">
        <f t="shared" si="12"/>
        <v>-1.5191243356388131E-2</v>
      </c>
      <c r="F175" s="4">
        <f t="shared" si="9"/>
        <v>2.3077387471300652E-4</v>
      </c>
      <c r="G175" s="4">
        <f t="shared" si="10"/>
        <v>-1.5191243356388131E-2</v>
      </c>
      <c r="H175" s="4">
        <v>-3.5889868345388475E-3</v>
      </c>
      <c r="I175" s="4">
        <v>-1.608508742343585E-2</v>
      </c>
      <c r="J175" s="4">
        <v>4.4741289143335411E-5</v>
      </c>
    </row>
    <row r="176" spans="1:10" x14ac:dyDescent="0.3">
      <c r="A176" s="24">
        <v>42251</v>
      </c>
      <c r="B176" s="4">
        <v>374.5</v>
      </c>
      <c r="C176" s="25">
        <f t="shared" si="11"/>
        <v>4.0133833134579078E-3</v>
      </c>
      <c r="D176" s="25">
        <f>$C$2+$D$2*E175+$E$2*E174+$F$2*E173</f>
        <v>-1.9225008171676044E-3</v>
      </c>
      <c r="E176" s="4">
        <f t="shared" si="12"/>
        <v>5.9358841306255119E-3</v>
      </c>
      <c r="F176" s="4">
        <f t="shared" si="9"/>
        <v>3.5234720412211787E-5</v>
      </c>
      <c r="G176" s="4">
        <f t="shared" si="10"/>
        <v>5.9358841306255119E-3</v>
      </c>
      <c r="H176" s="4">
        <v>-1.5191243356388131E-2</v>
      </c>
      <c r="I176" s="4">
        <v>-3.5889868345388475E-3</v>
      </c>
      <c r="J176" s="4">
        <v>-1.608508742343585E-2</v>
      </c>
    </row>
    <row r="177" spans="1:10" x14ac:dyDescent="0.3">
      <c r="A177" s="24">
        <v>42255</v>
      </c>
      <c r="B177" s="4">
        <v>379.75</v>
      </c>
      <c r="C177" s="25">
        <f t="shared" si="11"/>
        <v>1.392133851860855E-2</v>
      </c>
      <c r="D177" s="25">
        <f>$C$2+$D$2*E176+$E$2*E175+$F$2*E174</f>
        <v>-1.4122362576236933E-4</v>
      </c>
      <c r="E177" s="4">
        <f t="shared" si="12"/>
        <v>1.406256214437092E-2</v>
      </c>
      <c r="F177" s="4">
        <f t="shared" si="9"/>
        <v>1.9775565406429405E-4</v>
      </c>
      <c r="G177" s="4">
        <f t="shared" si="10"/>
        <v>1.406256214437092E-2</v>
      </c>
      <c r="H177" s="4">
        <v>5.9358841306255119E-3</v>
      </c>
      <c r="I177" s="4">
        <v>-1.5191243356388131E-2</v>
      </c>
      <c r="J177" s="4">
        <v>-3.5889868345388475E-3</v>
      </c>
    </row>
    <row r="178" spans="1:10" x14ac:dyDescent="0.3">
      <c r="A178" s="24">
        <v>42256</v>
      </c>
      <c r="B178" s="4">
        <v>380.25</v>
      </c>
      <c r="C178" s="25">
        <f t="shared" si="11"/>
        <v>1.3157896635194177E-3</v>
      </c>
      <c r="D178" s="25">
        <f>$C$2+$D$2*E177+$E$2*E176+$F$2*E175</f>
        <v>-9.3909371764095318E-4</v>
      </c>
      <c r="E178" s="4">
        <f t="shared" si="12"/>
        <v>2.2548833811603707E-3</v>
      </c>
      <c r="F178" s="4">
        <f t="shared" si="9"/>
        <v>5.0844990626332253E-6</v>
      </c>
      <c r="G178" s="4">
        <f t="shared" si="10"/>
        <v>2.2548833811603707E-3</v>
      </c>
      <c r="H178" s="4">
        <v>1.406256214437092E-2</v>
      </c>
      <c r="I178" s="4">
        <v>5.9358841306255119E-3</v>
      </c>
      <c r="J178" s="4">
        <v>-1.5191243356388131E-2</v>
      </c>
    </row>
    <row r="179" spans="1:10" x14ac:dyDescent="0.3">
      <c r="A179" s="24">
        <v>42257</v>
      </c>
      <c r="B179" s="4">
        <v>385.5</v>
      </c>
      <c r="C179" s="25">
        <f t="shared" si="11"/>
        <v>1.3712261863982E-2</v>
      </c>
      <c r="D179" s="25">
        <f>$C$2+$D$2*E178+$E$2*E177+$F$2*E176</f>
        <v>6.0606199196879885E-4</v>
      </c>
      <c r="E179" s="4">
        <f t="shared" si="12"/>
        <v>1.3106199872013202E-2</v>
      </c>
      <c r="F179" s="4">
        <f t="shared" si="9"/>
        <v>1.7177247508515887E-4</v>
      </c>
      <c r="G179" s="4">
        <f t="shared" si="10"/>
        <v>1.3106199872013202E-2</v>
      </c>
      <c r="H179" s="4">
        <v>2.2548833811603707E-3</v>
      </c>
      <c r="I179" s="4">
        <v>1.406256214437092E-2</v>
      </c>
      <c r="J179" s="4">
        <v>5.9358841306255119E-3</v>
      </c>
    </row>
    <row r="180" spans="1:10" x14ac:dyDescent="0.3">
      <c r="A180" s="24">
        <v>42258</v>
      </c>
      <c r="B180" s="4">
        <v>398.25</v>
      </c>
      <c r="C180" s="25">
        <f t="shared" si="11"/>
        <v>3.2538755786774232E-2</v>
      </c>
      <c r="D180" s="25">
        <f>$C$2+$D$2*E179+$E$2*E178+$F$2*E177</f>
        <v>1.6753703924809597E-3</v>
      </c>
      <c r="E180" s="4">
        <f t="shared" si="12"/>
        <v>3.0863385394293272E-2</v>
      </c>
      <c r="F180" s="4">
        <f t="shared" si="9"/>
        <v>9.5254855799667523E-4</v>
      </c>
      <c r="G180" s="4">
        <f t="shared" si="10"/>
        <v>3.0863385394293272E-2</v>
      </c>
      <c r="H180" s="4">
        <v>1.3106199872013202E-2</v>
      </c>
      <c r="I180" s="4">
        <v>2.2548833811603707E-3</v>
      </c>
      <c r="J180" s="4">
        <v>1.406256214437092E-2</v>
      </c>
    </row>
    <row r="181" spans="1:10" x14ac:dyDescent="0.3">
      <c r="A181" s="24">
        <v>42261</v>
      </c>
      <c r="B181" s="4">
        <v>404.75</v>
      </c>
      <c r="C181" s="25">
        <f t="shared" si="11"/>
        <v>1.6189643767586581E-2</v>
      </c>
      <c r="D181" s="25">
        <f>$C$2+$D$2*E180+$E$2*E179+$F$2*E178</f>
        <v>1.1560817700494673E-3</v>
      </c>
      <c r="E181" s="4">
        <f t="shared" si="12"/>
        <v>1.5033561997537115E-2</v>
      </c>
      <c r="F181" s="4">
        <f t="shared" si="9"/>
        <v>2.2600798633379211E-4</v>
      </c>
      <c r="G181" s="4">
        <f t="shared" si="10"/>
        <v>1.5033561997537115E-2</v>
      </c>
      <c r="H181" s="4">
        <v>3.0863385394293272E-2</v>
      </c>
      <c r="I181" s="4">
        <v>1.3106199872013202E-2</v>
      </c>
      <c r="J181" s="4">
        <v>2.2548833811603707E-3</v>
      </c>
    </row>
    <row r="182" spans="1:10" x14ac:dyDescent="0.3">
      <c r="A182" s="24">
        <v>42262</v>
      </c>
      <c r="B182" s="4">
        <v>401.75</v>
      </c>
      <c r="C182" s="25">
        <f t="shared" si="11"/>
        <v>-7.4395879401230047E-3</v>
      </c>
      <c r="D182" s="25">
        <f>$C$2+$D$2*E181+$E$2*E180+$F$2*E179</f>
        <v>1.6484023487048688E-3</v>
      </c>
      <c r="E182" s="4">
        <f t="shared" si="12"/>
        <v>-9.0879902888278737E-3</v>
      </c>
      <c r="F182" s="4">
        <f t="shared" si="9"/>
        <v>8.2591567489829741E-5</v>
      </c>
      <c r="G182" s="4">
        <f t="shared" si="10"/>
        <v>-9.0879902888278737E-3</v>
      </c>
      <c r="H182" s="4">
        <v>1.5033561997537115E-2</v>
      </c>
      <c r="I182" s="4">
        <v>3.0863385394293272E-2</v>
      </c>
      <c r="J182" s="4">
        <v>1.3106199872013202E-2</v>
      </c>
    </row>
    <row r="183" spans="1:10" x14ac:dyDescent="0.3">
      <c r="A183" s="24">
        <v>42263</v>
      </c>
      <c r="B183" s="4">
        <v>397.25</v>
      </c>
      <c r="C183" s="25">
        <f t="shared" si="11"/>
        <v>-1.1264199200796021E-2</v>
      </c>
      <c r="D183" s="25">
        <f>$C$2+$D$2*E182+$E$2*E181+$F$2*E180</f>
        <v>2.5090387250285813E-3</v>
      </c>
      <c r="E183" s="4">
        <f t="shared" si="12"/>
        <v>-1.3773237925824602E-2</v>
      </c>
      <c r="F183" s="4">
        <f t="shared" si="9"/>
        <v>1.8970208296137318E-4</v>
      </c>
      <c r="G183" s="4">
        <f t="shared" si="10"/>
        <v>-1.3773237925824602E-2</v>
      </c>
      <c r="H183" s="4">
        <v>-9.0879902888278737E-3</v>
      </c>
      <c r="I183" s="4">
        <v>1.5033561997537115E-2</v>
      </c>
      <c r="J183" s="4">
        <v>3.0863385394293272E-2</v>
      </c>
    </row>
    <row r="184" spans="1:10" x14ac:dyDescent="0.3">
      <c r="A184" s="24">
        <v>42264</v>
      </c>
      <c r="B184" s="4">
        <v>391</v>
      </c>
      <c r="C184" s="25">
        <f t="shared" si="11"/>
        <v>-1.585824543145975E-2</v>
      </c>
      <c r="D184" s="25">
        <f>$C$2+$D$2*E183+$E$2*E182+$F$2*E181</f>
        <v>9.3376945156076489E-4</v>
      </c>
      <c r="E184" s="4">
        <f t="shared" si="12"/>
        <v>-1.6792014883020515E-2</v>
      </c>
      <c r="F184" s="4">
        <f t="shared" si="9"/>
        <v>2.8197176383158251E-4</v>
      </c>
      <c r="G184" s="4">
        <f t="shared" si="10"/>
        <v>-1.6792014883020515E-2</v>
      </c>
      <c r="H184" s="4">
        <v>-1.3773237925824602E-2</v>
      </c>
      <c r="I184" s="4">
        <v>-9.0879902888278737E-3</v>
      </c>
      <c r="J184" s="4">
        <v>1.5033561997537115E-2</v>
      </c>
    </row>
    <row r="185" spans="1:10" x14ac:dyDescent="0.3">
      <c r="A185" s="24">
        <v>42265</v>
      </c>
      <c r="B185" s="4">
        <v>388.5</v>
      </c>
      <c r="C185" s="25">
        <f t="shared" si="11"/>
        <v>-6.4143901776638756E-3</v>
      </c>
      <c r="D185" s="25">
        <f>$C$2+$D$2*E184+$E$2*E183+$F$2*E182</f>
        <v>-1.3394914606445424E-3</v>
      </c>
      <c r="E185" s="4">
        <f t="shared" si="12"/>
        <v>-5.0748987170193332E-3</v>
      </c>
      <c r="F185" s="4">
        <f t="shared" si="9"/>
        <v>2.5754596988004476E-5</v>
      </c>
      <c r="G185" s="4">
        <f t="shared" si="10"/>
        <v>-5.0748987170193332E-3</v>
      </c>
      <c r="H185" s="4">
        <v>-1.6792014883020515E-2</v>
      </c>
      <c r="I185" s="4">
        <v>-1.3773237925824602E-2</v>
      </c>
      <c r="J185" s="4">
        <v>-9.0879902888278737E-3</v>
      </c>
    </row>
    <row r="186" spans="1:10" x14ac:dyDescent="0.3">
      <c r="A186" s="24">
        <v>42268</v>
      </c>
      <c r="B186" s="4">
        <v>396</v>
      </c>
      <c r="C186" s="25">
        <f t="shared" si="11"/>
        <v>1.9121041446778619E-2</v>
      </c>
      <c r="D186" s="25">
        <f>$C$2+$D$2*E185+$E$2*E184+$F$2*E183</f>
        <v>-1.401416741336987E-3</v>
      </c>
      <c r="E186" s="4">
        <f t="shared" si="12"/>
        <v>2.0522458188115607E-2</v>
      </c>
      <c r="F186" s="4">
        <f t="shared" si="9"/>
        <v>4.2117129008295334E-4</v>
      </c>
      <c r="G186" s="4">
        <f t="shared" si="10"/>
        <v>2.0522458188115607E-2</v>
      </c>
      <c r="H186" s="4">
        <v>-5.0748987170193332E-3</v>
      </c>
      <c r="I186" s="4">
        <v>-1.6792014883020515E-2</v>
      </c>
      <c r="J186" s="4">
        <v>-1.3773237925824602E-2</v>
      </c>
    </row>
    <row r="187" spans="1:10" x14ac:dyDescent="0.3">
      <c r="A187" s="24">
        <v>42269</v>
      </c>
      <c r="B187" s="4">
        <v>392.25</v>
      </c>
      <c r="C187" s="25">
        <f t="shared" si="11"/>
        <v>-9.5148196413390451E-3</v>
      </c>
      <c r="D187" s="25">
        <f>$C$2+$D$2*E186+$E$2*E185+$F$2*E184</f>
        <v>-8.8445322625065092E-4</v>
      </c>
      <c r="E187" s="4">
        <f t="shared" si="12"/>
        <v>-8.6303664150883946E-3</v>
      </c>
      <c r="F187" s="4">
        <f t="shared" si="9"/>
        <v>7.4483224458685713E-5</v>
      </c>
      <c r="G187" s="4">
        <f t="shared" si="10"/>
        <v>-8.6303664150883946E-3</v>
      </c>
      <c r="H187" s="4">
        <v>2.0522458188115607E-2</v>
      </c>
      <c r="I187" s="4">
        <v>-5.0748987170193332E-3</v>
      </c>
      <c r="J187" s="4">
        <v>-1.6792014883020515E-2</v>
      </c>
    </row>
    <row r="188" spans="1:10" x14ac:dyDescent="0.3">
      <c r="A188" s="24">
        <v>42270</v>
      </c>
      <c r="B188" s="4">
        <v>394.75</v>
      </c>
      <c r="C188" s="25">
        <f t="shared" si="11"/>
        <v>6.3532615226096212E-3</v>
      </c>
      <c r="D188" s="25">
        <f>$C$2+$D$2*E187+$E$2*E186+$F$2*E185</f>
        <v>-7.2496014649035552E-4</v>
      </c>
      <c r="E188" s="4">
        <f t="shared" si="12"/>
        <v>7.0782216690999768E-3</v>
      </c>
      <c r="F188" s="4">
        <f t="shared" si="9"/>
        <v>5.0101221996916462E-5</v>
      </c>
      <c r="G188" s="4">
        <f t="shared" si="10"/>
        <v>7.0782216690999768E-3</v>
      </c>
      <c r="H188" s="4">
        <v>-8.6303664150883946E-3</v>
      </c>
      <c r="I188" s="4">
        <v>2.0522458188115607E-2</v>
      </c>
      <c r="J188" s="4">
        <v>-5.0748987170193332E-3</v>
      </c>
    </row>
    <row r="189" spans="1:10" x14ac:dyDescent="0.3">
      <c r="A189" s="24">
        <v>42271</v>
      </c>
      <c r="B189" s="4">
        <v>392.75</v>
      </c>
      <c r="C189" s="25">
        <f t="shared" si="11"/>
        <v>-5.07937600002073E-3</v>
      </c>
      <c r="D189" s="25">
        <f>$C$2+$D$2*E188+$E$2*E187+$F$2*E186</f>
        <v>2.0732265767911136E-3</v>
      </c>
      <c r="E189" s="4">
        <f t="shared" si="12"/>
        <v>-7.152602576811844E-3</v>
      </c>
      <c r="F189" s="4">
        <f t="shared" si="9"/>
        <v>5.1159723621815432E-5</v>
      </c>
      <c r="G189" s="4">
        <f t="shared" si="10"/>
        <v>-7.152602576811844E-3</v>
      </c>
      <c r="H189" s="4">
        <v>7.0782216690999768E-3</v>
      </c>
      <c r="I189" s="4">
        <v>-8.6303664150883946E-3</v>
      </c>
      <c r="J189" s="4">
        <v>2.0522458188115607E-2</v>
      </c>
    </row>
    <row r="190" spans="1:10" x14ac:dyDescent="0.3">
      <c r="A190" s="24">
        <v>42272</v>
      </c>
      <c r="B190" s="4">
        <v>400.25</v>
      </c>
      <c r="C190" s="25">
        <f t="shared" si="11"/>
        <v>1.8916074741093247E-2</v>
      </c>
      <c r="D190" s="25">
        <f>$C$2+$D$2*E189+$E$2*E188+$F$2*E187</f>
        <v>-1.000708820000854E-3</v>
      </c>
      <c r="E190" s="4">
        <f t="shared" si="12"/>
        <v>1.9916783561094102E-2</v>
      </c>
      <c r="F190" s="4">
        <f t="shared" si="9"/>
        <v>3.9667826741946827E-4</v>
      </c>
      <c r="G190" s="4">
        <f t="shared" si="10"/>
        <v>1.9916783561094102E-2</v>
      </c>
      <c r="H190" s="4">
        <v>-7.152602576811844E-3</v>
      </c>
      <c r="I190" s="4">
        <v>7.0782216690999768E-3</v>
      </c>
      <c r="J190" s="4">
        <v>-8.6303664150883946E-3</v>
      </c>
    </row>
    <row r="191" spans="1:10" x14ac:dyDescent="0.3">
      <c r="A191" s="24">
        <v>42275</v>
      </c>
      <c r="B191" s="4">
        <v>398</v>
      </c>
      <c r="C191" s="25">
        <f t="shared" si="11"/>
        <v>-5.6373465923860167E-3</v>
      </c>
      <c r="D191" s="25">
        <f>$C$2+$D$2*E190+$E$2*E189+$F$2*E188</f>
        <v>1.2542618329211214E-3</v>
      </c>
      <c r="E191" s="4">
        <f t="shared" si="12"/>
        <v>-6.8916084253071381E-3</v>
      </c>
      <c r="F191" s="4">
        <f t="shared" si="9"/>
        <v>4.749426668776433E-5</v>
      </c>
      <c r="G191" s="4">
        <f t="shared" si="10"/>
        <v>-6.8916084253071381E-3</v>
      </c>
      <c r="H191" s="4">
        <v>1.9916783561094102E-2</v>
      </c>
      <c r="I191" s="4">
        <v>-7.152602576811844E-3</v>
      </c>
      <c r="J191" s="4">
        <v>7.0782216690999768E-3</v>
      </c>
    </row>
    <row r="192" spans="1:10" x14ac:dyDescent="0.3">
      <c r="A192" s="24">
        <v>42276</v>
      </c>
      <c r="B192" s="4">
        <v>399.75</v>
      </c>
      <c r="C192" s="25">
        <f t="shared" si="11"/>
        <v>4.3873464296257936E-3</v>
      </c>
      <c r="D192" s="25">
        <f>$C$2+$D$2*E191+$E$2*E190+$F$2*E189</f>
        <v>-8.5909491036782976E-4</v>
      </c>
      <c r="E192" s="4">
        <f t="shared" si="12"/>
        <v>5.2464413399936237E-3</v>
      </c>
      <c r="F192" s="4">
        <f t="shared" si="9"/>
        <v>2.7525146733994091E-5</v>
      </c>
      <c r="G192" s="4">
        <f t="shared" si="10"/>
        <v>5.2464413399936237E-3</v>
      </c>
      <c r="H192" s="4">
        <v>-6.8916084253071381E-3</v>
      </c>
      <c r="I192" s="4">
        <v>1.9916783561094102E-2</v>
      </c>
      <c r="J192" s="4">
        <v>-7.152602576811844E-3</v>
      </c>
    </row>
    <row r="193" spans="1:10" x14ac:dyDescent="0.3">
      <c r="A193" s="24">
        <v>42277</v>
      </c>
      <c r="B193" s="4">
        <v>398.75</v>
      </c>
      <c r="C193" s="25">
        <f t="shared" si="11"/>
        <v>-2.5046976150093769E-3</v>
      </c>
      <c r="D193" s="25">
        <f>$C$2+$D$2*E192+$E$2*E191+$F$2*E190</f>
        <v>1.9619661611927292E-3</v>
      </c>
      <c r="E193" s="4">
        <f t="shared" si="12"/>
        <v>-4.4666637762021061E-3</v>
      </c>
      <c r="F193" s="4">
        <f t="shared" si="9"/>
        <v>1.9951085289636057E-5</v>
      </c>
      <c r="G193" s="4">
        <f t="shared" si="10"/>
        <v>-4.4666637762021061E-3</v>
      </c>
      <c r="H193" s="4">
        <v>5.2464413399936237E-3</v>
      </c>
      <c r="I193" s="4">
        <v>-6.8916084253071381E-3</v>
      </c>
      <c r="J193" s="4">
        <v>1.9916783561094102E-2</v>
      </c>
    </row>
    <row r="194" spans="1:10" x14ac:dyDescent="0.3">
      <c r="A194" s="24">
        <v>42278</v>
      </c>
      <c r="B194" s="4">
        <v>399.75</v>
      </c>
      <c r="C194" s="25">
        <f t="shared" si="11"/>
        <v>2.5046976150093769E-3</v>
      </c>
      <c r="D194" s="25">
        <f>$C$2+$D$2*E193+$E$2*E192+$F$2*E191</f>
        <v>-7.6068489443926351E-4</v>
      </c>
      <c r="E194" s="4">
        <f t="shared" si="12"/>
        <v>3.2653825094486402E-3</v>
      </c>
      <c r="F194" s="4">
        <f t="shared" si="9"/>
        <v>1.0662722933013099E-5</v>
      </c>
      <c r="G194" s="4">
        <f t="shared" si="10"/>
        <v>3.2653825094486402E-3</v>
      </c>
      <c r="H194" s="4">
        <v>-4.4666637762021061E-3</v>
      </c>
      <c r="I194" s="4">
        <v>5.2464413399936237E-3</v>
      </c>
      <c r="J194" s="4">
        <v>-6.8916084253071381E-3</v>
      </c>
    </row>
    <row r="195" spans="1:10" x14ac:dyDescent="0.3">
      <c r="A195" s="24">
        <v>42279</v>
      </c>
      <c r="B195" s="4">
        <v>399.5</v>
      </c>
      <c r="C195" s="25">
        <f t="shared" si="11"/>
        <v>-6.2558650773425484E-4</v>
      </c>
      <c r="D195" s="25">
        <f>$C$2+$D$2*E194+$E$2*E193+$F$2*E192</f>
        <v>5.749286070599012E-4</v>
      </c>
      <c r="E195" s="4">
        <f t="shared" si="12"/>
        <v>-1.200515114794156E-3</v>
      </c>
      <c r="F195" s="4">
        <f t="shared" si="9"/>
        <v>1.4412365408492258E-6</v>
      </c>
      <c r="G195" s="4">
        <f t="shared" si="10"/>
        <v>-1.200515114794156E-3</v>
      </c>
      <c r="H195" s="4">
        <v>3.2653825094486402E-3</v>
      </c>
      <c r="I195" s="4">
        <v>-4.4666637762021061E-3</v>
      </c>
      <c r="J195" s="4">
        <v>5.2464413399936237E-3</v>
      </c>
    </row>
    <row r="196" spans="1:10" x14ac:dyDescent="0.3">
      <c r="A196" s="24">
        <v>42282</v>
      </c>
      <c r="B196" s="4">
        <v>403.75</v>
      </c>
      <c r="C196" s="25">
        <f t="shared" si="11"/>
        <v>1.0582109330536937E-2</v>
      </c>
      <c r="D196" s="25">
        <f>$C$2+$D$2*E195+$E$2*E194+$F$2*E193</f>
        <v>-4.4074082664561336E-4</v>
      </c>
      <c r="E196" s="4">
        <f t="shared" si="12"/>
        <v>1.1022850157182551E-2</v>
      </c>
      <c r="F196" s="4">
        <f t="shared" si="9"/>
        <v>1.2150322558769938E-4</v>
      </c>
      <c r="G196" s="4">
        <f t="shared" si="10"/>
        <v>1.1022850157182551E-2</v>
      </c>
      <c r="H196" s="4">
        <v>-1.200515114794156E-3</v>
      </c>
      <c r="I196" s="4">
        <v>3.2653825094486402E-3</v>
      </c>
      <c r="J196" s="4">
        <v>-4.4666637762021061E-3</v>
      </c>
    </row>
    <row r="197" spans="1:10" x14ac:dyDescent="0.3">
      <c r="A197" s="24">
        <v>42283</v>
      </c>
      <c r="B197" s="4">
        <v>408.5</v>
      </c>
      <c r="C197" s="25">
        <f t="shared" si="11"/>
        <v>1.1696039763191557E-2</v>
      </c>
      <c r="D197" s="25">
        <f>$C$2+$D$2*E196+$E$2*E195+$F$2*E194</f>
        <v>6.3523490082123546E-4</v>
      </c>
      <c r="E197" s="4">
        <f t="shared" si="12"/>
        <v>1.1060804862370321E-2</v>
      </c>
      <c r="F197" s="4">
        <f t="shared" si="9"/>
        <v>1.2234140420343495E-4</v>
      </c>
      <c r="G197" s="4">
        <f t="shared" si="10"/>
        <v>1.1060804862370321E-2</v>
      </c>
      <c r="H197" s="4">
        <v>1.1022850157182551E-2</v>
      </c>
      <c r="I197" s="4">
        <v>-1.200515114794156E-3</v>
      </c>
      <c r="J197" s="4">
        <v>3.2653825094486402E-3</v>
      </c>
    </row>
    <row r="198" spans="1:10" x14ac:dyDescent="0.3">
      <c r="A198" s="24">
        <v>42284</v>
      </c>
      <c r="B198" s="4">
        <v>406.25</v>
      </c>
      <c r="C198" s="25">
        <f t="shared" si="11"/>
        <v>-5.5231806561106822E-3</v>
      </c>
      <c r="D198" s="25">
        <f>$C$2+$D$2*E197+$E$2*E196+$F$2*E195</f>
        <v>2.3277608929424043E-4</v>
      </c>
      <c r="E198" s="4">
        <f t="shared" si="12"/>
        <v>-5.7559567454049223E-3</v>
      </c>
      <c r="F198" s="4">
        <f t="shared" si="9"/>
        <v>3.3131038054972427E-5</v>
      </c>
      <c r="G198" s="4">
        <f t="shared" si="10"/>
        <v>-5.7559567454049223E-3</v>
      </c>
      <c r="H198" s="4">
        <v>1.1060804862370321E-2</v>
      </c>
      <c r="I198" s="4">
        <v>1.1022850157182551E-2</v>
      </c>
      <c r="J198" s="4">
        <v>-1.200515114794156E-3</v>
      </c>
    </row>
    <row r="199" spans="1:10" x14ac:dyDescent="0.3">
      <c r="A199" s="24">
        <v>42285</v>
      </c>
      <c r="B199" s="4">
        <v>401.75</v>
      </c>
      <c r="C199" s="25">
        <f t="shared" si="11"/>
        <v>-1.11387290263254E-2</v>
      </c>
      <c r="D199" s="25">
        <f>$C$2+$D$2*E198+$E$2*E197+$F$2*E196</f>
        <v>8.1865126666930588E-4</v>
      </c>
      <c r="E199" s="4">
        <f t="shared" si="12"/>
        <v>-1.1957380292994707E-2</v>
      </c>
      <c r="F199" s="4">
        <f t="shared" si="9"/>
        <v>1.4297894347129817E-4</v>
      </c>
      <c r="G199" s="4">
        <f t="shared" si="10"/>
        <v>-1.1957380292994707E-2</v>
      </c>
      <c r="H199" s="4">
        <v>-5.7559567454049223E-3</v>
      </c>
      <c r="I199" s="4">
        <v>1.1060804862370321E-2</v>
      </c>
      <c r="J199" s="4">
        <v>1.1022850157182551E-2</v>
      </c>
    </row>
    <row r="200" spans="1:10" x14ac:dyDescent="0.3">
      <c r="A200" s="24">
        <v>42286</v>
      </c>
      <c r="B200" s="4">
        <v>393.5</v>
      </c>
      <c r="C200" s="25">
        <f t="shared" si="11"/>
        <v>-2.0748936760163872E-2</v>
      </c>
      <c r="D200" s="25">
        <f>$C$2+$D$2*E199+$E$2*E198+$F$2*E197</f>
        <v>6.3073779027204954E-4</v>
      </c>
      <c r="E200" s="4">
        <f t="shared" si="12"/>
        <v>-2.137967455043592E-2</v>
      </c>
      <c r="F200" s="4">
        <f t="shared" ref="F200:F219" si="13">E200^2</f>
        <v>4.570904838825574E-4</v>
      </c>
      <c r="G200" s="4">
        <f t="shared" si="10"/>
        <v>-2.137967455043592E-2</v>
      </c>
      <c r="H200" s="4">
        <v>-1.1957380292994707E-2</v>
      </c>
      <c r="I200" s="4">
        <v>-5.7559567454049223E-3</v>
      </c>
      <c r="J200" s="4">
        <v>1.1060804862370321E-2</v>
      </c>
    </row>
    <row r="201" spans="1:10" x14ac:dyDescent="0.3">
      <c r="A201" s="24">
        <v>42289</v>
      </c>
      <c r="B201" s="4">
        <v>391.75</v>
      </c>
      <c r="C201" s="25">
        <f t="shared" si="11"/>
        <v>-4.4571866213276579E-3</v>
      </c>
      <c r="D201" s="25">
        <f>$C$2+$D$2*E200+$E$2*E199+$F$2*E198</f>
        <v>-1.1798921621436228E-3</v>
      </c>
      <c r="E201" s="4">
        <f t="shared" si="12"/>
        <v>-3.277294459184035E-3</v>
      </c>
      <c r="F201" s="4">
        <f t="shared" si="13"/>
        <v>1.0740658972198376E-5</v>
      </c>
      <c r="G201" s="4">
        <f t="shared" ref="G201:G219" si="14">E201</f>
        <v>-3.277294459184035E-3</v>
      </c>
      <c r="H201" s="4">
        <v>-2.137967455043592E-2</v>
      </c>
      <c r="I201" s="4">
        <v>-1.1957380292994707E-2</v>
      </c>
      <c r="J201" s="4">
        <v>-5.7559567454049223E-3</v>
      </c>
    </row>
    <row r="202" spans="1:10" x14ac:dyDescent="0.3">
      <c r="A202" s="24">
        <v>42290</v>
      </c>
      <c r="B202" s="4">
        <v>395.5</v>
      </c>
      <c r="C202" s="25">
        <f t="shared" ref="C202:C215" si="15">LN(B202)-LN(B201)</f>
        <v>9.5269059715787918E-3</v>
      </c>
      <c r="D202" s="25">
        <f>$C$2+$D$2*E201+$E$2*E200+$F$2*E199</f>
        <v>-1.1818339214348941E-3</v>
      </c>
      <c r="E202" s="4">
        <f t="shared" si="12"/>
        <v>1.0708739893013686E-2</v>
      </c>
      <c r="F202" s="4">
        <f t="shared" si="13"/>
        <v>1.1467711009622276E-4</v>
      </c>
      <c r="G202" s="4">
        <f t="shared" si="14"/>
        <v>1.0708739893013686E-2</v>
      </c>
      <c r="H202" s="4">
        <v>-3.277294459184035E-3</v>
      </c>
      <c r="I202" s="4">
        <v>-2.137967455043592E-2</v>
      </c>
      <c r="J202" s="4">
        <v>-1.1957380292994707E-2</v>
      </c>
    </row>
    <row r="203" spans="1:10" x14ac:dyDescent="0.3">
      <c r="A203" s="24">
        <v>42291</v>
      </c>
      <c r="B203" s="4">
        <v>389.75</v>
      </c>
      <c r="C203" s="25">
        <f t="shared" si="15"/>
        <v>-1.4645279269823064E-2</v>
      </c>
      <c r="D203" s="25">
        <f>$C$2+$D$2*E202+$E$2*E201+$F$2*E200</f>
        <v>-1.6018885971314368E-3</v>
      </c>
      <c r="E203" s="4">
        <f t="shared" si="12"/>
        <v>-1.3043390672691627E-2</v>
      </c>
      <c r="F203" s="4">
        <f t="shared" si="13"/>
        <v>1.7013004024045891E-4</v>
      </c>
      <c r="G203" s="4">
        <f t="shared" si="14"/>
        <v>-1.3043390672691627E-2</v>
      </c>
      <c r="H203" s="4">
        <v>1.0708739893013686E-2</v>
      </c>
      <c r="I203" s="4">
        <v>-3.277294459184035E-3</v>
      </c>
      <c r="J203" s="4">
        <v>-2.137967455043592E-2</v>
      </c>
    </row>
    <row r="204" spans="1:10" x14ac:dyDescent="0.3">
      <c r="A204" s="24">
        <v>42292</v>
      </c>
      <c r="B204" s="4">
        <v>386.5</v>
      </c>
      <c r="C204" s="25">
        <f t="shared" si="15"/>
        <v>-8.3736399104088477E-3</v>
      </c>
      <c r="D204" s="25">
        <f>$C$2+$D$2*E203+$E$2*E202+$F$2*E201</f>
        <v>-6.9865493300111262E-4</v>
      </c>
      <c r="E204" s="4">
        <f t="shared" si="12"/>
        <v>-7.6749849774077348E-3</v>
      </c>
      <c r="F204" s="4">
        <f t="shared" si="13"/>
        <v>5.8905394403434404E-5</v>
      </c>
      <c r="G204" s="4">
        <f t="shared" si="14"/>
        <v>-7.6749849774077348E-3</v>
      </c>
      <c r="H204" s="4">
        <v>-1.3043390672691627E-2</v>
      </c>
      <c r="I204" s="4">
        <v>1.0708739893013686E-2</v>
      </c>
      <c r="J204" s="4">
        <v>-3.277294459184035E-3</v>
      </c>
    </row>
    <row r="205" spans="1:10" x14ac:dyDescent="0.3">
      <c r="A205" s="24">
        <v>42293</v>
      </c>
      <c r="B205" s="4">
        <v>387.75</v>
      </c>
      <c r="C205" s="25">
        <f t="shared" si="15"/>
        <v>3.2289340291713486E-3</v>
      </c>
      <c r="D205" s="25">
        <f>$C$2+$D$2*E204+$E$2*E203+$F$2*E202</f>
        <v>7.3105055452964455E-4</v>
      </c>
      <c r="E205" s="4">
        <f t="shared" si="12"/>
        <v>2.4978834746417042E-3</v>
      </c>
      <c r="F205" s="4">
        <f t="shared" si="13"/>
        <v>6.2394218528881132E-6</v>
      </c>
      <c r="G205" s="4">
        <f t="shared" si="14"/>
        <v>2.4978834746417042E-3</v>
      </c>
      <c r="H205" s="4">
        <v>-7.6749849774077348E-3</v>
      </c>
      <c r="I205" s="4">
        <v>-1.3043390672691627E-2</v>
      </c>
      <c r="J205" s="4">
        <v>1.0708739893013686E-2</v>
      </c>
    </row>
    <row r="206" spans="1:10" x14ac:dyDescent="0.3">
      <c r="A206" s="24">
        <v>42296</v>
      </c>
      <c r="B206" s="4">
        <v>383.75</v>
      </c>
      <c r="C206" s="25">
        <f t="shared" si="15"/>
        <v>-1.0369503155241766E-2</v>
      </c>
      <c r="D206" s="25">
        <f>$C$2+$D$2*E205+$E$2*E204+$F$2*E203</f>
        <v>-1.1017959366502695E-3</v>
      </c>
      <c r="E206" s="4">
        <f t="shared" si="12"/>
        <v>-9.2677072185914956E-3</v>
      </c>
      <c r="F206" s="4">
        <f t="shared" si="13"/>
        <v>8.5890397089532919E-5</v>
      </c>
      <c r="G206" s="4">
        <f t="shared" si="14"/>
        <v>-9.2677072185914956E-3</v>
      </c>
      <c r="H206" s="4">
        <v>2.4978834746417042E-3</v>
      </c>
      <c r="I206" s="4">
        <v>-7.6749849774077348E-3</v>
      </c>
      <c r="J206" s="4">
        <v>-1.3043390672691627E-2</v>
      </c>
    </row>
    <row r="207" spans="1:10" x14ac:dyDescent="0.3">
      <c r="A207" s="24">
        <v>42297</v>
      </c>
      <c r="B207" s="4">
        <v>387.25</v>
      </c>
      <c r="C207" s="25">
        <f t="shared" si="15"/>
        <v>9.0791803955712069E-3</v>
      </c>
      <c r="D207" s="25">
        <f>$C$2+$D$2*E206+$E$2*E205+$F$2*E204</f>
        <v>-9.7962218706017278E-4</v>
      </c>
      <c r="E207" s="4">
        <f t="shared" si="12"/>
        <v>1.0058802582631379E-2</v>
      </c>
      <c r="F207" s="4">
        <f t="shared" si="13"/>
        <v>1.0117950939635171E-4</v>
      </c>
      <c r="G207" s="4">
        <f t="shared" si="14"/>
        <v>1.0058802582631379E-2</v>
      </c>
      <c r="H207" s="4">
        <v>-9.2677072185914956E-3</v>
      </c>
      <c r="I207" s="4">
        <v>2.4978834746417042E-3</v>
      </c>
      <c r="J207" s="4">
        <v>-7.6749849774077348E-3</v>
      </c>
    </row>
    <row r="208" spans="1:10" x14ac:dyDescent="0.3">
      <c r="A208" s="24">
        <v>42298</v>
      </c>
      <c r="B208" s="4">
        <v>390.25</v>
      </c>
      <c r="C208" s="25">
        <f t="shared" si="15"/>
        <v>7.7170800985637555E-3</v>
      </c>
      <c r="D208" s="25">
        <f>$C$2+$D$2*E207+$E$2*E206+$F$2*E205</f>
        <v>5.3612246279694561E-4</v>
      </c>
      <c r="E208" s="4">
        <f t="shared" si="12"/>
        <v>7.1809576357668098E-3</v>
      </c>
      <c r="F208" s="4">
        <f t="shared" si="13"/>
        <v>5.1566152566677649E-5</v>
      </c>
      <c r="G208" s="4">
        <f t="shared" si="14"/>
        <v>7.1809576357668098E-3</v>
      </c>
      <c r="H208" s="4">
        <v>1.0058802582631379E-2</v>
      </c>
      <c r="I208" s="4">
        <v>-9.2677072185914956E-3</v>
      </c>
      <c r="J208" s="4">
        <v>2.4978834746417042E-3</v>
      </c>
    </row>
    <row r="209" spans="1:11" x14ac:dyDescent="0.3">
      <c r="A209" s="24">
        <v>42299</v>
      </c>
      <c r="B209" s="4">
        <v>388</v>
      </c>
      <c r="C209" s="25">
        <f t="shared" si="15"/>
        <v>-5.7822197722678936E-3</v>
      </c>
      <c r="D209" s="25">
        <f>$C$2+$D$2*E208+$E$2*E207+$F$2*E206</f>
        <v>-6.1605248078913568E-4</v>
      </c>
      <c r="E209" s="4">
        <f t="shared" si="12"/>
        <v>-5.166167291478758E-3</v>
      </c>
      <c r="F209" s="4">
        <f t="shared" si="13"/>
        <v>2.6689284483544965E-5</v>
      </c>
      <c r="G209" s="4">
        <f t="shared" si="14"/>
        <v>-5.166167291478758E-3</v>
      </c>
      <c r="H209" s="4">
        <v>7.1809576357668098E-3</v>
      </c>
      <c r="I209" s="4">
        <v>1.0058802582631379E-2</v>
      </c>
      <c r="J209" s="4">
        <v>-9.2677072185914956E-3</v>
      </c>
    </row>
    <row r="210" spans="1:11" x14ac:dyDescent="0.3">
      <c r="A210" s="24">
        <v>42300</v>
      </c>
      <c r="B210" s="4">
        <v>388.75</v>
      </c>
      <c r="C210" s="25">
        <f t="shared" si="15"/>
        <v>1.9311238701700262E-3</v>
      </c>
      <c r="D210" s="25">
        <f>$C$2+$D$2*E209+$E$2*E208+$F$2*E207</f>
        <v>7.4971805059474792E-4</v>
      </c>
      <c r="E210" s="4">
        <f t="shared" si="12"/>
        <v>1.1814058195752783E-3</v>
      </c>
      <c r="F210" s="4">
        <f t="shared" si="13"/>
        <v>1.395719710526335E-6</v>
      </c>
      <c r="G210" s="4">
        <f t="shared" si="14"/>
        <v>1.1814058195752783E-3</v>
      </c>
      <c r="H210" s="4">
        <v>-5.166167291478758E-3</v>
      </c>
      <c r="I210" s="4">
        <v>7.1809576357668098E-3</v>
      </c>
      <c r="J210" s="4">
        <v>1.0058802582631379E-2</v>
      </c>
    </row>
    <row r="211" spans="1:11" x14ac:dyDescent="0.3">
      <c r="A211" s="24">
        <v>42303</v>
      </c>
      <c r="B211" s="4">
        <v>393.5</v>
      </c>
      <c r="C211" s="25">
        <f t="shared" si="15"/>
        <v>1.21446043640141E-2</v>
      </c>
      <c r="D211" s="25">
        <f>$C$2+$D$2*E210+$E$2*E209+$F$2*E208</f>
        <v>6.8547034984489132E-4</v>
      </c>
      <c r="E211" s="4">
        <f t="shared" si="12"/>
        <v>1.1459134014169209E-2</v>
      </c>
      <c r="F211" s="4">
        <f t="shared" si="13"/>
        <v>1.3131175235468973E-4</v>
      </c>
      <c r="G211" s="4">
        <f t="shared" si="14"/>
        <v>1.1459134014169209E-2</v>
      </c>
      <c r="H211" s="4">
        <v>1.1814058195752783E-3</v>
      </c>
      <c r="I211" s="4">
        <v>-5.166167291478758E-3</v>
      </c>
      <c r="J211" s="4">
        <v>7.1809576357668098E-3</v>
      </c>
    </row>
    <row r="212" spans="1:11" x14ac:dyDescent="0.3">
      <c r="A212" s="24">
        <v>42304</v>
      </c>
      <c r="B212" s="4">
        <v>389.75</v>
      </c>
      <c r="C212" s="25">
        <f t="shared" si="15"/>
        <v>-9.5755599195719299E-3</v>
      </c>
      <c r="D212" s="25">
        <f>$C$2+$D$2*E211+$E$2*E210+$F$2*E209</f>
        <v>-1.1335101621017348E-4</v>
      </c>
      <c r="E212" s="4">
        <f t="shared" si="12"/>
        <v>-9.4622089033617567E-3</v>
      </c>
      <c r="F212" s="4">
        <f t="shared" si="13"/>
        <v>8.9533397330858493E-5</v>
      </c>
      <c r="G212" s="4">
        <f t="shared" si="14"/>
        <v>-9.4622089033617567E-3</v>
      </c>
      <c r="H212" s="4">
        <v>1.1459134014169209E-2</v>
      </c>
      <c r="I212" s="4">
        <v>1.1814058195752783E-3</v>
      </c>
      <c r="J212" s="4">
        <v>-5.166167291478758E-3</v>
      </c>
    </row>
    <row r="213" spans="1:11" x14ac:dyDescent="0.3">
      <c r="A213" s="24">
        <v>42305</v>
      </c>
      <c r="B213" s="4">
        <v>386</v>
      </c>
      <c r="C213" s="25">
        <f t="shared" si="15"/>
        <v>-9.6681384730548103E-3</v>
      </c>
      <c r="D213" s="25">
        <f>$C$2+$D$2*E212+$E$2*E211+$F$2*E210</f>
        <v>-1.8517879719445453E-4</v>
      </c>
      <c r="E213" s="4">
        <f t="shared" ref="E213:E215" si="16">C213-D213</f>
        <v>-9.4829596758603564E-3</v>
      </c>
      <c r="F213" s="4">
        <f t="shared" si="13"/>
        <v>8.9926524213993549E-5</v>
      </c>
      <c r="G213" s="4">
        <f t="shared" si="14"/>
        <v>-9.4829596758603564E-3</v>
      </c>
      <c r="H213" s="4">
        <v>-9.4622089033617567E-3</v>
      </c>
      <c r="I213" s="4">
        <v>1.1459134014169209E-2</v>
      </c>
      <c r="J213" s="4">
        <v>1.1814058195752783E-3</v>
      </c>
    </row>
    <row r="214" spans="1:11" x14ac:dyDescent="0.3">
      <c r="A214" s="24">
        <v>42306</v>
      </c>
      <c r="B214" s="4">
        <v>389.75</v>
      </c>
      <c r="C214" s="25">
        <f t="shared" si="15"/>
        <v>9.6681384730548103E-3</v>
      </c>
      <c r="D214" s="25">
        <f>$C$2+$D$2*E213+$E$2*E212+$F$2*E211</f>
        <v>7.4308677953580896E-4</v>
      </c>
      <c r="E214" s="4">
        <f t="shared" si="16"/>
        <v>8.9250516935190007E-3</v>
      </c>
      <c r="F214" s="4">
        <f t="shared" si="13"/>
        <v>7.9656547731986378E-5</v>
      </c>
      <c r="G214" s="4">
        <f t="shared" si="14"/>
        <v>8.9250516935190007E-3</v>
      </c>
      <c r="H214" s="4">
        <v>-9.4829596758603564E-3</v>
      </c>
      <c r="I214" s="4">
        <v>-9.4622089033617567E-3</v>
      </c>
      <c r="J214" s="4">
        <v>1.1459134014169209E-2</v>
      </c>
    </row>
    <row r="215" spans="1:11" x14ac:dyDescent="0.3">
      <c r="A215" s="24">
        <v>42307</v>
      </c>
      <c r="B215" s="4">
        <v>391.5</v>
      </c>
      <c r="C215" s="25">
        <f t="shared" si="15"/>
        <v>4.480007492971616E-3</v>
      </c>
      <c r="D215" s="25">
        <f>$C$2+$D$2*E214+$E$2*E213+$F$2*E212</f>
        <v>-5.7981791573548499E-4</v>
      </c>
      <c r="E215" s="4">
        <f t="shared" si="16"/>
        <v>5.0598254087071007E-3</v>
      </c>
      <c r="F215" s="4">
        <f t="shared" si="13"/>
        <v>2.560183316659798E-5</v>
      </c>
      <c r="G215" s="4">
        <f t="shared" si="14"/>
        <v>5.0598254087071007E-3</v>
      </c>
      <c r="H215" s="4">
        <v>8.9250516935190007E-3</v>
      </c>
      <c r="I215" s="4">
        <v>-9.4829596758603564E-3</v>
      </c>
      <c r="J215" s="4">
        <v>-9.4622089033617567E-3</v>
      </c>
    </row>
    <row r="216" spans="1:11" x14ac:dyDescent="0.3">
      <c r="A216" s="24">
        <v>42310</v>
      </c>
      <c r="F216" s="4"/>
      <c r="G216" s="4"/>
      <c r="H216" s="4"/>
      <c r="I216" s="4"/>
      <c r="J216" s="4"/>
      <c r="K216" s="23">
        <f>$M$23+$M$24*H215+$M$25*I215+$M$26*J215</f>
        <v>-6.2694590231151897E-4</v>
      </c>
    </row>
    <row r="217" spans="1:11" x14ac:dyDescent="0.3">
      <c r="A217" s="24">
        <v>42311</v>
      </c>
      <c r="F217" s="4"/>
      <c r="G217" s="4"/>
      <c r="K217" s="23">
        <f>$M$23+$M$24*K216+$M$25*H215+$M$26*I215</f>
        <v>-1.554989679574939E-3</v>
      </c>
    </row>
    <row r="218" spans="1:11" x14ac:dyDescent="0.3">
      <c r="A218" s="24">
        <v>42312</v>
      </c>
      <c r="F218" s="4"/>
      <c r="G218" s="4"/>
      <c r="K218" s="23">
        <f>$M$23+$M$24*K217+$M$25*K216+$M$26*H215</f>
        <v>3.4185480597834174E-4</v>
      </c>
    </row>
    <row r="219" spans="1:11" x14ac:dyDescent="0.3">
      <c r="A219" s="24">
        <v>42313</v>
      </c>
      <c r="F219" s="4"/>
      <c r="G219" s="4"/>
      <c r="K219" s="23">
        <f>$M$23+$M$24*K218+$M$25*K217+$M$26*K216</f>
        <v>-3.9753420167933166E-4</v>
      </c>
    </row>
    <row r="220" spans="1:11" x14ac:dyDescent="0.3">
      <c r="A220" s="24">
        <v>42314</v>
      </c>
      <c r="K220" s="23">
        <f>$M$23+$M$24*K219+$M$25*K218+$M$26*K217</f>
        <v>-5.6599539993745687E-4</v>
      </c>
    </row>
  </sheetData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13"/>
  <sheetViews>
    <sheetView tabSelected="1" topLeftCell="D4" workbookViewId="0">
      <selection activeCell="C5" sqref="C5"/>
    </sheetView>
  </sheetViews>
  <sheetFormatPr defaultRowHeight="15" x14ac:dyDescent="0.25"/>
  <cols>
    <col min="1" max="1" width="9.7109375" style="1" bestFit="1" customWidth="1"/>
    <col min="2" max="2" width="9.140625" style="1"/>
    <col min="3" max="3" width="34.140625" style="1" bestFit="1" customWidth="1"/>
    <col min="4" max="8" width="40.5703125" style="1" bestFit="1" customWidth="1"/>
    <col min="9" max="11" width="9.140625" style="1"/>
    <col min="12" max="12" width="18.7109375" style="1" bestFit="1" customWidth="1"/>
    <col min="13" max="13" width="12.5703125" style="1" bestFit="1" customWidth="1"/>
    <col min="14" max="16384" width="9.140625" style="1"/>
  </cols>
  <sheetData>
    <row r="2" spans="1:9" s="23" customFormat="1" ht="18.75" x14ac:dyDescent="0.3">
      <c r="B2" s="53"/>
      <c r="C2" s="23" t="s">
        <v>99</v>
      </c>
      <c r="D2" s="23" t="s">
        <v>100</v>
      </c>
      <c r="E2" s="23" t="s">
        <v>101</v>
      </c>
      <c r="F2" s="23" t="s">
        <v>102</v>
      </c>
      <c r="G2" s="23" t="s">
        <v>103</v>
      </c>
      <c r="H2" s="23" t="s">
        <v>104</v>
      </c>
      <c r="I2" s="23" t="s">
        <v>98</v>
      </c>
    </row>
    <row r="3" spans="1:9" ht="30" x14ac:dyDescent="0.25">
      <c r="A3" s="51">
        <v>33117</v>
      </c>
      <c r="B3" s="52" t="s">
        <v>65</v>
      </c>
      <c r="C3" s="40">
        <v>1618.7439999999999</v>
      </c>
    </row>
    <row r="4" spans="1:9" ht="30" x14ac:dyDescent="0.25">
      <c r="A4" s="51">
        <v>33208</v>
      </c>
      <c r="B4" s="52" t="s">
        <v>66</v>
      </c>
      <c r="C4" s="40">
        <v>1351.049</v>
      </c>
      <c r="D4" s="54">
        <f>C3</f>
        <v>1618.7439999999999</v>
      </c>
    </row>
    <row r="5" spans="1:9" ht="30" x14ac:dyDescent="0.25">
      <c r="A5" s="51">
        <v>33298</v>
      </c>
      <c r="B5" s="52" t="s">
        <v>67</v>
      </c>
      <c r="C5" s="40">
        <v>960.02499999999998</v>
      </c>
      <c r="D5" s="54">
        <f t="shared" ref="D5:H68" si="0">C4</f>
        <v>1351.049</v>
      </c>
      <c r="E5" s="54">
        <f>D4</f>
        <v>1618.7439999999999</v>
      </c>
    </row>
    <row r="6" spans="1:9" ht="30" x14ac:dyDescent="0.25">
      <c r="A6" s="51">
        <v>33390</v>
      </c>
      <c r="B6" s="52" t="s">
        <v>68</v>
      </c>
      <c r="C6" s="40">
        <v>679.08900000000006</v>
      </c>
      <c r="D6" s="54">
        <f t="shared" si="0"/>
        <v>960.02499999999998</v>
      </c>
      <c r="E6" s="54">
        <f t="shared" si="0"/>
        <v>1351.049</v>
      </c>
      <c r="F6" s="54">
        <f>E5</f>
        <v>1618.7439999999999</v>
      </c>
    </row>
    <row r="7" spans="1:9" ht="30" x14ac:dyDescent="0.25">
      <c r="A7" s="51">
        <v>33482</v>
      </c>
      <c r="B7" s="52" t="s">
        <v>65</v>
      </c>
      <c r="C7" s="40">
        <v>1673.65</v>
      </c>
      <c r="D7" s="54">
        <f t="shared" si="0"/>
        <v>679.08900000000006</v>
      </c>
      <c r="E7" s="54">
        <f t="shared" si="0"/>
        <v>960.02499999999998</v>
      </c>
      <c r="F7" s="54">
        <f t="shared" si="0"/>
        <v>1351.049</v>
      </c>
      <c r="G7" s="54">
        <f>F6</f>
        <v>1618.7439999999999</v>
      </c>
    </row>
    <row r="8" spans="1:9" ht="30" x14ac:dyDescent="0.25">
      <c r="A8" s="51">
        <v>33573</v>
      </c>
      <c r="B8" s="52" t="s">
        <v>66</v>
      </c>
      <c r="C8" s="40">
        <v>1266.825</v>
      </c>
      <c r="D8" s="54">
        <f t="shared" si="0"/>
        <v>1673.65</v>
      </c>
      <c r="E8" s="54">
        <f t="shared" si="0"/>
        <v>679.08900000000006</v>
      </c>
      <c r="F8" s="54">
        <f t="shared" si="0"/>
        <v>960.02499999999998</v>
      </c>
      <c r="G8" s="54">
        <f t="shared" si="0"/>
        <v>1351.049</v>
      </c>
      <c r="H8" s="54">
        <f>G7</f>
        <v>1618.7439999999999</v>
      </c>
    </row>
    <row r="9" spans="1:9" ht="30" x14ac:dyDescent="0.25">
      <c r="A9" s="51">
        <v>33664</v>
      </c>
      <c r="B9" s="52" t="s">
        <v>67</v>
      </c>
      <c r="C9" s="40">
        <v>1041.847</v>
      </c>
      <c r="D9" s="54">
        <f t="shared" si="0"/>
        <v>1266.825</v>
      </c>
      <c r="E9" s="54">
        <f t="shared" si="0"/>
        <v>1673.65</v>
      </c>
      <c r="F9" s="54">
        <f t="shared" si="0"/>
        <v>679.08900000000006</v>
      </c>
      <c r="G9" s="54">
        <f t="shared" si="0"/>
        <v>960.02499999999998</v>
      </c>
      <c r="H9" s="54">
        <f t="shared" si="0"/>
        <v>1351.049</v>
      </c>
    </row>
    <row r="10" spans="1:9" ht="30" x14ac:dyDescent="0.25">
      <c r="A10" s="51">
        <v>33756</v>
      </c>
      <c r="B10" s="52" t="s">
        <v>68</v>
      </c>
      <c r="C10" s="40">
        <v>815.59100000000001</v>
      </c>
      <c r="D10" s="54">
        <f t="shared" si="0"/>
        <v>1041.847</v>
      </c>
      <c r="E10" s="54">
        <f t="shared" si="0"/>
        <v>1266.825</v>
      </c>
      <c r="F10" s="54">
        <f t="shared" si="0"/>
        <v>1673.65</v>
      </c>
      <c r="G10" s="54">
        <f t="shared" si="0"/>
        <v>679.08900000000006</v>
      </c>
      <c r="H10" s="54">
        <f t="shared" si="0"/>
        <v>960.02499999999998</v>
      </c>
    </row>
    <row r="11" spans="1:9" ht="30" x14ac:dyDescent="0.25">
      <c r="A11" s="51">
        <v>33848</v>
      </c>
      <c r="B11" s="52" t="s">
        <v>65</v>
      </c>
      <c r="C11" s="40">
        <v>1814.316</v>
      </c>
      <c r="D11" s="54">
        <f t="shared" si="0"/>
        <v>815.59100000000001</v>
      </c>
      <c r="E11" s="54">
        <f t="shared" si="0"/>
        <v>1041.847</v>
      </c>
      <c r="F11" s="54">
        <f t="shared" si="0"/>
        <v>1266.825</v>
      </c>
      <c r="G11" s="54">
        <f t="shared" si="0"/>
        <v>1673.65</v>
      </c>
      <c r="H11" s="54">
        <f t="shared" si="0"/>
        <v>679.08900000000006</v>
      </c>
    </row>
    <row r="12" spans="1:9" ht="30" x14ac:dyDescent="0.25">
      <c r="A12" s="51">
        <v>33939</v>
      </c>
      <c r="B12" s="52" t="s">
        <v>66</v>
      </c>
      <c r="C12" s="40">
        <v>1401.098</v>
      </c>
      <c r="D12" s="54">
        <f t="shared" si="0"/>
        <v>1814.316</v>
      </c>
      <c r="E12" s="54">
        <f t="shared" si="0"/>
        <v>815.59100000000001</v>
      </c>
      <c r="F12" s="54">
        <f t="shared" si="0"/>
        <v>1041.847</v>
      </c>
      <c r="G12" s="54">
        <f t="shared" si="0"/>
        <v>1266.825</v>
      </c>
      <c r="H12" s="54">
        <f t="shared" si="0"/>
        <v>1673.65</v>
      </c>
    </row>
    <row r="13" spans="1:9" ht="30" x14ac:dyDescent="0.25">
      <c r="A13" s="51">
        <v>34029</v>
      </c>
      <c r="B13" s="52" t="s">
        <v>67</v>
      </c>
      <c r="C13" s="40">
        <v>1145.7639999999999</v>
      </c>
      <c r="D13" s="54">
        <f t="shared" si="0"/>
        <v>1401.098</v>
      </c>
      <c r="E13" s="54">
        <f t="shared" si="0"/>
        <v>1814.316</v>
      </c>
      <c r="F13" s="54">
        <f t="shared" si="0"/>
        <v>815.59100000000001</v>
      </c>
      <c r="G13" s="54">
        <f t="shared" si="0"/>
        <v>1041.847</v>
      </c>
      <c r="H13" s="54">
        <f t="shared" si="0"/>
        <v>1266.825</v>
      </c>
    </row>
    <row r="14" spans="1:9" ht="30" x14ac:dyDescent="0.25">
      <c r="A14" s="51">
        <v>34121</v>
      </c>
      <c r="B14" s="52" t="s">
        <v>68</v>
      </c>
      <c r="C14" s="40">
        <v>890.91099999999994</v>
      </c>
      <c r="D14" s="54">
        <f t="shared" si="0"/>
        <v>1145.7639999999999</v>
      </c>
      <c r="E14" s="54">
        <f t="shared" si="0"/>
        <v>1401.098</v>
      </c>
      <c r="F14" s="54">
        <f t="shared" si="0"/>
        <v>1814.316</v>
      </c>
      <c r="G14" s="54">
        <f t="shared" si="0"/>
        <v>815.59100000000001</v>
      </c>
      <c r="H14" s="54">
        <f t="shared" ref="H14:H77" si="1">G13</f>
        <v>1041.847</v>
      </c>
    </row>
    <row r="15" spans="1:9" ht="30" x14ac:dyDescent="0.25">
      <c r="A15" s="51">
        <v>34213</v>
      </c>
      <c r="B15" s="52" t="s">
        <v>65</v>
      </c>
      <c r="C15" s="40">
        <v>1701.1790000000001</v>
      </c>
      <c r="D15" s="54">
        <f t="shared" si="0"/>
        <v>890.91099999999994</v>
      </c>
      <c r="E15" s="54">
        <f t="shared" si="0"/>
        <v>1145.7639999999999</v>
      </c>
      <c r="F15" s="54">
        <f t="shared" si="0"/>
        <v>1401.098</v>
      </c>
      <c r="G15" s="54">
        <f t="shared" si="0"/>
        <v>1814.316</v>
      </c>
      <c r="H15" s="54">
        <f t="shared" si="1"/>
        <v>815.59100000000001</v>
      </c>
    </row>
    <row r="16" spans="1:9" ht="30" x14ac:dyDescent="0.25">
      <c r="A16" s="51">
        <v>34304</v>
      </c>
      <c r="B16" s="52" t="s">
        <v>66</v>
      </c>
      <c r="C16" s="40">
        <v>1239.9159999999999</v>
      </c>
      <c r="D16" s="54">
        <f t="shared" si="0"/>
        <v>1701.1790000000001</v>
      </c>
      <c r="E16" s="54">
        <f t="shared" si="0"/>
        <v>890.91099999999994</v>
      </c>
      <c r="F16" s="54">
        <f t="shared" si="0"/>
        <v>1145.7639999999999</v>
      </c>
      <c r="G16" s="54">
        <f t="shared" si="0"/>
        <v>1401.098</v>
      </c>
      <c r="H16" s="54">
        <f t="shared" si="1"/>
        <v>1814.316</v>
      </c>
    </row>
    <row r="17" spans="1:20" ht="30" x14ac:dyDescent="0.25">
      <c r="A17" s="51">
        <v>34394</v>
      </c>
      <c r="B17" s="52" t="s">
        <v>67</v>
      </c>
      <c r="C17" s="40">
        <v>949.50699999999995</v>
      </c>
      <c r="D17" s="54">
        <f t="shared" si="0"/>
        <v>1239.9159999999999</v>
      </c>
      <c r="E17" s="54">
        <f t="shared" si="0"/>
        <v>1701.1790000000001</v>
      </c>
      <c r="F17" s="54">
        <f t="shared" si="0"/>
        <v>890.91099999999994</v>
      </c>
      <c r="G17" s="54">
        <f t="shared" si="0"/>
        <v>1145.7639999999999</v>
      </c>
      <c r="H17" s="54">
        <f t="shared" si="1"/>
        <v>1401.098</v>
      </c>
    </row>
    <row r="18" spans="1:20" ht="30" x14ac:dyDescent="0.25">
      <c r="A18" s="51">
        <v>34486</v>
      </c>
      <c r="B18" s="52" t="s">
        <v>68</v>
      </c>
      <c r="C18" s="40">
        <v>789.24800000000005</v>
      </c>
      <c r="D18" s="54">
        <f t="shared" si="0"/>
        <v>949.50699999999995</v>
      </c>
      <c r="E18" s="54">
        <f t="shared" si="0"/>
        <v>1239.9159999999999</v>
      </c>
      <c r="F18" s="54">
        <f t="shared" si="0"/>
        <v>1701.1790000000001</v>
      </c>
      <c r="G18" s="54">
        <f t="shared" si="0"/>
        <v>890.91099999999994</v>
      </c>
      <c r="H18" s="54">
        <f t="shared" si="1"/>
        <v>1145.7639999999999</v>
      </c>
    </row>
    <row r="19" spans="1:20" ht="30" x14ac:dyDescent="0.25">
      <c r="A19" s="51">
        <v>34578</v>
      </c>
      <c r="B19" s="52" t="s">
        <v>65</v>
      </c>
      <c r="C19" s="40">
        <v>1962.546</v>
      </c>
      <c r="D19" s="54">
        <f t="shared" si="0"/>
        <v>789.24800000000005</v>
      </c>
      <c r="E19" s="54">
        <f t="shared" si="0"/>
        <v>949.50699999999995</v>
      </c>
      <c r="F19" s="54">
        <f t="shared" si="0"/>
        <v>1239.9159999999999</v>
      </c>
      <c r="G19" s="54">
        <f t="shared" si="0"/>
        <v>1701.1790000000001</v>
      </c>
      <c r="H19" s="54">
        <f t="shared" si="1"/>
        <v>890.91099999999994</v>
      </c>
    </row>
    <row r="20" spans="1:20" ht="30" x14ac:dyDescent="0.25">
      <c r="A20" s="51">
        <v>34669</v>
      </c>
      <c r="B20" s="52" t="s">
        <v>66</v>
      </c>
      <c r="C20" s="40">
        <v>1491.634</v>
      </c>
      <c r="D20" s="54">
        <f t="shared" si="0"/>
        <v>1962.546</v>
      </c>
      <c r="E20" s="54">
        <f t="shared" si="0"/>
        <v>789.24800000000005</v>
      </c>
      <c r="F20" s="54">
        <f t="shared" si="0"/>
        <v>949.50699999999995</v>
      </c>
      <c r="G20" s="54">
        <f t="shared" si="0"/>
        <v>1239.9159999999999</v>
      </c>
      <c r="H20" s="54">
        <f t="shared" si="1"/>
        <v>1701.1790000000001</v>
      </c>
    </row>
    <row r="21" spans="1:20" ht="30" x14ac:dyDescent="0.25">
      <c r="A21" s="51">
        <v>34759</v>
      </c>
      <c r="B21" s="52" t="s">
        <v>67</v>
      </c>
      <c r="C21" s="40">
        <v>1159.076</v>
      </c>
      <c r="D21" s="54">
        <f t="shared" si="0"/>
        <v>1491.634</v>
      </c>
      <c r="E21" s="54">
        <f t="shared" si="0"/>
        <v>1962.546</v>
      </c>
      <c r="F21" s="54">
        <f t="shared" si="0"/>
        <v>789.24800000000005</v>
      </c>
      <c r="G21" s="54">
        <f t="shared" si="0"/>
        <v>949.50699999999995</v>
      </c>
      <c r="H21" s="54">
        <f t="shared" si="1"/>
        <v>1239.9159999999999</v>
      </c>
    </row>
    <row r="22" spans="1:20" ht="30" x14ac:dyDescent="0.25">
      <c r="A22" s="51">
        <v>34851</v>
      </c>
      <c r="B22" s="52" t="s">
        <v>68</v>
      </c>
      <c r="C22" s="40">
        <v>846.40499999999997</v>
      </c>
      <c r="D22" s="54">
        <f t="shared" si="0"/>
        <v>1159.076</v>
      </c>
      <c r="E22" s="54">
        <f t="shared" si="0"/>
        <v>1491.634</v>
      </c>
      <c r="F22" s="54">
        <f t="shared" si="0"/>
        <v>1962.546</v>
      </c>
      <c r="G22" s="54">
        <f t="shared" si="0"/>
        <v>789.24800000000005</v>
      </c>
      <c r="H22" s="54">
        <f t="shared" si="1"/>
        <v>949.50699999999995</v>
      </c>
      <c r="L22" t="s">
        <v>10</v>
      </c>
      <c r="M22"/>
      <c r="N22"/>
      <c r="O22"/>
      <c r="P22"/>
      <c r="Q22"/>
      <c r="R22"/>
      <c r="S22"/>
      <c r="T22"/>
    </row>
    <row r="23" spans="1:20" ht="30.75" thickBot="1" x14ac:dyDescent="0.3">
      <c r="A23" s="51">
        <v>34943</v>
      </c>
      <c r="B23" s="52" t="s">
        <v>65</v>
      </c>
      <c r="C23" s="40">
        <v>1778.124</v>
      </c>
      <c r="D23" s="54">
        <f t="shared" si="0"/>
        <v>846.40499999999997</v>
      </c>
      <c r="E23" s="54">
        <f t="shared" si="0"/>
        <v>1159.076</v>
      </c>
      <c r="F23" s="54">
        <f t="shared" si="0"/>
        <v>1491.634</v>
      </c>
      <c r="G23" s="54">
        <f t="shared" si="0"/>
        <v>1962.546</v>
      </c>
      <c r="H23" s="54">
        <f t="shared" si="1"/>
        <v>789.24800000000005</v>
      </c>
      <c r="L23"/>
      <c r="M23"/>
      <c r="N23"/>
      <c r="O23"/>
      <c r="P23"/>
      <c r="Q23"/>
      <c r="R23"/>
      <c r="S23"/>
      <c r="T23"/>
    </row>
    <row r="24" spans="1:20" ht="30" x14ac:dyDescent="0.25">
      <c r="A24" s="51">
        <v>35034</v>
      </c>
      <c r="B24" s="52" t="s">
        <v>66</v>
      </c>
      <c r="C24" s="40">
        <v>1343.51</v>
      </c>
      <c r="D24" s="54">
        <f t="shared" si="0"/>
        <v>1778.124</v>
      </c>
      <c r="E24" s="54">
        <f t="shared" si="0"/>
        <v>846.40499999999997</v>
      </c>
      <c r="F24" s="54">
        <f t="shared" si="0"/>
        <v>1159.076</v>
      </c>
      <c r="G24" s="54">
        <f t="shared" si="0"/>
        <v>1491.634</v>
      </c>
      <c r="H24" s="54">
        <f t="shared" si="1"/>
        <v>1962.546</v>
      </c>
      <c r="L24" s="9" t="s">
        <v>11</v>
      </c>
      <c r="M24" s="9"/>
      <c r="N24"/>
      <c r="O24"/>
      <c r="P24"/>
      <c r="Q24"/>
      <c r="R24"/>
      <c r="S24"/>
      <c r="T24"/>
    </row>
    <row r="25" spans="1:20" ht="30" x14ac:dyDescent="0.25">
      <c r="A25" s="51">
        <v>35125</v>
      </c>
      <c r="B25" s="52" t="s">
        <v>67</v>
      </c>
      <c r="C25" s="40">
        <v>1044.0050000000001</v>
      </c>
      <c r="D25" s="54">
        <f t="shared" si="0"/>
        <v>1343.51</v>
      </c>
      <c r="E25" s="54">
        <f t="shared" si="0"/>
        <v>1778.124</v>
      </c>
      <c r="F25" s="54">
        <f t="shared" si="0"/>
        <v>846.40499999999997</v>
      </c>
      <c r="G25" s="54">
        <f t="shared" si="0"/>
        <v>1159.076</v>
      </c>
      <c r="H25" s="54">
        <f t="shared" si="1"/>
        <v>1491.634</v>
      </c>
      <c r="L25" s="6" t="s">
        <v>12</v>
      </c>
      <c r="M25" s="6">
        <v>0.94950039647237905</v>
      </c>
      <c r="N25"/>
      <c r="O25"/>
      <c r="P25"/>
      <c r="Q25"/>
      <c r="R25"/>
      <c r="S25"/>
      <c r="T25"/>
    </row>
    <row r="26" spans="1:20" ht="30" x14ac:dyDescent="0.25">
      <c r="A26" s="51">
        <v>35217</v>
      </c>
      <c r="B26" s="52" t="s">
        <v>68</v>
      </c>
      <c r="C26" s="40">
        <v>526.846</v>
      </c>
      <c r="D26" s="54">
        <f t="shared" si="0"/>
        <v>1044.0050000000001</v>
      </c>
      <c r="E26" s="54">
        <f t="shared" si="0"/>
        <v>1343.51</v>
      </c>
      <c r="F26" s="54">
        <f t="shared" si="0"/>
        <v>1778.124</v>
      </c>
      <c r="G26" s="54">
        <f t="shared" si="0"/>
        <v>846.40499999999997</v>
      </c>
      <c r="H26" s="54">
        <f t="shared" si="1"/>
        <v>1159.076</v>
      </c>
      <c r="L26" s="6" t="s">
        <v>13</v>
      </c>
      <c r="M26" s="6">
        <v>0.90155100290120505</v>
      </c>
      <c r="N26"/>
      <c r="O26"/>
      <c r="P26"/>
      <c r="Q26"/>
      <c r="R26"/>
      <c r="S26"/>
      <c r="T26"/>
    </row>
    <row r="27" spans="1:20" ht="30" x14ac:dyDescent="0.25">
      <c r="A27" s="51">
        <v>35309</v>
      </c>
      <c r="B27" s="52" t="s">
        <v>65</v>
      </c>
      <c r="C27" s="40">
        <v>1884.5070000000001</v>
      </c>
      <c r="D27" s="54">
        <f t="shared" si="0"/>
        <v>526.846</v>
      </c>
      <c r="E27" s="54">
        <f t="shared" si="0"/>
        <v>1044.0050000000001</v>
      </c>
      <c r="F27" s="54">
        <f t="shared" si="0"/>
        <v>1343.51</v>
      </c>
      <c r="G27" s="54">
        <f t="shared" si="0"/>
        <v>1778.124</v>
      </c>
      <c r="H27" s="54">
        <f t="shared" si="1"/>
        <v>846.40499999999997</v>
      </c>
      <c r="L27" s="6" t="s">
        <v>14</v>
      </c>
      <c r="M27" s="6">
        <v>0.89595730988422806</v>
      </c>
      <c r="N27"/>
      <c r="O27"/>
      <c r="P27"/>
      <c r="Q27"/>
      <c r="R27"/>
      <c r="S27"/>
      <c r="T27"/>
    </row>
    <row r="28" spans="1:20" ht="30" x14ac:dyDescent="0.25">
      <c r="A28" s="51">
        <v>35400</v>
      </c>
      <c r="B28" s="52" t="s">
        <v>66</v>
      </c>
      <c r="C28" s="40">
        <v>1486.1769999999999</v>
      </c>
      <c r="D28" s="54">
        <f t="shared" si="0"/>
        <v>1884.5070000000001</v>
      </c>
      <c r="E28" s="54">
        <f t="shared" si="0"/>
        <v>526.846</v>
      </c>
      <c r="F28" s="54">
        <f t="shared" si="0"/>
        <v>1044.0050000000001</v>
      </c>
      <c r="G28" s="54">
        <f t="shared" si="0"/>
        <v>1343.51</v>
      </c>
      <c r="H28" s="54">
        <f t="shared" si="1"/>
        <v>1778.124</v>
      </c>
      <c r="L28" s="6" t="s">
        <v>15</v>
      </c>
      <c r="M28" s="6">
        <v>167.26485199646982</v>
      </c>
      <c r="N28"/>
      <c r="O28"/>
      <c r="P28"/>
      <c r="Q28"/>
      <c r="R28"/>
      <c r="S28"/>
      <c r="T28"/>
    </row>
    <row r="29" spans="1:20" ht="30.75" thickBot="1" x14ac:dyDescent="0.3">
      <c r="A29" s="51">
        <v>35490</v>
      </c>
      <c r="B29" s="52" t="s">
        <v>67</v>
      </c>
      <c r="C29" s="40">
        <v>1097.4090000000001</v>
      </c>
      <c r="D29" s="54">
        <f t="shared" si="0"/>
        <v>1486.1769999999999</v>
      </c>
      <c r="E29" s="54">
        <f t="shared" si="0"/>
        <v>1884.5070000000001</v>
      </c>
      <c r="F29" s="54">
        <f t="shared" si="0"/>
        <v>526.846</v>
      </c>
      <c r="G29" s="54">
        <f t="shared" si="0"/>
        <v>1044.0050000000001</v>
      </c>
      <c r="H29" s="54">
        <f t="shared" si="1"/>
        <v>1343.51</v>
      </c>
      <c r="L29" s="7" t="s">
        <v>16</v>
      </c>
      <c r="M29" s="7">
        <v>94</v>
      </c>
      <c r="N29"/>
      <c r="O29"/>
      <c r="P29"/>
      <c r="Q29"/>
      <c r="R29"/>
      <c r="S29"/>
      <c r="T29"/>
    </row>
    <row r="30" spans="1:20" ht="30" x14ac:dyDescent="0.25">
      <c r="A30" s="51">
        <v>35582</v>
      </c>
      <c r="B30" s="52" t="s">
        <v>68</v>
      </c>
      <c r="C30" s="40">
        <v>808.95699999999999</v>
      </c>
      <c r="D30" s="54">
        <f t="shared" si="0"/>
        <v>1097.4090000000001</v>
      </c>
      <c r="E30" s="54">
        <f t="shared" si="0"/>
        <v>1486.1769999999999</v>
      </c>
      <c r="F30" s="54">
        <f t="shared" si="0"/>
        <v>1884.5070000000001</v>
      </c>
      <c r="G30" s="54">
        <f t="shared" si="0"/>
        <v>526.846</v>
      </c>
      <c r="H30" s="54">
        <f t="shared" si="1"/>
        <v>1044.0050000000001</v>
      </c>
      <c r="L30"/>
      <c r="M30"/>
      <c r="N30"/>
      <c r="O30"/>
      <c r="P30"/>
      <c r="Q30"/>
      <c r="R30"/>
      <c r="S30"/>
      <c r="T30"/>
    </row>
    <row r="31" spans="1:20" ht="30.75" thickBot="1" x14ac:dyDescent="0.3">
      <c r="A31" s="51">
        <v>35674</v>
      </c>
      <c r="B31" s="52" t="s">
        <v>65</v>
      </c>
      <c r="C31" s="40">
        <v>2026.623</v>
      </c>
      <c r="D31" s="54">
        <f t="shared" si="0"/>
        <v>808.95699999999999</v>
      </c>
      <c r="E31" s="54">
        <f t="shared" si="0"/>
        <v>1097.4090000000001</v>
      </c>
      <c r="F31" s="54">
        <f t="shared" si="0"/>
        <v>1486.1769999999999</v>
      </c>
      <c r="G31" s="54">
        <f t="shared" si="0"/>
        <v>1884.5070000000001</v>
      </c>
      <c r="H31" s="54">
        <f t="shared" si="1"/>
        <v>526.846</v>
      </c>
      <c r="L31" t="s">
        <v>17</v>
      </c>
      <c r="M31"/>
      <c r="N31"/>
      <c r="O31"/>
      <c r="P31"/>
      <c r="Q31"/>
      <c r="R31"/>
      <c r="S31"/>
      <c r="T31"/>
    </row>
    <row r="32" spans="1:20" ht="30" x14ac:dyDescent="0.25">
      <c r="A32" s="51">
        <v>35765</v>
      </c>
      <c r="B32" s="52" t="s">
        <v>66</v>
      </c>
      <c r="C32" s="40">
        <v>1494.932</v>
      </c>
      <c r="D32" s="54">
        <f t="shared" si="0"/>
        <v>2026.623</v>
      </c>
      <c r="E32" s="54">
        <f t="shared" si="0"/>
        <v>808.95699999999999</v>
      </c>
      <c r="F32" s="54">
        <f t="shared" si="0"/>
        <v>1097.4090000000001</v>
      </c>
      <c r="G32" s="54">
        <f t="shared" si="0"/>
        <v>1486.1769999999999</v>
      </c>
      <c r="H32" s="54">
        <f t="shared" si="1"/>
        <v>1884.5070000000001</v>
      </c>
      <c r="L32" s="8"/>
      <c r="M32" s="8" t="s">
        <v>22</v>
      </c>
      <c r="N32" s="8" t="s">
        <v>23</v>
      </c>
      <c r="O32" s="8" t="s">
        <v>24</v>
      </c>
      <c r="P32" s="8" t="s">
        <v>25</v>
      </c>
      <c r="Q32" s="8" t="s">
        <v>26</v>
      </c>
      <c r="R32"/>
      <c r="S32"/>
      <c r="T32"/>
    </row>
    <row r="33" spans="1:20" ht="30" x14ac:dyDescent="0.25">
      <c r="A33" s="51">
        <v>35855</v>
      </c>
      <c r="B33" s="52" t="s">
        <v>67</v>
      </c>
      <c r="C33" s="40">
        <v>1074.2550000000001</v>
      </c>
      <c r="D33" s="54">
        <f t="shared" si="0"/>
        <v>1494.932</v>
      </c>
      <c r="E33" s="54">
        <f t="shared" si="0"/>
        <v>2026.623</v>
      </c>
      <c r="F33" s="54">
        <f t="shared" si="0"/>
        <v>808.95699999999999</v>
      </c>
      <c r="G33" s="54">
        <f t="shared" si="0"/>
        <v>1097.4090000000001</v>
      </c>
      <c r="H33" s="54">
        <f t="shared" si="1"/>
        <v>1486.1769999999999</v>
      </c>
      <c r="L33" s="6" t="s">
        <v>18</v>
      </c>
      <c r="M33" s="6">
        <v>5</v>
      </c>
      <c r="N33" s="6">
        <v>22546080.734867822</v>
      </c>
      <c r="O33" s="6">
        <v>4509216.1469735643</v>
      </c>
      <c r="P33" s="6">
        <v>161.17277086264426</v>
      </c>
      <c r="Q33" s="6">
        <v>9.8886593918048782E-43</v>
      </c>
      <c r="R33"/>
      <c r="S33"/>
      <c r="T33"/>
    </row>
    <row r="34" spans="1:20" ht="30" x14ac:dyDescent="0.25">
      <c r="A34" s="51">
        <v>35947</v>
      </c>
      <c r="B34" s="52" t="s">
        <v>68</v>
      </c>
      <c r="C34" s="40">
        <v>854.66399999999999</v>
      </c>
      <c r="D34" s="54">
        <f t="shared" si="0"/>
        <v>1074.2550000000001</v>
      </c>
      <c r="E34" s="54">
        <f t="shared" si="0"/>
        <v>1494.932</v>
      </c>
      <c r="F34" s="54">
        <f t="shared" si="0"/>
        <v>2026.623</v>
      </c>
      <c r="G34" s="54">
        <f t="shared" si="0"/>
        <v>808.95699999999999</v>
      </c>
      <c r="H34" s="54">
        <f t="shared" si="1"/>
        <v>1097.4090000000001</v>
      </c>
      <c r="L34" s="6" t="s">
        <v>19</v>
      </c>
      <c r="M34" s="6">
        <v>88</v>
      </c>
      <c r="N34" s="6">
        <v>2462022.7027792842</v>
      </c>
      <c r="O34" s="6">
        <v>27977.530713400956</v>
      </c>
      <c r="P34" s="6"/>
      <c r="Q34" s="6"/>
      <c r="R34"/>
      <c r="S34"/>
      <c r="T34"/>
    </row>
    <row r="35" spans="1:20" ht="30.75" thickBot="1" x14ac:dyDescent="0.3">
      <c r="A35" s="51">
        <v>36039</v>
      </c>
      <c r="B35" s="52" t="s">
        <v>65</v>
      </c>
      <c r="C35" s="40">
        <v>2118.172</v>
      </c>
      <c r="D35" s="54">
        <f t="shared" si="0"/>
        <v>854.66399999999999</v>
      </c>
      <c r="E35" s="54">
        <f t="shared" si="0"/>
        <v>1074.2550000000001</v>
      </c>
      <c r="F35" s="54">
        <f t="shared" si="0"/>
        <v>1494.932</v>
      </c>
      <c r="G35" s="54">
        <f t="shared" si="0"/>
        <v>2026.623</v>
      </c>
      <c r="H35" s="54">
        <f t="shared" si="1"/>
        <v>808.95699999999999</v>
      </c>
      <c r="L35" s="7" t="s">
        <v>20</v>
      </c>
      <c r="M35" s="7">
        <v>93</v>
      </c>
      <c r="N35" s="7">
        <v>25008103.437647108</v>
      </c>
      <c r="O35" s="7"/>
      <c r="P35" s="7"/>
      <c r="Q35" s="7"/>
      <c r="R35"/>
      <c r="S35"/>
      <c r="T35"/>
    </row>
    <row r="36" spans="1:20" ht="30.75" thickBot="1" x14ac:dyDescent="0.3">
      <c r="A36" s="51">
        <v>36130</v>
      </c>
      <c r="B36" s="52" t="s">
        <v>66</v>
      </c>
      <c r="C36" s="40">
        <v>1453.0029999999999</v>
      </c>
      <c r="D36" s="54">
        <f t="shared" si="0"/>
        <v>2118.172</v>
      </c>
      <c r="E36" s="54">
        <f t="shared" si="0"/>
        <v>854.66399999999999</v>
      </c>
      <c r="F36" s="54">
        <f t="shared" si="0"/>
        <v>1074.2550000000001</v>
      </c>
      <c r="G36" s="54">
        <f t="shared" si="0"/>
        <v>1494.932</v>
      </c>
      <c r="H36" s="54">
        <f t="shared" si="1"/>
        <v>2026.623</v>
      </c>
      <c r="L36"/>
      <c r="M36"/>
      <c r="N36"/>
      <c r="O36"/>
      <c r="P36"/>
      <c r="Q36"/>
      <c r="R36"/>
      <c r="S36"/>
      <c r="T36"/>
    </row>
    <row r="37" spans="1:20" ht="30" x14ac:dyDescent="0.25">
      <c r="A37" s="51">
        <v>36220</v>
      </c>
      <c r="B37" s="52" t="s">
        <v>67</v>
      </c>
      <c r="C37" s="40">
        <v>1091.693</v>
      </c>
      <c r="D37" s="54">
        <f t="shared" si="0"/>
        <v>1453.0029999999999</v>
      </c>
      <c r="E37" s="54">
        <f t="shared" si="0"/>
        <v>2118.172</v>
      </c>
      <c r="F37" s="54">
        <f t="shared" si="0"/>
        <v>854.66399999999999</v>
      </c>
      <c r="G37" s="54">
        <f t="shared" si="0"/>
        <v>1074.2550000000001</v>
      </c>
      <c r="H37" s="54">
        <f t="shared" si="1"/>
        <v>1494.932</v>
      </c>
      <c r="L37" s="8"/>
      <c r="M37" s="8" t="s">
        <v>27</v>
      </c>
      <c r="N37" s="8" t="s">
        <v>15</v>
      </c>
      <c r="O37" s="8" t="s">
        <v>28</v>
      </c>
      <c r="P37" s="8" t="s">
        <v>29</v>
      </c>
      <c r="Q37" s="8" t="s">
        <v>30</v>
      </c>
      <c r="R37" s="8" t="s">
        <v>31</v>
      </c>
      <c r="S37" s="8" t="s">
        <v>32</v>
      </c>
      <c r="T37" s="8" t="s">
        <v>33</v>
      </c>
    </row>
    <row r="38" spans="1:20" ht="30" x14ac:dyDescent="0.25">
      <c r="A38" s="51">
        <v>36312</v>
      </c>
      <c r="B38" s="52" t="s">
        <v>68</v>
      </c>
      <c r="C38" s="40">
        <v>789.52700000000004</v>
      </c>
      <c r="D38" s="54">
        <f t="shared" si="0"/>
        <v>1091.693</v>
      </c>
      <c r="E38" s="54">
        <f t="shared" si="0"/>
        <v>1453.0029999999999</v>
      </c>
      <c r="F38" s="54">
        <f t="shared" si="0"/>
        <v>2118.172</v>
      </c>
      <c r="G38" s="54">
        <f t="shared" si="0"/>
        <v>854.66399999999999</v>
      </c>
      <c r="H38" s="54">
        <f t="shared" si="1"/>
        <v>1074.2550000000001</v>
      </c>
      <c r="L38" s="6" t="s">
        <v>21</v>
      </c>
      <c r="M38" s="6">
        <v>389.84065279690628</v>
      </c>
      <c r="N38" s="6">
        <v>192.59554809847182</v>
      </c>
      <c r="O38" s="6">
        <v>2.0241415580259692</v>
      </c>
      <c r="P38" s="6">
        <v>4.5988136624892699E-2</v>
      </c>
      <c r="Q38" s="6">
        <v>7.0974720492087044</v>
      </c>
      <c r="R38" s="6">
        <v>772.58383354460386</v>
      </c>
      <c r="S38" s="6">
        <v>7.0974720492087044</v>
      </c>
      <c r="T38" s="6">
        <v>772.58383354460386</v>
      </c>
    </row>
    <row r="39" spans="1:20" ht="30" x14ac:dyDescent="0.25">
      <c r="A39" s="51">
        <v>36404</v>
      </c>
      <c r="B39" s="52" t="s">
        <v>65</v>
      </c>
      <c r="C39" s="40">
        <v>2183.0320000000002</v>
      </c>
      <c r="D39" s="54">
        <f t="shared" si="0"/>
        <v>789.52700000000004</v>
      </c>
      <c r="E39" s="54">
        <f t="shared" si="0"/>
        <v>1091.693</v>
      </c>
      <c r="F39" s="54">
        <f t="shared" si="0"/>
        <v>1453.0029999999999</v>
      </c>
      <c r="G39" s="54">
        <f t="shared" si="0"/>
        <v>2118.172</v>
      </c>
      <c r="H39" s="54">
        <f t="shared" si="1"/>
        <v>854.66399999999999</v>
      </c>
      <c r="L39" s="6" t="s">
        <v>34</v>
      </c>
      <c r="M39" s="6">
        <v>1.1586843163240138E-2</v>
      </c>
      <c r="N39" s="6">
        <v>0.10731835331918502</v>
      </c>
      <c r="O39" s="6">
        <v>0.10796702339234261</v>
      </c>
      <c r="P39" s="6">
        <v>0.91426763815362166</v>
      </c>
      <c r="Q39" s="6">
        <v>-0.20168583269834703</v>
      </c>
      <c r="R39" s="6">
        <v>0.22485951902482729</v>
      </c>
      <c r="S39" s="6">
        <v>-0.20168583269834703</v>
      </c>
      <c r="T39" s="6">
        <v>0.22485951902482729</v>
      </c>
    </row>
    <row r="40" spans="1:20" ht="30" x14ac:dyDescent="0.25">
      <c r="A40" s="51">
        <v>36495</v>
      </c>
      <c r="B40" s="52" t="s">
        <v>66</v>
      </c>
      <c r="C40" s="40">
        <v>1521.742</v>
      </c>
      <c r="D40" s="54">
        <f t="shared" si="0"/>
        <v>2183.0320000000002</v>
      </c>
      <c r="E40" s="54">
        <f t="shared" si="0"/>
        <v>789.52700000000004</v>
      </c>
      <c r="F40" s="54">
        <f t="shared" si="0"/>
        <v>1091.693</v>
      </c>
      <c r="G40" s="54">
        <f t="shared" si="0"/>
        <v>1453.0029999999999</v>
      </c>
      <c r="H40" s="54">
        <f t="shared" si="1"/>
        <v>2118.172</v>
      </c>
      <c r="L40" s="6" t="s">
        <v>35</v>
      </c>
      <c r="M40" s="6">
        <v>-6.6382398733664652E-2</v>
      </c>
      <c r="N40" s="6">
        <v>4.4507190163015187E-2</v>
      </c>
      <c r="O40" s="6">
        <v>-1.4914983060158995</v>
      </c>
      <c r="P40" s="6">
        <v>0.1394068908609129</v>
      </c>
      <c r="Q40" s="6">
        <v>-0.15483108665673839</v>
      </c>
      <c r="R40" s="6">
        <v>2.2066289189409075E-2</v>
      </c>
      <c r="S40" s="6">
        <v>-0.15483108665673839</v>
      </c>
      <c r="T40" s="6">
        <v>2.2066289189409075E-2</v>
      </c>
    </row>
    <row r="41" spans="1:20" ht="30" x14ac:dyDescent="0.25">
      <c r="A41" s="51">
        <v>36586</v>
      </c>
      <c r="B41" s="52" t="s">
        <v>67</v>
      </c>
      <c r="C41" s="40">
        <v>1050.174</v>
      </c>
      <c r="D41" s="54">
        <f t="shared" si="0"/>
        <v>1521.742</v>
      </c>
      <c r="E41" s="54">
        <f t="shared" si="0"/>
        <v>2183.0320000000002</v>
      </c>
      <c r="F41" s="54">
        <f t="shared" si="0"/>
        <v>789.52700000000004</v>
      </c>
      <c r="G41" s="54">
        <f t="shared" si="0"/>
        <v>1091.693</v>
      </c>
      <c r="H41" s="54">
        <f t="shared" si="1"/>
        <v>1453.0029999999999</v>
      </c>
      <c r="L41" s="6" t="s">
        <v>52</v>
      </c>
      <c r="M41" s="6">
        <v>-7.0823016878102135E-2</v>
      </c>
      <c r="N41" s="6">
        <v>4.4742360476014188E-2</v>
      </c>
      <c r="O41" s="6">
        <v>-1.5829074757034658</v>
      </c>
      <c r="P41" s="6">
        <v>0.11703007272386697</v>
      </c>
      <c r="Q41" s="6">
        <v>-0.15973905638070796</v>
      </c>
      <c r="R41" s="6">
        <v>1.8093022624503671E-2</v>
      </c>
      <c r="S41" s="6">
        <v>-0.15973905638070796</v>
      </c>
      <c r="T41" s="6">
        <v>1.8093022624503671E-2</v>
      </c>
    </row>
    <row r="42" spans="1:20" ht="30" x14ac:dyDescent="0.25">
      <c r="A42" s="51">
        <v>36678</v>
      </c>
      <c r="B42" s="52" t="s">
        <v>68</v>
      </c>
      <c r="C42" s="40">
        <v>887.81700000000001</v>
      </c>
      <c r="D42" s="54">
        <f t="shared" si="0"/>
        <v>1050.174</v>
      </c>
      <c r="E42" s="54">
        <f t="shared" si="0"/>
        <v>1521.742</v>
      </c>
      <c r="F42" s="54">
        <f t="shared" si="0"/>
        <v>2183.0320000000002</v>
      </c>
      <c r="G42" s="54">
        <f t="shared" si="0"/>
        <v>789.52700000000004</v>
      </c>
      <c r="H42" s="54">
        <f t="shared" si="1"/>
        <v>1091.693</v>
      </c>
      <c r="L42" s="6" t="s">
        <v>96</v>
      </c>
      <c r="M42" s="6">
        <v>0.91580678485317946</v>
      </c>
      <c r="N42" s="6">
        <v>4.5366733825196237E-2</v>
      </c>
      <c r="O42" s="6">
        <v>20.186747152261365</v>
      </c>
      <c r="P42" s="6">
        <v>8.8108841474083606E-35</v>
      </c>
      <c r="Q42" s="6">
        <v>0.82564993452187352</v>
      </c>
      <c r="R42" s="6">
        <v>1.0059636351844854</v>
      </c>
      <c r="S42" s="6">
        <v>0.82564993452187352</v>
      </c>
      <c r="T42" s="6">
        <v>1.0059636351844854</v>
      </c>
    </row>
    <row r="43" spans="1:20" ht="30.75" thickBot="1" x14ac:dyDescent="0.3">
      <c r="A43" s="51">
        <v>36770</v>
      </c>
      <c r="B43" s="52" t="s">
        <v>65</v>
      </c>
      <c r="C43" s="40">
        <v>2125.163</v>
      </c>
      <c r="D43" s="54">
        <f t="shared" si="0"/>
        <v>887.81700000000001</v>
      </c>
      <c r="E43" s="54">
        <f t="shared" si="0"/>
        <v>1050.174</v>
      </c>
      <c r="F43" s="54">
        <f t="shared" si="0"/>
        <v>1521.742</v>
      </c>
      <c r="G43" s="54">
        <f t="shared" si="0"/>
        <v>2183.0320000000002</v>
      </c>
      <c r="H43" s="54">
        <f t="shared" si="1"/>
        <v>789.52700000000004</v>
      </c>
      <c r="L43" s="7" t="s">
        <v>97</v>
      </c>
      <c r="M43" s="7">
        <v>-7.9533135262033913E-2</v>
      </c>
      <c r="N43" s="7">
        <v>0.10885784544727788</v>
      </c>
      <c r="O43" s="7">
        <v>-0.7306146372385578</v>
      </c>
      <c r="P43" s="7">
        <v>0.46695531468253137</v>
      </c>
      <c r="Q43" s="7">
        <v>-0.29586522822676736</v>
      </c>
      <c r="R43" s="7">
        <v>0.13679895770269956</v>
      </c>
      <c r="S43" s="7">
        <v>-0.29586522822676736</v>
      </c>
      <c r="T43" s="7">
        <v>0.13679895770269956</v>
      </c>
    </row>
    <row r="44" spans="1:20" ht="30" x14ac:dyDescent="0.25">
      <c r="A44" s="51">
        <v>36861</v>
      </c>
      <c r="B44" s="52" t="s">
        <v>66</v>
      </c>
      <c r="C44" s="40">
        <v>1601.9659999999999</v>
      </c>
      <c r="D44" s="54">
        <f t="shared" si="0"/>
        <v>2125.163</v>
      </c>
      <c r="E44" s="54">
        <f t="shared" si="0"/>
        <v>887.81700000000001</v>
      </c>
      <c r="F44" s="54">
        <f t="shared" si="0"/>
        <v>1050.174</v>
      </c>
      <c r="G44" s="54">
        <f t="shared" si="0"/>
        <v>1521.742</v>
      </c>
      <c r="H44" s="54">
        <f t="shared" si="1"/>
        <v>2183.0320000000002</v>
      </c>
      <c r="L44"/>
      <c r="M44"/>
      <c r="N44"/>
      <c r="O44"/>
      <c r="P44"/>
      <c r="Q44"/>
      <c r="R44"/>
      <c r="S44"/>
      <c r="T44"/>
    </row>
    <row r="45" spans="1:20" ht="30" x14ac:dyDescent="0.25">
      <c r="A45" s="51">
        <v>36951</v>
      </c>
      <c r="B45" s="52" t="s">
        <v>67</v>
      </c>
      <c r="C45" s="40">
        <v>1147.7529999999999</v>
      </c>
      <c r="D45" s="54">
        <f t="shared" si="0"/>
        <v>1601.9659999999999</v>
      </c>
      <c r="E45" s="54">
        <f t="shared" si="0"/>
        <v>2125.163</v>
      </c>
      <c r="F45" s="54">
        <f t="shared" si="0"/>
        <v>887.81700000000001</v>
      </c>
      <c r="G45" s="54">
        <f t="shared" si="0"/>
        <v>1050.174</v>
      </c>
      <c r="H45" s="54">
        <f t="shared" si="1"/>
        <v>1521.742</v>
      </c>
      <c r="L45"/>
      <c r="M45"/>
      <c r="N45"/>
      <c r="O45"/>
      <c r="P45"/>
      <c r="Q45"/>
      <c r="R45"/>
      <c r="S45"/>
      <c r="T45"/>
    </row>
    <row r="46" spans="1:20" ht="30" x14ac:dyDescent="0.25">
      <c r="A46" s="51">
        <v>37043</v>
      </c>
      <c r="B46" s="52" t="s">
        <v>68</v>
      </c>
      <c r="C46" s="40">
        <v>947.17200000000003</v>
      </c>
      <c r="D46" s="54">
        <f t="shared" si="0"/>
        <v>1147.7529999999999</v>
      </c>
      <c r="E46" s="54">
        <f t="shared" si="0"/>
        <v>1601.9659999999999</v>
      </c>
      <c r="F46" s="54">
        <f t="shared" si="0"/>
        <v>2125.163</v>
      </c>
      <c r="G46" s="54">
        <f t="shared" si="0"/>
        <v>887.81700000000001</v>
      </c>
      <c r="H46" s="54">
        <f t="shared" si="1"/>
        <v>1050.174</v>
      </c>
      <c r="L46"/>
      <c r="M46"/>
      <c r="N46"/>
      <c r="O46"/>
      <c r="P46"/>
      <c r="Q46"/>
      <c r="R46"/>
      <c r="S46"/>
      <c r="T46"/>
    </row>
    <row r="47" spans="1:20" ht="30" x14ac:dyDescent="0.25">
      <c r="A47" s="51">
        <v>37135</v>
      </c>
      <c r="B47" s="52" t="s">
        <v>65</v>
      </c>
      <c r="C47" s="40">
        <v>2194.268</v>
      </c>
      <c r="D47" s="54">
        <f t="shared" si="0"/>
        <v>947.17200000000003</v>
      </c>
      <c r="E47" s="54">
        <f t="shared" si="0"/>
        <v>1147.7529999999999</v>
      </c>
      <c r="F47" s="54">
        <f t="shared" si="0"/>
        <v>1601.9659999999999</v>
      </c>
      <c r="G47" s="54">
        <f t="shared" si="0"/>
        <v>2125.163</v>
      </c>
      <c r="H47" s="54">
        <f t="shared" si="1"/>
        <v>887.81700000000001</v>
      </c>
    </row>
    <row r="48" spans="1:20" ht="30" x14ac:dyDescent="0.25">
      <c r="A48" s="51">
        <v>37226</v>
      </c>
      <c r="B48" s="52" t="s">
        <v>66</v>
      </c>
      <c r="C48" s="40">
        <v>1537.61</v>
      </c>
      <c r="D48" s="54">
        <f t="shared" si="0"/>
        <v>2194.268</v>
      </c>
      <c r="E48" s="54">
        <f t="shared" si="0"/>
        <v>947.17200000000003</v>
      </c>
      <c r="F48" s="54">
        <f t="shared" si="0"/>
        <v>1147.7529999999999</v>
      </c>
      <c r="G48" s="54">
        <f t="shared" si="0"/>
        <v>1601.9659999999999</v>
      </c>
      <c r="H48" s="54">
        <f t="shared" si="1"/>
        <v>2125.163</v>
      </c>
    </row>
    <row r="49" spans="1:8" ht="30" x14ac:dyDescent="0.25">
      <c r="A49" s="51">
        <v>37316</v>
      </c>
      <c r="B49" s="52" t="s">
        <v>67</v>
      </c>
      <c r="C49" s="40">
        <v>1162.953</v>
      </c>
      <c r="D49" s="54">
        <f t="shared" si="0"/>
        <v>1537.61</v>
      </c>
      <c r="E49" s="54">
        <f t="shared" si="0"/>
        <v>2194.268</v>
      </c>
      <c r="F49" s="54">
        <f t="shared" si="0"/>
        <v>947.17200000000003</v>
      </c>
      <c r="G49" s="54">
        <f t="shared" si="0"/>
        <v>1147.7529999999999</v>
      </c>
      <c r="H49" s="54">
        <f t="shared" si="1"/>
        <v>1601.9659999999999</v>
      </c>
    </row>
    <row r="50" spans="1:8" ht="30" x14ac:dyDescent="0.25">
      <c r="A50" s="51">
        <v>37408</v>
      </c>
      <c r="B50" s="52" t="s">
        <v>68</v>
      </c>
      <c r="C50" s="40">
        <v>953.91600000000005</v>
      </c>
      <c r="D50" s="54">
        <f t="shared" si="0"/>
        <v>1162.953</v>
      </c>
      <c r="E50" s="54">
        <f t="shared" si="0"/>
        <v>1537.61</v>
      </c>
      <c r="F50" s="54">
        <f t="shared" si="0"/>
        <v>2194.268</v>
      </c>
      <c r="G50" s="54">
        <f t="shared" si="0"/>
        <v>947.17200000000003</v>
      </c>
      <c r="H50" s="54">
        <f t="shared" si="1"/>
        <v>1147.7529999999999</v>
      </c>
    </row>
    <row r="51" spans="1:8" ht="30" x14ac:dyDescent="0.25">
      <c r="A51" s="51">
        <v>37500</v>
      </c>
      <c r="B51" s="52" t="s">
        <v>65</v>
      </c>
      <c r="C51" s="40">
        <v>1982.5630000000001</v>
      </c>
      <c r="D51" s="54">
        <f t="shared" si="0"/>
        <v>953.91600000000005</v>
      </c>
      <c r="E51" s="54">
        <f t="shared" si="0"/>
        <v>1162.953</v>
      </c>
      <c r="F51" s="54">
        <f t="shared" si="0"/>
        <v>1537.61</v>
      </c>
      <c r="G51" s="54">
        <f t="shared" si="0"/>
        <v>2194.268</v>
      </c>
      <c r="H51" s="54">
        <f t="shared" si="1"/>
        <v>947.17200000000003</v>
      </c>
    </row>
    <row r="52" spans="1:8" ht="30" x14ac:dyDescent="0.25">
      <c r="A52" s="51">
        <v>37591</v>
      </c>
      <c r="B52" s="52" t="s">
        <v>66</v>
      </c>
      <c r="C52" s="40">
        <v>1554.296</v>
      </c>
      <c r="D52" s="54">
        <f t="shared" si="0"/>
        <v>1982.5630000000001</v>
      </c>
      <c r="E52" s="54">
        <f t="shared" si="0"/>
        <v>953.91600000000005</v>
      </c>
      <c r="F52" s="54">
        <f t="shared" si="0"/>
        <v>1162.953</v>
      </c>
      <c r="G52" s="54">
        <f t="shared" si="0"/>
        <v>1537.61</v>
      </c>
      <c r="H52" s="54">
        <f t="shared" si="1"/>
        <v>2194.268</v>
      </c>
    </row>
    <row r="53" spans="1:8" ht="30" x14ac:dyDescent="0.25">
      <c r="A53" s="51">
        <v>37681</v>
      </c>
      <c r="B53" s="52" t="s">
        <v>67</v>
      </c>
      <c r="C53" s="40">
        <v>1137.2170000000001</v>
      </c>
      <c r="D53" s="54">
        <f t="shared" si="0"/>
        <v>1554.296</v>
      </c>
      <c r="E53" s="54">
        <f t="shared" si="0"/>
        <v>1982.5630000000001</v>
      </c>
      <c r="F53" s="54">
        <f t="shared" si="0"/>
        <v>953.91600000000005</v>
      </c>
      <c r="G53" s="54">
        <f t="shared" si="0"/>
        <v>1162.953</v>
      </c>
      <c r="H53" s="54">
        <f t="shared" si="1"/>
        <v>1537.61</v>
      </c>
    </row>
    <row r="54" spans="1:8" ht="30" x14ac:dyDescent="0.25">
      <c r="A54" s="51">
        <v>37773</v>
      </c>
      <c r="B54" s="52" t="s">
        <v>68</v>
      </c>
      <c r="C54" s="40">
        <v>874.23599999999999</v>
      </c>
      <c r="D54" s="54">
        <f t="shared" si="0"/>
        <v>1137.2170000000001</v>
      </c>
      <c r="E54" s="54">
        <f t="shared" si="0"/>
        <v>1554.296</v>
      </c>
      <c r="F54" s="54">
        <f t="shared" si="0"/>
        <v>1982.5630000000001</v>
      </c>
      <c r="G54" s="54">
        <f t="shared" si="0"/>
        <v>953.91600000000005</v>
      </c>
      <c r="H54" s="54">
        <f t="shared" si="1"/>
        <v>1162.953</v>
      </c>
    </row>
    <row r="55" spans="1:8" ht="30" x14ac:dyDescent="0.25">
      <c r="A55" s="51">
        <v>37865</v>
      </c>
      <c r="B55" s="52" t="s">
        <v>65</v>
      </c>
      <c r="C55" s="40">
        <v>2160.4839999999999</v>
      </c>
      <c r="D55" s="54">
        <f t="shared" si="0"/>
        <v>874.23599999999999</v>
      </c>
      <c r="E55" s="54">
        <f t="shared" si="0"/>
        <v>1137.2170000000001</v>
      </c>
      <c r="F55" s="54">
        <f t="shared" si="0"/>
        <v>1554.296</v>
      </c>
      <c r="G55" s="54">
        <f t="shared" si="0"/>
        <v>1982.5630000000001</v>
      </c>
      <c r="H55" s="54">
        <f t="shared" si="1"/>
        <v>953.91600000000005</v>
      </c>
    </row>
    <row r="56" spans="1:8" ht="30" x14ac:dyDescent="0.25">
      <c r="A56" s="51">
        <v>37956</v>
      </c>
      <c r="B56" s="52" t="s">
        <v>66</v>
      </c>
      <c r="C56" s="40">
        <v>1569.345</v>
      </c>
      <c r="D56" s="54">
        <f t="shared" si="0"/>
        <v>2160.4839999999999</v>
      </c>
      <c r="E56" s="54">
        <f t="shared" si="0"/>
        <v>874.23599999999999</v>
      </c>
      <c r="F56" s="54">
        <f t="shared" si="0"/>
        <v>1137.2170000000001</v>
      </c>
      <c r="G56" s="54">
        <f t="shared" si="0"/>
        <v>1554.296</v>
      </c>
      <c r="H56" s="54">
        <f t="shared" si="1"/>
        <v>1982.5630000000001</v>
      </c>
    </row>
    <row r="57" spans="1:8" ht="30" x14ac:dyDescent="0.25">
      <c r="A57" s="51">
        <v>38047</v>
      </c>
      <c r="B57" s="52" t="s">
        <v>67</v>
      </c>
      <c r="C57" s="40">
        <v>1162.4590000000001</v>
      </c>
      <c r="D57" s="54">
        <f t="shared" si="0"/>
        <v>1569.345</v>
      </c>
      <c r="E57" s="54">
        <f t="shared" si="0"/>
        <v>2160.4839999999999</v>
      </c>
      <c r="F57" s="54">
        <f t="shared" si="0"/>
        <v>874.23599999999999</v>
      </c>
      <c r="G57" s="54">
        <f t="shared" si="0"/>
        <v>1137.2170000000001</v>
      </c>
      <c r="H57" s="54">
        <f t="shared" si="1"/>
        <v>1554.296</v>
      </c>
    </row>
    <row r="58" spans="1:8" ht="30" x14ac:dyDescent="0.25">
      <c r="A58" s="51">
        <v>38139</v>
      </c>
      <c r="B58" s="52" t="s">
        <v>68</v>
      </c>
      <c r="C58" s="40">
        <v>888.952</v>
      </c>
      <c r="D58" s="54">
        <f t="shared" si="0"/>
        <v>1162.4590000000001</v>
      </c>
      <c r="E58" s="54">
        <f t="shared" si="0"/>
        <v>1569.345</v>
      </c>
      <c r="F58" s="54">
        <f t="shared" si="0"/>
        <v>2160.4839999999999</v>
      </c>
      <c r="G58" s="54">
        <f t="shared" si="0"/>
        <v>874.23599999999999</v>
      </c>
      <c r="H58" s="54">
        <f t="shared" si="1"/>
        <v>1137.2170000000001</v>
      </c>
    </row>
    <row r="59" spans="1:8" ht="30" x14ac:dyDescent="0.25">
      <c r="A59" s="51">
        <v>38231</v>
      </c>
      <c r="B59" s="52" t="s">
        <v>65</v>
      </c>
      <c r="C59" s="40">
        <v>2168.6590000000001</v>
      </c>
      <c r="D59" s="54">
        <f t="shared" si="0"/>
        <v>888.952</v>
      </c>
      <c r="E59" s="54">
        <f t="shared" si="0"/>
        <v>1162.4590000000001</v>
      </c>
      <c r="F59" s="54">
        <f t="shared" si="0"/>
        <v>1569.345</v>
      </c>
      <c r="G59" s="54">
        <f t="shared" si="0"/>
        <v>2160.4839999999999</v>
      </c>
      <c r="H59" s="54">
        <f t="shared" si="1"/>
        <v>874.23599999999999</v>
      </c>
    </row>
    <row r="60" spans="1:8" ht="30" x14ac:dyDescent="0.25">
      <c r="A60" s="51">
        <v>38322</v>
      </c>
      <c r="B60" s="52" t="s">
        <v>66</v>
      </c>
      <c r="C60" s="40">
        <v>1618.961</v>
      </c>
      <c r="D60" s="54">
        <f t="shared" si="0"/>
        <v>2168.6590000000001</v>
      </c>
      <c r="E60" s="54">
        <f t="shared" si="0"/>
        <v>888.952</v>
      </c>
      <c r="F60" s="54">
        <f t="shared" si="0"/>
        <v>1162.4590000000001</v>
      </c>
      <c r="G60" s="54">
        <f t="shared" si="0"/>
        <v>1569.345</v>
      </c>
      <c r="H60" s="54">
        <f t="shared" si="1"/>
        <v>2160.4839999999999</v>
      </c>
    </row>
    <row r="61" spans="1:8" ht="30" x14ac:dyDescent="0.25">
      <c r="A61" s="51">
        <v>38412</v>
      </c>
      <c r="B61" s="52" t="s">
        <v>67</v>
      </c>
      <c r="C61" s="40">
        <v>1304.6469999999999</v>
      </c>
      <c r="D61" s="54">
        <f t="shared" si="0"/>
        <v>1618.961</v>
      </c>
      <c r="E61" s="54">
        <f t="shared" si="0"/>
        <v>2168.6590000000001</v>
      </c>
      <c r="F61" s="54">
        <f t="shared" si="0"/>
        <v>888.952</v>
      </c>
      <c r="G61" s="54">
        <f t="shared" si="0"/>
        <v>1162.4590000000001</v>
      </c>
      <c r="H61" s="54">
        <f t="shared" si="1"/>
        <v>1569.345</v>
      </c>
    </row>
    <row r="62" spans="1:8" ht="30" x14ac:dyDescent="0.25">
      <c r="A62" s="51">
        <v>38504</v>
      </c>
      <c r="B62" s="52" t="s">
        <v>68</v>
      </c>
      <c r="C62" s="40">
        <v>1042.808</v>
      </c>
      <c r="D62" s="54">
        <f t="shared" si="0"/>
        <v>1304.6469999999999</v>
      </c>
      <c r="E62" s="54">
        <f t="shared" si="0"/>
        <v>1618.961</v>
      </c>
      <c r="F62" s="54">
        <f t="shared" si="0"/>
        <v>2168.6590000000001</v>
      </c>
      <c r="G62" s="54">
        <f t="shared" si="0"/>
        <v>888.952</v>
      </c>
      <c r="H62" s="54">
        <f t="shared" si="1"/>
        <v>1162.4590000000001</v>
      </c>
    </row>
    <row r="63" spans="1:8" ht="30" x14ac:dyDescent="0.25">
      <c r="A63" s="51">
        <v>38596</v>
      </c>
      <c r="B63" s="52" t="s">
        <v>65</v>
      </c>
      <c r="C63" s="40">
        <v>2229.9229999999998</v>
      </c>
      <c r="D63" s="54">
        <f t="shared" si="0"/>
        <v>1042.808</v>
      </c>
      <c r="E63" s="54">
        <f t="shared" si="0"/>
        <v>1304.6469999999999</v>
      </c>
      <c r="F63" s="54">
        <f t="shared" si="0"/>
        <v>1618.961</v>
      </c>
      <c r="G63" s="54">
        <f t="shared" si="0"/>
        <v>2168.6590000000001</v>
      </c>
      <c r="H63" s="54">
        <f t="shared" si="1"/>
        <v>888.952</v>
      </c>
    </row>
    <row r="64" spans="1:8" ht="30" x14ac:dyDescent="0.25">
      <c r="A64" s="51">
        <v>38687</v>
      </c>
      <c r="B64" s="52" t="s">
        <v>66</v>
      </c>
      <c r="C64" s="40">
        <v>1639.028</v>
      </c>
      <c r="D64" s="54">
        <f t="shared" si="0"/>
        <v>2229.9229999999998</v>
      </c>
      <c r="E64" s="54">
        <f t="shared" si="0"/>
        <v>1042.808</v>
      </c>
      <c r="F64" s="54">
        <f t="shared" si="0"/>
        <v>1304.6469999999999</v>
      </c>
      <c r="G64" s="54">
        <f t="shared" si="0"/>
        <v>1618.961</v>
      </c>
      <c r="H64" s="54">
        <f t="shared" si="1"/>
        <v>2168.6590000000001</v>
      </c>
    </row>
    <row r="65" spans="1:8" ht="30" x14ac:dyDescent="0.25">
      <c r="A65" s="51">
        <v>38777</v>
      </c>
      <c r="B65" s="52" t="s">
        <v>67</v>
      </c>
      <c r="C65" s="40">
        <v>1283.165</v>
      </c>
      <c r="D65" s="54">
        <f t="shared" si="0"/>
        <v>1639.028</v>
      </c>
      <c r="E65" s="54">
        <f t="shared" si="0"/>
        <v>2229.9229999999998</v>
      </c>
      <c r="F65" s="54">
        <f t="shared" si="0"/>
        <v>1042.808</v>
      </c>
      <c r="G65" s="54">
        <f t="shared" si="0"/>
        <v>1304.6469999999999</v>
      </c>
      <c r="H65" s="54">
        <f t="shared" si="1"/>
        <v>1618.961</v>
      </c>
    </row>
    <row r="66" spans="1:8" ht="30" x14ac:dyDescent="0.25">
      <c r="A66" s="51">
        <v>38869</v>
      </c>
      <c r="B66" s="52" t="s">
        <v>68</v>
      </c>
      <c r="C66" s="40">
        <v>962.94600000000003</v>
      </c>
      <c r="D66" s="54">
        <f t="shared" si="0"/>
        <v>1283.165</v>
      </c>
      <c r="E66" s="54">
        <f t="shared" si="0"/>
        <v>1639.028</v>
      </c>
      <c r="F66" s="54">
        <f t="shared" si="0"/>
        <v>2229.9229999999998</v>
      </c>
      <c r="G66" s="54">
        <f t="shared" si="0"/>
        <v>1042.808</v>
      </c>
      <c r="H66" s="54">
        <f t="shared" si="1"/>
        <v>1304.6469999999999</v>
      </c>
    </row>
    <row r="67" spans="1:8" ht="30" x14ac:dyDescent="0.25">
      <c r="A67" s="51">
        <v>38961</v>
      </c>
      <c r="B67" s="52" t="s">
        <v>65</v>
      </c>
      <c r="C67" s="40">
        <v>2159.36</v>
      </c>
      <c r="D67" s="54">
        <f t="shared" si="0"/>
        <v>962.94600000000003</v>
      </c>
      <c r="E67" s="54">
        <f t="shared" si="0"/>
        <v>1283.165</v>
      </c>
      <c r="F67" s="54">
        <f t="shared" si="0"/>
        <v>1639.028</v>
      </c>
      <c r="G67" s="54">
        <f t="shared" si="0"/>
        <v>2229.9229999999998</v>
      </c>
      <c r="H67" s="54">
        <f t="shared" si="1"/>
        <v>1042.808</v>
      </c>
    </row>
    <row r="68" spans="1:8" ht="30" x14ac:dyDescent="0.25">
      <c r="A68" s="51">
        <v>39052</v>
      </c>
      <c r="B68" s="52" t="s">
        <v>66</v>
      </c>
      <c r="C68" s="40">
        <v>1521.752</v>
      </c>
      <c r="D68" s="54">
        <f t="shared" si="0"/>
        <v>2159.36</v>
      </c>
      <c r="E68" s="54">
        <f t="shared" si="0"/>
        <v>962.94600000000003</v>
      </c>
      <c r="F68" s="54">
        <f t="shared" si="0"/>
        <v>1283.165</v>
      </c>
      <c r="G68" s="54">
        <f t="shared" si="0"/>
        <v>1639.028</v>
      </c>
      <c r="H68" s="54">
        <f t="shared" si="1"/>
        <v>2229.9229999999998</v>
      </c>
    </row>
    <row r="69" spans="1:8" ht="30" x14ac:dyDescent="0.25">
      <c r="A69" s="51">
        <v>39142</v>
      </c>
      <c r="B69" s="52" t="s">
        <v>67</v>
      </c>
      <c r="C69" s="40">
        <v>1113.106</v>
      </c>
      <c r="D69" s="54">
        <f t="shared" ref="D69:H101" si="2">C68</f>
        <v>1521.752</v>
      </c>
      <c r="E69" s="54">
        <f t="shared" si="2"/>
        <v>2159.36</v>
      </c>
      <c r="F69" s="54">
        <f t="shared" si="2"/>
        <v>962.94600000000003</v>
      </c>
      <c r="G69" s="54">
        <f t="shared" si="2"/>
        <v>1283.165</v>
      </c>
      <c r="H69" s="54">
        <f t="shared" si="1"/>
        <v>1639.028</v>
      </c>
    </row>
    <row r="70" spans="1:8" ht="30" x14ac:dyDescent="0.25">
      <c r="A70" s="51">
        <v>39234</v>
      </c>
      <c r="B70" s="52" t="s">
        <v>68</v>
      </c>
      <c r="C70" s="40">
        <v>745.91399999999999</v>
      </c>
      <c r="D70" s="54">
        <f t="shared" si="2"/>
        <v>1113.106</v>
      </c>
      <c r="E70" s="54">
        <f t="shared" si="2"/>
        <v>1521.752</v>
      </c>
      <c r="F70" s="54">
        <f t="shared" si="2"/>
        <v>2159.36</v>
      </c>
      <c r="G70" s="54">
        <f t="shared" si="2"/>
        <v>962.94600000000003</v>
      </c>
      <c r="H70" s="54">
        <f t="shared" si="1"/>
        <v>1283.165</v>
      </c>
    </row>
    <row r="71" spans="1:8" ht="30" x14ac:dyDescent="0.25">
      <c r="A71" s="51">
        <v>39326</v>
      </c>
      <c r="B71" s="52" t="s">
        <v>65</v>
      </c>
      <c r="C71" s="40">
        <v>2386.7600000000002</v>
      </c>
      <c r="D71" s="54">
        <f t="shared" si="2"/>
        <v>745.91399999999999</v>
      </c>
      <c r="E71" s="54">
        <f t="shared" si="2"/>
        <v>1113.106</v>
      </c>
      <c r="F71" s="54">
        <f t="shared" si="2"/>
        <v>1521.752</v>
      </c>
      <c r="G71" s="54">
        <f t="shared" si="2"/>
        <v>2159.36</v>
      </c>
      <c r="H71" s="54">
        <f t="shared" si="1"/>
        <v>962.94600000000003</v>
      </c>
    </row>
    <row r="72" spans="1:8" ht="30" x14ac:dyDescent="0.25">
      <c r="A72" s="51">
        <v>39417</v>
      </c>
      <c r="B72" s="52" t="s">
        <v>66</v>
      </c>
      <c r="C72" s="40">
        <v>1734.1130000000001</v>
      </c>
      <c r="D72" s="54">
        <f t="shared" si="2"/>
        <v>2386.7600000000002</v>
      </c>
      <c r="E72" s="54">
        <f t="shared" si="2"/>
        <v>745.91399999999999</v>
      </c>
      <c r="F72" s="54">
        <f t="shared" si="2"/>
        <v>1113.106</v>
      </c>
      <c r="G72" s="54">
        <f t="shared" si="2"/>
        <v>1521.752</v>
      </c>
      <c r="H72" s="54">
        <f t="shared" si="1"/>
        <v>2159.36</v>
      </c>
    </row>
    <row r="73" spans="1:8" ht="30" x14ac:dyDescent="0.25">
      <c r="A73" s="51">
        <v>39508</v>
      </c>
      <c r="B73" s="52" t="s">
        <v>67</v>
      </c>
      <c r="C73" s="40">
        <v>1068.799</v>
      </c>
      <c r="D73" s="54">
        <f t="shared" si="2"/>
        <v>1734.1130000000001</v>
      </c>
      <c r="E73" s="54">
        <f t="shared" si="2"/>
        <v>2386.7600000000002</v>
      </c>
      <c r="F73" s="54">
        <f t="shared" si="2"/>
        <v>745.91399999999999</v>
      </c>
      <c r="G73" s="54">
        <f t="shared" si="2"/>
        <v>1113.106</v>
      </c>
      <c r="H73" s="54">
        <f t="shared" si="1"/>
        <v>1521.752</v>
      </c>
    </row>
    <row r="74" spans="1:8" ht="30" x14ac:dyDescent="0.25">
      <c r="A74" s="51">
        <v>39600</v>
      </c>
      <c r="B74" s="52" t="s">
        <v>68</v>
      </c>
      <c r="C74" s="40">
        <v>668.06799999999998</v>
      </c>
      <c r="D74" s="54">
        <f t="shared" si="2"/>
        <v>1068.799</v>
      </c>
      <c r="E74" s="54">
        <f t="shared" si="2"/>
        <v>1734.1130000000001</v>
      </c>
      <c r="F74" s="54">
        <f t="shared" si="2"/>
        <v>2386.7600000000002</v>
      </c>
      <c r="G74" s="54">
        <f t="shared" si="2"/>
        <v>745.91399999999999</v>
      </c>
      <c r="H74" s="54">
        <f t="shared" si="1"/>
        <v>1113.106</v>
      </c>
    </row>
    <row r="75" spans="1:8" ht="30" x14ac:dyDescent="0.25">
      <c r="A75" s="51">
        <v>39692</v>
      </c>
      <c r="B75" s="52" t="s">
        <v>65</v>
      </c>
      <c r="C75" s="40">
        <v>1930.03</v>
      </c>
      <c r="D75" s="54">
        <f t="shared" si="2"/>
        <v>668.06799999999998</v>
      </c>
      <c r="E75" s="54">
        <f t="shared" si="2"/>
        <v>1068.799</v>
      </c>
      <c r="F75" s="54">
        <f t="shared" si="2"/>
        <v>1734.1130000000001</v>
      </c>
      <c r="G75" s="54">
        <f t="shared" si="2"/>
        <v>2386.7600000000002</v>
      </c>
      <c r="H75" s="54">
        <f t="shared" si="1"/>
        <v>745.91399999999999</v>
      </c>
    </row>
    <row r="76" spans="1:8" ht="30" x14ac:dyDescent="0.25">
      <c r="A76" s="51">
        <v>39783</v>
      </c>
      <c r="B76" s="52" t="s">
        <v>66</v>
      </c>
      <c r="C76" s="40">
        <v>1572.89</v>
      </c>
      <c r="D76" s="54">
        <f t="shared" si="2"/>
        <v>1930.03</v>
      </c>
      <c r="E76" s="54">
        <f t="shared" si="2"/>
        <v>668.06799999999998</v>
      </c>
      <c r="F76" s="54">
        <f t="shared" si="2"/>
        <v>1068.799</v>
      </c>
      <c r="G76" s="54">
        <f t="shared" si="2"/>
        <v>1734.1130000000001</v>
      </c>
      <c r="H76" s="54">
        <f t="shared" si="1"/>
        <v>2386.7600000000002</v>
      </c>
    </row>
    <row r="77" spans="1:8" ht="30" x14ac:dyDescent="0.25">
      <c r="A77" s="51">
        <v>39873</v>
      </c>
      <c r="B77" s="52" t="s">
        <v>67</v>
      </c>
      <c r="C77" s="40">
        <v>946.82100000000003</v>
      </c>
      <c r="D77" s="54">
        <f t="shared" si="2"/>
        <v>1572.89</v>
      </c>
      <c r="E77" s="54">
        <f t="shared" si="2"/>
        <v>1930.03</v>
      </c>
      <c r="F77" s="54">
        <f t="shared" si="2"/>
        <v>668.06799999999998</v>
      </c>
      <c r="G77" s="54">
        <f t="shared" si="2"/>
        <v>1068.799</v>
      </c>
      <c r="H77" s="54">
        <f t="shared" si="1"/>
        <v>1734.1130000000001</v>
      </c>
    </row>
    <row r="78" spans="1:8" ht="30" x14ac:dyDescent="0.25">
      <c r="A78" s="51">
        <v>39965</v>
      </c>
      <c r="B78" s="52" t="s">
        <v>68</v>
      </c>
      <c r="C78" s="40">
        <v>683.66899999999998</v>
      </c>
      <c r="D78" s="54">
        <f t="shared" si="2"/>
        <v>946.82100000000003</v>
      </c>
      <c r="E78" s="54">
        <f t="shared" si="2"/>
        <v>1572.89</v>
      </c>
      <c r="F78" s="54">
        <f t="shared" si="2"/>
        <v>1930.03</v>
      </c>
      <c r="G78" s="54">
        <f t="shared" si="2"/>
        <v>668.06799999999998</v>
      </c>
      <c r="H78" s="54">
        <f t="shared" si="2"/>
        <v>1068.799</v>
      </c>
    </row>
    <row r="79" spans="1:8" ht="30" x14ac:dyDescent="0.25">
      <c r="A79" s="51">
        <v>40057</v>
      </c>
      <c r="B79" s="52" t="s">
        <v>65</v>
      </c>
      <c r="C79" s="40">
        <v>1990.077</v>
      </c>
      <c r="D79" s="54">
        <f t="shared" si="2"/>
        <v>683.66899999999998</v>
      </c>
      <c r="E79" s="54">
        <f t="shared" si="2"/>
        <v>946.82100000000003</v>
      </c>
      <c r="F79" s="54">
        <f t="shared" si="2"/>
        <v>1572.89</v>
      </c>
      <c r="G79" s="54">
        <f t="shared" si="2"/>
        <v>1930.03</v>
      </c>
      <c r="H79" s="54">
        <f t="shared" si="2"/>
        <v>668.06799999999998</v>
      </c>
    </row>
    <row r="80" spans="1:8" ht="30" x14ac:dyDescent="0.25">
      <c r="A80" s="51">
        <v>40148</v>
      </c>
      <c r="B80" s="52" t="s">
        <v>66</v>
      </c>
      <c r="C80" s="40">
        <v>1341.241</v>
      </c>
      <c r="D80" s="54">
        <f t="shared" si="2"/>
        <v>1990.077</v>
      </c>
      <c r="E80" s="54">
        <f t="shared" si="2"/>
        <v>683.66899999999998</v>
      </c>
      <c r="F80" s="54">
        <f t="shared" si="2"/>
        <v>946.82100000000003</v>
      </c>
      <c r="G80" s="54">
        <f t="shared" si="2"/>
        <v>1572.89</v>
      </c>
      <c r="H80" s="54">
        <f t="shared" si="2"/>
        <v>1930.03</v>
      </c>
    </row>
    <row r="81" spans="1:8" ht="30" x14ac:dyDescent="0.25">
      <c r="A81" s="51">
        <v>40238</v>
      </c>
      <c r="B81" s="52" t="s">
        <v>67</v>
      </c>
      <c r="C81" s="40">
        <v>1273.3630000000001</v>
      </c>
      <c r="D81" s="54">
        <f t="shared" si="2"/>
        <v>1341.241</v>
      </c>
      <c r="E81" s="54">
        <f t="shared" si="2"/>
        <v>1990.077</v>
      </c>
      <c r="F81" s="54">
        <f t="shared" si="2"/>
        <v>683.66899999999998</v>
      </c>
      <c r="G81" s="54">
        <f t="shared" si="2"/>
        <v>946.82100000000003</v>
      </c>
      <c r="H81" s="54">
        <f t="shared" si="2"/>
        <v>1572.89</v>
      </c>
    </row>
    <row r="82" spans="1:8" ht="30" x14ac:dyDescent="0.25">
      <c r="A82" s="51">
        <v>40330</v>
      </c>
      <c r="B82" s="52" t="s">
        <v>68</v>
      </c>
      <c r="C82" s="40">
        <v>496.31299999999999</v>
      </c>
      <c r="D82" s="54">
        <f t="shared" si="2"/>
        <v>1273.3630000000001</v>
      </c>
      <c r="E82" s="54">
        <f t="shared" si="2"/>
        <v>1341.241</v>
      </c>
      <c r="F82" s="54">
        <f t="shared" si="2"/>
        <v>1990.077</v>
      </c>
      <c r="G82" s="54">
        <f t="shared" si="2"/>
        <v>683.66899999999998</v>
      </c>
      <c r="H82" s="54">
        <f t="shared" si="2"/>
        <v>946.82100000000003</v>
      </c>
    </row>
    <row r="83" spans="1:8" ht="30" x14ac:dyDescent="0.25">
      <c r="A83" s="51">
        <v>40422</v>
      </c>
      <c r="B83" s="52" t="s">
        <v>65</v>
      </c>
      <c r="C83" s="40">
        <v>2047.327</v>
      </c>
      <c r="D83" s="54">
        <f t="shared" si="2"/>
        <v>496.31299999999999</v>
      </c>
      <c r="E83" s="54">
        <f t="shared" si="2"/>
        <v>1273.3630000000001</v>
      </c>
      <c r="F83" s="54">
        <f t="shared" si="2"/>
        <v>1341.241</v>
      </c>
      <c r="G83" s="54">
        <f t="shared" si="2"/>
        <v>1990.077</v>
      </c>
      <c r="H83" s="54">
        <f t="shared" si="2"/>
        <v>683.66899999999998</v>
      </c>
    </row>
    <row r="84" spans="1:8" ht="30" x14ac:dyDescent="0.25">
      <c r="A84" s="51">
        <v>40513</v>
      </c>
      <c r="B84" s="52" t="s">
        <v>66</v>
      </c>
      <c r="C84" s="40">
        <v>1562.4159999999999</v>
      </c>
      <c r="D84" s="54">
        <f t="shared" si="2"/>
        <v>2047.327</v>
      </c>
      <c r="E84" s="54">
        <f t="shared" si="2"/>
        <v>496.31299999999999</v>
      </c>
      <c r="F84" s="54">
        <f t="shared" si="2"/>
        <v>1273.3630000000001</v>
      </c>
      <c r="G84" s="54">
        <f t="shared" si="2"/>
        <v>1341.241</v>
      </c>
      <c r="H84" s="54">
        <f t="shared" si="2"/>
        <v>1990.077</v>
      </c>
    </row>
    <row r="85" spans="1:8" ht="30" x14ac:dyDescent="0.25">
      <c r="A85" s="51">
        <v>40603</v>
      </c>
      <c r="B85" s="52" t="s">
        <v>67</v>
      </c>
      <c r="C85" s="40">
        <v>714.93799999999999</v>
      </c>
      <c r="D85" s="54">
        <f t="shared" si="2"/>
        <v>1562.4159999999999</v>
      </c>
      <c r="E85" s="54">
        <f t="shared" si="2"/>
        <v>2047.327</v>
      </c>
      <c r="F85" s="54">
        <f t="shared" si="2"/>
        <v>496.31299999999999</v>
      </c>
      <c r="G85" s="54">
        <f t="shared" si="2"/>
        <v>1273.3630000000001</v>
      </c>
      <c r="H85" s="54">
        <f t="shared" si="2"/>
        <v>1341.241</v>
      </c>
    </row>
    <row r="86" spans="1:8" ht="30" x14ac:dyDescent="0.25">
      <c r="A86" s="51">
        <v>40695</v>
      </c>
      <c r="B86" s="52" t="s">
        <v>68</v>
      </c>
      <c r="C86" s="40">
        <v>452.01299999999998</v>
      </c>
      <c r="D86" s="54">
        <f t="shared" si="2"/>
        <v>714.93799999999999</v>
      </c>
      <c r="E86" s="54">
        <f t="shared" si="2"/>
        <v>1562.4159999999999</v>
      </c>
      <c r="F86" s="54">
        <f t="shared" si="2"/>
        <v>2047.327</v>
      </c>
      <c r="G86" s="54">
        <f t="shared" si="2"/>
        <v>496.31299999999999</v>
      </c>
      <c r="H86" s="54">
        <f t="shared" si="2"/>
        <v>1273.3630000000001</v>
      </c>
    </row>
    <row r="87" spans="1:8" ht="30" x14ac:dyDescent="0.25">
      <c r="A87" s="51">
        <v>40787</v>
      </c>
      <c r="B87" s="52" t="s">
        <v>65</v>
      </c>
      <c r="C87" s="40">
        <v>1781.86</v>
      </c>
      <c r="D87" s="54">
        <f t="shared" si="2"/>
        <v>452.01299999999998</v>
      </c>
      <c r="E87" s="54">
        <f t="shared" si="2"/>
        <v>714.93799999999999</v>
      </c>
      <c r="F87" s="54">
        <f t="shared" si="2"/>
        <v>1562.4159999999999</v>
      </c>
      <c r="G87" s="54">
        <f t="shared" si="2"/>
        <v>2047.327</v>
      </c>
      <c r="H87" s="54">
        <f t="shared" si="2"/>
        <v>496.31299999999999</v>
      </c>
    </row>
    <row r="88" spans="1:8" ht="30" x14ac:dyDescent="0.25">
      <c r="A88" s="51">
        <v>40878</v>
      </c>
      <c r="B88" s="52" t="s">
        <v>66</v>
      </c>
      <c r="C88" s="40">
        <v>1546.1949999999999</v>
      </c>
      <c r="D88" s="54">
        <f t="shared" si="2"/>
        <v>1781.86</v>
      </c>
      <c r="E88" s="54">
        <f t="shared" si="2"/>
        <v>452.01299999999998</v>
      </c>
      <c r="F88" s="54">
        <f t="shared" si="2"/>
        <v>714.93799999999999</v>
      </c>
      <c r="G88" s="54">
        <f t="shared" si="2"/>
        <v>1562.4159999999999</v>
      </c>
      <c r="H88" s="54">
        <f t="shared" si="2"/>
        <v>2047.327</v>
      </c>
    </row>
    <row r="89" spans="1:8" ht="30" x14ac:dyDescent="0.25">
      <c r="A89" s="51">
        <v>40969</v>
      </c>
      <c r="B89" s="52" t="s">
        <v>67</v>
      </c>
      <c r="C89" s="40">
        <v>861.99199999999996</v>
      </c>
      <c r="D89" s="54">
        <f t="shared" si="2"/>
        <v>1546.1949999999999</v>
      </c>
      <c r="E89" s="54">
        <f t="shared" si="2"/>
        <v>1781.86</v>
      </c>
      <c r="F89" s="54">
        <f t="shared" si="2"/>
        <v>452.01299999999998</v>
      </c>
      <c r="G89" s="54">
        <f t="shared" si="2"/>
        <v>714.93799999999999</v>
      </c>
      <c r="H89" s="54">
        <f t="shared" si="2"/>
        <v>1562.4159999999999</v>
      </c>
    </row>
    <row r="90" spans="1:8" ht="30" x14ac:dyDescent="0.25">
      <c r="A90" s="51">
        <v>41061</v>
      </c>
      <c r="B90" s="52" t="s">
        <v>68</v>
      </c>
      <c r="C90" s="40">
        <v>328.48099999999999</v>
      </c>
      <c r="D90" s="54">
        <f t="shared" si="2"/>
        <v>861.99199999999996</v>
      </c>
      <c r="E90" s="54">
        <f t="shared" si="2"/>
        <v>1546.1949999999999</v>
      </c>
      <c r="F90" s="54">
        <f t="shared" si="2"/>
        <v>1781.86</v>
      </c>
      <c r="G90" s="54">
        <f t="shared" si="2"/>
        <v>452.01299999999998</v>
      </c>
      <c r="H90" s="54">
        <f t="shared" si="2"/>
        <v>714.93799999999999</v>
      </c>
    </row>
    <row r="91" spans="1:8" ht="30" x14ac:dyDescent="0.25">
      <c r="A91" s="51">
        <v>41153</v>
      </c>
      <c r="B91" s="52" t="s">
        <v>65</v>
      </c>
      <c r="C91" s="40">
        <v>2059.6979999999999</v>
      </c>
      <c r="D91" s="54">
        <f t="shared" si="2"/>
        <v>328.48099999999999</v>
      </c>
      <c r="E91" s="54">
        <f t="shared" si="2"/>
        <v>861.99199999999996</v>
      </c>
      <c r="F91" s="54">
        <f t="shared" si="2"/>
        <v>1546.1949999999999</v>
      </c>
      <c r="G91" s="54">
        <f t="shared" si="2"/>
        <v>1781.86</v>
      </c>
      <c r="H91" s="54">
        <f t="shared" si="2"/>
        <v>452.01299999999998</v>
      </c>
    </row>
    <row r="92" spans="1:8" ht="30" x14ac:dyDescent="0.25">
      <c r="A92" s="51">
        <v>41244</v>
      </c>
      <c r="B92" s="52" t="s">
        <v>66</v>
      </c>
      <c r="C92" s="40">
        <v>1087.335</v>
      </c>
      <c r="D92" s="54">
        <f t="shared" si="2"/>
        <v>2059.6979999999999</v>
      </c>
      <c r="E92" s="54">
        <f t="shared" si="2"/>
        <v>328.48099999999999</v>
      </c>
      <c r="F92" s="54">
        <f t="shared" si="2"/>
        <v>861.99199999999996</v>
      </c>
      <c r="G92" s="54">
        <f t="shared" si="2"/>
        <v>1546.1949999999999</v>
      </c>
      <c r="H92" s="54">
        <f t="shared" si="2"/>
        <v>1781.86</v>
      </c>
    </row>
    <row r="93" spans="1:8" ht="30" x14ac:dyDescent="0.25">
      <c r="A93" s="51">
        <v>41334</v>
      </c>
      <c r="B93" s="52" t="s">
        <v>67</v>
      </c>
      <c r="C93" s="40">
        <v>920.66700000000003</v>
      </c>
      <c r="D93" s="54">
        <f t="shared" si="2"/>
        <v>1087.335</v>
      </c>
      <c r="E93" s="54">
        <f t="shared" si="2"/>
        <v>2059.6979999999999</v>
      </c>
      <c r="F93" s="54">
        <f t="shared" si="2"/>
        <v>328.48099999999999</v>
      </c>
      <c r="G93" s="54">
        <f t="shared" si="2"/>
        <v>861.99199999999996</v>
      </c>
      <c r="H93" s="54">
        <f t="shared" si="2"/>
        <v>1546.1949999999999</v>
      </c>
    </row>
    <row r="94" spans="1:8" ht="30" x14ac:dyDescent="0.25">
      <c r="A94" s="51">
        <v>41426</v>
      </c>
      <c r="B94" s="52" t="s">
        <v>68</v>
      </c>
      <c r="C94" s="40">
        <v>247.31700000000001</v>
      </c>
      <c r="D94" s="54">
        <f t="shared" si="2"/>
        <v>920.66700000000003</v>
      </c>
      <c r="E94" s="54">
        <f t="shared" si="2"/>
        <v>1087.335</v>
      </c>
      <c r="F94" s="54">
        <f t="shared" si="2"/>
        <v>2059.6979999999999</v>
      </c>
      <c r="G94" s="54">
        <f t="shared" si="2"/>
        <v>328.48099999999999</v>
      </c>
      <c r="H94" s="54">
        <f t="shared" si="2"/>
        <v>861.99199999999996</v>
      </c>
    </row>
    <row r="95" spans="1:8" ht="30" x14ac:dyDescent="0.25">
      <c r="A95" s="51">
        <v>41518</v>
      </c>
      <c r="B95" s="52" t="s">
        <v>65</v>
      </c>
      <c r="C95" s="40">
        <v>2311.9369999999999</v>
      </c>
      <c r="D95" s="54">
        <f t="shared" si="2"/>
        <v>247.31700000000001</v>
      </c>
      <c r="E95" s="54">
        <f t="shared" si="2"/>
        <v>920.66700000000003</v>
      </c>
      <c r="F95" s="54">
        <f t="shared" si="2"/>
        <v>1087.335</v>
      </c>
      <c r="G95" s="54">
        <f t="shared" si="2"/>
        <v>2059.6979999999999</v>
      </c>
      <c r="H95" s="54">
        <f t="shared" si="2"/>
        <v>328.48099999999999</v>
      </c>
    </row>
    <row r="96" spans="1:8" ht="30" x14ac:dyDescent="0.25">
      <c r="A96" s="51">
        <v>41609</v>
      </c>
      <c r="B96" s="52" t="s">
        <v>66</v>
      </c>
      <c r="C96" s="40">
        <v>1458.8130000000001</v>
      </c>
      <c r="D96" s="54">
        <f t="shared" si="2"/>
        <v>2311.9369999999999</v>
      </c>
      <c r="E96" s="54">
        <f t="shared" si="2"/>
        <v>247.31700000000001</v>
      </c>
      <c r="F96" s="54">
        <f t="shared" si="2"/>
        <v>920.66700000000003</v>
      </c>
      <c r="G96" s="54">
        <f t="shared" si="2"/>
        <v>1087.335</v>
      </c>
      <c r="H96" s="54">
        <f t="shared" si="2"/>
        <v>2059.6979999999999</v>
      </c>
    </row>
    <row r="97" spans="1:9" ht="30" x14ac:dyDescent="0.25">
      <c r="A97" s="51">
        <v>41699</v>
      </c>
      <c r="B97" s="52" t="s">
        <v>67</v>
      </c>
      <c r="C97" s="40">
        <v>864.81200000000001</v>
      </c>
      <c r="D97" s="54">
        <f t="shared" si="2"/>
        <v>1458.8130000000001</v>
      </c>
      <c r="E97" s="54">
        <f t="shared" si="2"/>
        <v>2311.9369999999999</v>
      </c>
      <c r="F97" s="54">
        <f t="shared" si="2"/>
        <v>247.31700000000001</v>
      </c>
      <c r="G97" s="54">
        <f t="shared" si="2"/>
        <v>920.66700000000003</v>
      </c>
      <c r="H97" s="54">
        <f t="shared" si="2"/>
        <v>1087.335</v>
      </c>
    </row>
    <row r="98" spans="1:9" ht="30" x14ac:dyDescent="0.25">
      <c r="A98" s="51">
        <v>41791</v>
      </c>
      <c r="B98" s="52" t="s">
        <v>68</v>
      </c>
      <c r="C98" s="40">
        <v>405.04399999999998</v>
      </c>
      <c r="D98" s="54">
        <f t="shared" si="2"/>
        <v>864.81200000000001</v>
      </c>
      <c r="E98" s="54">
        <f t="shared" si="2"/>
        <v>1458.8130000000001</v>
      </c>
      <c r="F98" s="54">
        <f t="shared" si="2"/>
        <v>2311.9369999999999</v>
      </c>
      <c r="G98" s="54">
        <f t="shared" si="2"/>
        <v>247.31700000000001</v>
      </c>
      <c r="H98" s="54">
        <f t="shared" si="2"/>
        <v>920.66700000000003</v>
      </c>
    </row>
    <row r="99" spans="1:9" ht="30" x14ac:dyDescent="0.25">
      <c r="A99" s="51">
        <v>41883</v>
      </c>
      <c r="B99" s="52" t="s">
        <v>65</v>
      </c>
      <c r="C99" s="40">
        <v>2229.7579999999998</v>
      </c>
      <c r="D99" s="54">
        <f t="shared" si="2"/>
        <v>405.04399999999998</v>
      </c>
      <c r="E99" s="54">
        <f t="shared" si="2"/>
        <v>864.81200000000001</v>
      </c>
      <c r="F99" s="54">
        <f t="shared" si="2"/>
        <v>1458.8130000000001</v>
      </c>
      <c r="G99" s="54">
        <f t="shared" si="2"/>
        <v>2311.9369999999999</v>
      </c>
      <c r="H99" s="54">
        <f t="shared" si="2"/>
        <v>247.31700000000001</v>
      </c>
    </row>
    <row r="100" spans="1:9" ht="30" x14ac:dyDescent="0.25">
      <c r="A100" s="51">
        <v>41974</v>
      </c>
      <c r="B100" s="52" t="s">
        <v>66</v>
      </c>
      <c r="C100" s="40">
        <v>1437.8510000000001</v>
      </c>
      <c r="D100" s="54">
        <f t="shared" si="2"/>
        <v>2229.7579999999998</v>
      </c>
      <c r="E100" s="54">
        <f t="shared" si="2"/>
        <v>405.04399999999998</v>
      </c>
      <c r="F100" s="54">
        <f t="shared" si="2"/>
        <v>864.81200000000001</v>
      </c>
      <c r="G100" s="54">
        <f t="shared" si="2"/>
        <v>1458.8130000000001</v>
      </c>
      <c r="H100" s="54">
        <f t="shared" si="2"/>
        <v>2311.9369999999999</v>
      </c>
    </row>
    <row r="101" spans="1:9" ht="30" x14ac:dyDescent="0.25">
      <c r="A101" s="51">
        <v>42064</v>
      </c>
      <c r="B101" s="52" t="s">
        <v>67</v>
      </c>
      <c r="C101" s="40">
        <v>1117.25</v>
      </c>
      <c r="D101" s="54">
        <f t="shared" si="2"/>
        <v>1437.8510000000001</v>
      </c>
      <c r="E101" s="54">
        <f t="shared" si="2"/>
        <v>2229.7579999999998</v>
      </c>
      <c r="F101" s="54">
        <f t="shared" si="2"/>
        <v>405.04399999999998</v>
      </c>
      <c r="G101" s="54">
        <f t="shared" si="2"/>
        <v>864.81200000000001</v>
      </c>
      <c r="H101" s="54">
        <f t="shared" si="2"/>
        <v>1458.8130000000001</v>
      </c>
    </row>
    <row r="102" spans="1:9" x14ac:dyDescent="0.25">
      <c r="A102" s="55">
        <v>42156</v>
      </c>
      <c r="I102" s="1">
        <f>M38+$M$39*D101+$M$40*E101+$M$41*F101+$M$42*G101+$M$43*H101</f>
        <v>905.77440971349597</v>
      </c>
    </row>
    <row r="103" spans="1:9" x14ac:dyDescent="0.25">
      <c r="A103" s="55">
        <v>42248</v>
      </c>
      <c r="I103" s="1">
        <f>M39+$M$39*I102+$M$40*D101+$M$41*E101+$M$42*F101+$M$43*G101</f>
        <v>59.301299591949359</v>
      </c>
    </row>
    <row r="104" spans="1:9" x14ac:dyDescent="0.25">
      <c r="A104" s="55">
        <v>42339</v>
      </c>
      <c r="I104" s="1">
        <f>M40+$M$39*I103+$M$40*I102+$M$41*D101+$M$42*E101+$M$43*F101</f>
        <v>1848.4733945310477</v>
      </c>
    </row>
    <row r="105" spans="1:9" x14ac:dyDescent="0.25">
      <c r="A105" s="55">
        <v>42430</v>
      </c>
      <c r="I105" s="1">
        <f>M41+$M$39*I104+$M$40*I103+$M$41*I102+$M$42*D101+$M$43*E101</f>
        <v>1092.7149662674728</v>
      </c>
    </row>
    <row r="106" spans="1:9" x14ac:dyDescent="0.25">
      <c r="A106" s="55">
        <v>42522</v>
      </c>
      <c r="I106" s="1">
        <f>M42+$M$39*I105+$M$40*I104+$M$41*I103+$M$42*I102+$M$43*D101</f>
        <v>601.82848074724757</v>
      </c>
    </row>
    <row r="107" spans="1:9" x14ac:dyDescent="0.25">
      <c r="A107" s="55">
        <v>42614</v>
      </c>
      <c r="I107" s="1">
        <f>M43+$M$39*I106+$M$40*I105+$M$41*I104+$M$42*I103+$M$43*I102</f>
        <v>-214.28829005799213</v>
      </c>
    </row>
    <row r="108" spans="1:9" x14ac:dyDescent="0.25">
      <c r="A108" s="55">
        <v>42705</v>
      </c>
      <c r="I108" s="1">
        <f>M44+$M$39*I107+$M$40*I106+$M$41*I105+$M$42*I104+$M$43*I103</f>
        <v>1568.3049445646843</v>
      </c>
    </row>
    <row r="109" spans="1:9" x14ac:dyDescent="0.25">
      <c r="A109" s="55">
        <v>42795</v>
      </c>
      <c r="I109" s="1">
        <f t="shared" ref="I109:I113" si="3">M45+$M$39*I108+$M$40*I107+$M$41*I106+$M$42*I105+$M$43*I104</f>
        <v>843.47426099256086</v>
      </c>
    </row>
    <row r="110" spans="1:9" x14ac:dyDescent="0.25">
      <c r="A110" s="55">
        <v>42887</v>
      </c>
      <c r="I110" s="1">
        <f t="shared" si="3"/>
        <v>385.09346176304746</v>
      </c>
    </row>
    <row r="111" spans="1:9" x14ac:dyDescent="0.25">
      <c r="A111" s="55">
        <v>42979</v>
      </c>
      <c r="I111" s="1">
        <f t="shared" si="3"/>
        <v>-406.71389064257983</v>
      </c>
    </row>
    <row r="112" spans="1:9" x14ac:dyDescent="0.25">
      <c r="A112" s="55">
        <v>43070</v>
      </c>
      <c r="I112" s="1">
        <f t="shared" si="3"/>
        <v>1363.2939788951901</v>
      </c>
    </row>
    <row r="113" spans="1:9" x14ac:dyDescent="0.25">
      <c r="A113" s="55">
        <v>43160</v>
      </c>
      <c r="I113" s="1">
        <f t="shared" si="3"/>
        <v>663.24867821374198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X128"/>
  <sheetViews>
    <sheetView topLeftCell="A93" workbookViewId="0">
      <selection activeCell="J2" sqref="J2:J124"/>
    </sheetView>
  </sheetViews>
  <sheetFormatPr defaultRowHeight="12.75" x14ac:dyDescent="0.2"/>
  <cols>
    <col min="1" max="1" width="8.140625" style="36" customWidth="1"/>
    <col min="2" max="2" width="13.42578125" style="36" customWidth="1"/>
    <col min="3" max="3" width="9.85546875" style="36" customWidth="1"/>
    <col min="4" max="4" width="12.7109375" style="36" customWidth="1"/>
    <col min="5" max="5" width="19.85546875" style="36" customWidth="1"/>
    <col min="6" max="6" width="15.85546875" style="36" customWidth="1"/>
    <col min="7" max="7" width="13.28515625" style="36" customWidth="1"/>
    <col min="8" max="8" width="19.42578125" style="36" customWidth="1"/>
    <col min="9" max="9" width="12" style="36" customWidth="1"/>
    <col min="10" max="10" width="18.5703125" style="36" customWidth="1"/>
    <col min="11" max="11" width="21.7109375" style="36" customWidth="1"/>
    <col min="12" max="12" width="12.5703125" style="36" customWidth="1"/>
    <col min="13" max="13" width="6.85546875" style="36" customWidth="1"/>
    <col min="14" max="14" width="6.7109375" style="36" customWidth="1"/>
    <col min="15" max="15" width="0" style="36" hidden="1" customWidth="1"/>
    <col min="16" max="16384" width="9.140625" style="36"/>
  </cols>
  <sheetData>
    <row r="1" spans="1:24" ht="63.75" x14ac:dyDescent="0.2">
      <c r="A1" s="33"/>
      <c r="B1" s="33"/>
      <c r="C1" s="33"/>
      <c r="D1" s="34" t="s">
        <v>53</v>
      </c>
      <c r="E1" s="34" t="s">
        <v>54</v>
      </c>
      <c r="F1" s="34" t="s">
        <v>55</v>
      </c>
      <c r="G1" s="34" t="s">
        <v>56</v>
      </c>
      <c r="H1" s="34" t="s">
        <v>57</v>
      </c>
      <c r="I1" s="34" t="s">
        <v>58</v>
      </c>
      <c r="J1" s="34" t="s">
        <v>59</v>
      </c>
      <c r="K1" s="34" t="s">
        <v>60</v>
      </c>
      <c r="L1" s="34" t="s">
        <v>61</v>
      </c>
      <c r="M1" s="34" t="s">
        <v>62</v>
      </c>
      <c r="N1" s="35" t="s">
        <v>63</v>
      </c>
      <c r="P1" s="34" t="s">
        <v>57</v>
      </c>
      <c r="Q1" s="34" t="s">
        <v>58</v>
      </c>
      <c r="R1" s="34" t="s">
        <v>59</v>
      </c>
      <c r="S1" s="34" t="s">
        <v>60</v>
      </c>
      <c r="T1" s="34" t="s">
        <v>61</v>
      </c>
      <c r="U1" s="34" t="s">
        <v>62</v>
      </c>
      <c r="V1" s="35" t="s">
        <v>63</v>
      </c>
    </row>
    <row r="2" spans="1:24" ht="25.5" x14ac:dyDescent="0.2">
      <c r="A2" s="37" t="s">
        <v>64</v>
      </c>
      <c r="B2" s="38">
        <v>33117</v>
      </c>
      <c r="C2" s="39" t="s">
        <v>65</v>
      </c>
      <c r="D2" s="40">
        <v>1344.4570000000001</v>
      </c>
      <c r="E2" s="40">
        <v>7934.0280000000002</v>
      </c>
      <c r="F2" s="41">
        <v>0.88500000000000001</v>
      </c>
      <c r="G2" s="40">
        <v>9279.3700000000008</v>
      </c>
      <c r="H2" s="40">
        <v>337.53199999999998</v>
      </c>
      <c r="I2" s="42"/>
      <c r="J2" s="40">
        <v>1618.7439999999999</v>
      </c>
      <c r="K2" s="40">
        <v>1956.2760000000001</v>
      </c>
      <c r="L2" s="40">
        <v>382.80500000000001</v>
      </c>
      <c r="M2" s="40">
        <v>2339.0810000000001</v>
      </c>
      <c r="N2" s="40">
        <v>6940.2889999999998</v>
      </c>
      <c r="P2" s="36">
        <f>H2/E2</f>
        <v>4.2542325285466594E-2</v>
      </c>
      <c r="Q2" s="36">
        <f>I2/E2</f>
        <v>0</v>
      </c>
      <c r="R2" s="36">
        <f>J2/G2</f>
        <v>0.17444546343124584</v>
      </c>
      <c r="T2" s="36">
        <f>L2/G2</f>
        <v>4.1253339396963372E-2</v>
      </c>
      <c r="X2" s="40"/>
    </row>
    <row r="3" spans="1:24" ht="25.5" x14ac:dyDescent="0.2">
      <c r="A3" s="43"/>
      <c r="B3" s="38">
        <v>33208</v>
      </c>
      <c r="C3" s="39" t="s">
        <v>66</v>
      </c>
      <c r="D3" s="40">
        <v>6940.2889999999998</v>
      </c>
      <c r="E3" s="40">
        <v>7934.0280000000002</v>
      </c>
      <c r="F3" s="41">
        <v>0.27500000000000002</v>
      </c>
      <c r="G3" s="40">
        <v>6940.5639999999994</v>
      </c>
      <c r="H3" s="40">
        <v>329.87200000000001</v>
      </c>
      <c r="I3" s="42"/>
      <c r="J3" s="40">
        <v>1351.049</v>
      </c>
      <c r="K3" s="40">
        <v>1680.921</v>
      </c>
      <c r="L3" s="40">
        <v>470.66899999999998</v>
      </c>
      <c r="M3" s="40">
        <v>2151.59</v>
      </c>
      <c r="N3" s="40">
        <v>4788.9740000000002</v>
      </c>
      <c r="P3" s="36">
        <f t="shared" ref="P3:P66" si="0">H3/E3</f>
        <v>4.1576863605724608E-2</v>
      </c>
      <c r="Q3" s="36">
        <f t="shared" ref="Q3:Q66" si="1">I3/E3</f>
        <v>0</v>
      </c>
      <c r="R3" s="36">
        <f t="shared" ref="R3:R66" si="2">J3/G3</f>
        <v>0.19465982879777494</v>
      </c>
      <c r="T3" s="36">
        <f t="shared" ref="T3:T66" si="3">L3/G3</f>
        <v>6.781422950642052E-2</v>
      </c>
      <c r="X3" s="40"/>
    </row>
    <row r="4" spans="1:24" ht="25.5" x14ac:dyDescent="0.2">
      <c r="A4" s="43"/>
      <c r="B4" s="38">
        <v>33298</v>
      </c>
      <c r="C4" s="39" t="s">
        <v>67</v>
      </c>
      <c r="D4" s="40">
        <v>4788.9740000000002</v>
      </c>
      <c r="E4" s="40">
        <v>7934.0280000000002</v>
      </c>
      <c r="F4" s="41">
        <v>0.78300000000000003</v>
      </c>
      <c r="G4" s="40">
        <v>4789.7570000000005</v>
      </c>
      <c r="H4" s="40">
        <v>366.43700000000001</v>
      </c>
      <c r="I4" s="41">
        <v>17.600000000000001</v>
      </c>
      <c r="J4" s="40">
        <v>960.02499999999998</v>
      </c>
      <c r="K4" s="40">
        <v>1344.0619999999999</v>
      </c>
      <c r="L4" s="40">
        <v>453.738</v>
      </c>
      <c r="M4" s="40">
        <v>1797.8</v>
      </c>
      <c r="N4" s="40">
        <v>2991.9569999999999</v>
      </c>
      <c r="P4" s="36">
        <f t="shared" si="0"/>
        <v>4.6185493673579173E-2</v>
      </c>
      <c r="Q4" s="36">
        <f t="shared" si="1"/>
        <v>2.2182931544985724E-3</v>
      </c>
      <c r="R4" s="36">
        <f t="shared" si="2"/>
        <v>0.2004329238414391</v>
      </c>
      <c r="T4" s="36">
        <f t="shared" si="3"/>
        <v>9.4730901797314554E-2</v>
      </c>
      <c r="X4" s="40"/>
    </row>
    <row r="5" spans="1:24" ht="25.5" x14ac:dyDescent="0.2">
      <c r="A5" s="43"/>
      <c r="B5" s="38">
        <v>33390</v>
      </c>
      <c r="C5" s="39" t="s">
        <v>68</v>
      </c>
      <c r="D5" s="40">
        <v>2991.9569999999999</v>
      </c>
      <c r="E5" s="40">
        <v>7934.0280000000002</v>
      </c>
      <c r="F5" s="41">
        <v>1.472</v>
      </c>
      <c r="G5" s="40">
        <v>2993.4290000000001</v>
      </c>
      <c r="H5" s="40">
        <v>371.976</v>
      </c>
      <c r="I5" s="41">
        <v>1.7</v>
      </c>
      <c r="J5" s="40">
        <v>679.08900000000006</v>
      </c>
      <c r="K5" s="40">
        <v>1052.7650000000001</v>
      </c>
      <c r="L5" s="40">
        <v>419.41899999999998</v>
      </c>
      <c r="M5" s="40">
        <v>1472.184</v>
      </c>
      <c r="N5" s="40">
        <v>1521.2449999999999</v>
      </c>
      <c r="P5" s="36">
        <f t="shared" si="0"/>
        <v>4.6883625820327325E-2</v>
      </c>
      <c r="Q5" s="36">
        <f t="shared" si="1"/>
        <v>2.1426695242315755E-4</v>
      </c>
      <c r="R5" s="36">
        <f t="shared" si="2"/>
        <v>0.22685989879833462</v>
      </c>
      <c r="T5" s="36">
        <f t="shared" si="3"/>
        <v>0.14011322800707815</v>
      </c>
      <c r="X5" s="40"/>
    </row>
    <row r="6" spans="1:24" ht="25.5" hidden="1" x14ac:dyDescent="0.2">
      <c r="A6" s="43"/>
      <c r="B6" s="38">
        <v>33482</v>
      </c>
      <c r="C6" s="39" t="s">
        <v>69</v>
      </c>
      <c r="D6" s="40">
        <v>1344.4570000000001</v>
      </c>
      <c r="E6" s="40">
        <v>7934.0280000000002</v>
      </c>
      <c r="F6" s="41">
        <v>3.415</v>
      </c>
      <c r="G6" s="40">
        <v>9281.9</v>
      </c>
      <c r="H6" s="40">
        <v>1405.817</v>
      </c>
      <c r="I6" s="41">
        <v>19.3</v>
      </c>
      <c r="J6" s="40">
        <v>4608.9070000000002</v>
      </c>
      <c r="K6" s="40">
        <v>6034.0240000000003</v>
      </c>
      <c r="L6" s="40">
        <v>1726.6309999999999</v>
      </c>
      <c r="M6" s="40">
        <v>7760.6550000000007</v>
      </c>
      <c r="N6" s="40">
        <v>1521.2449999999999</v>
      </c>
      <c r="P6" s="36">
        <f t="shared" si="0"/>
        <v>0.17718830838509769</v>
      </c>
      <c r="Q6" s="36">
        <f t="shared" si="1"/>
        <v>2.43256010692173E-3</v>
      </c>
      <c r="R6" s="36">
        <f t="shared" si="2"/>
        <v>0.49654779732597853</v>
      </c>
      <c r="T6" s="36">
        <f t="shared" si="3"/>
        <v>0.18602128874476132</v>
      </c>
      <c r="X6" s="40">
        <v>421.07400000000001</v>
      </c>
    </row>
    <row r="7" spans="1:24" ht="25.5" x14ac:dyDescent="0.2">
      <c r="A7" s="44" t="s">
        <v>70</v>
      </c>
      <c r="B7" s="38">
        <v>33482</v>
      </c>
      <c r="C7" s="39" t="s">
        <v>65</v>
      </c>
      <c r="D7" s="40">
        <v>1521.2449999999999</v>
      </c>
      <c r="E7" s="40">
        <v>7474.7650000000003</v>
      </c>
      <c r="F7" s="41">
        <v>6.4809999999999999</v>
      </c>
      <c r="G7" s="40">
        <v>9002.491</v>
      </c>
      <c r="H7" s="40">
        <v>360.45100000000002</v>
      </c>
      <c r="I7" s="42"/>
      <c r="J7" s="40">
        <v>1673.65</v>
      </c>
      <c r="K7" s="40">
        <v>2034.1010000000001</v>
      </c>
      <c r="L7" s="40">
        <v>421.07400000000001</v>
      </c>
      <c r="M7" s="40">
        <v>2455.1750000000002</v>
      </c>
      <c r="N7" s="40">
        <v>6547.3159999999998</v>
      </c>
      <c r="P7" s="36">
        <f t="shared" si="0"/>
        <v>4.8222385586704067E-2</v>
      </c>
      <c r="Q7" s="36">
        <f t="shared" si="1"/>
        <v>0</v>
      </c>
      <c r="R7" s="36">
        <f t="shared" si="2"/>
        <v>0.18590965544980828</v>
      </c>
      <c r="T7" s="36">
        <f t="shared" si="3"/>
        <v>4.6773054257982595E-2</v>
      </c>
      <c r="X7" s="40"/>
    </row>
    <row r="8" spans="1:24" ht="25.5" x14ac:dyDescent="0.2">
      <c r="B8" s="38">
        <v>33573</v>
      </c>
      <c r="C8" s="39" t="s">
        <v>66</v>
      </c>
      <c r="D8" s="40">
        <v>6547.3159999999998</v>
      </c>
      <c r="E8" s="40">
        <v>7474.7650000000003</v>
      </c>
      <c r="F8" s="41">
        <v>4.4050000000000002</v>
      </c>
      <c r="G8" s="40">
        <v>6551.7209999999995</v>
      </c>
      <c r="H8" s="40">
        <v>362.22199999999998</v>
      </c>
      <c r="I8" s="42"/>
      <c r="J8" s="40">
        <v>1266.825</v>
      </c>
      <c r="K8" s="40">
        <v>1629.047</v>
      </c>
      <c r="L8" s="40">
        <v>361.68900000000002</v>
      </c>
      <c r="M8" s="40">
        <v>1990.7360000000001</v>
      </c>
      <c r="N8" s="40">
        <v>4560.9849999999997</v>
      </c>
      <c r="P8" s="36">
        <f t="shared" si="0"/>
        <v>4.8459316112279112E-2</v>
      </c>
      <c r="Q8" s="36">
        <f t="shared" si="1"/>
        <v>0</v>
      </c>
      <c r="R8" s="36">
        <f t="shared" si="2"/>
        <v>0.19335759260811017</v>
      </c>
      <c r="T8" s="36">
        <f t="shared" si="3"/>
        <v>5.5205189598275028E-2</v>
      </c>
      <c r="X8" s="40"/>
    </row>
    <row r="9" spans="1:24" ht="25.5" x14ac:dyDescent="0.2">
      <c r="B9" s="38">
        <v>33664</v>
      </c>
      <c r="C9" s="39" t="s">
        <v>67</v>
      </c>
      <c r="D9" s="40">
        <v>4560.9849999999997</v>
      </c>
      <c r="E9" s="40">
        <v>7474.7650000000003</v>
      </c>
      <c r="F9" s="41">
        <v>5.4039999999999999</v>
      </c>
      <c r="G9" s="40">
        <v>4566.3890000000001</v>
      </c>
      <c r="H9" s="40">
        <v>394.63299999999998</v>
      </c>
      <c r="I9" s="41">
        <v>19.899999999999999</v>
      </c>
      <c r="J9" s="40">
        <v>1041.847</v>
      </c>
      <c r="K9" s="40">
        <v>1456.38</v>
      </c>
      <c r="L9" s="40">
        <v>371.45800000000003</v>
      </c>
      <c r="M9" s="40">
        <v>1827.838</v>
      </c>
      <c r="N9" s="40">
        <v>2738.5509999999999</v>
      </c>
      <c r="P9" s="36">
        <f t="shared" si="0"/>
        <v>5.2795372162201752E-2</v>
      </c>
      <c r="Q9" s="36">
        <f t="shared" si="1"/>
        <v>2.6622910553040797E-3</v>
      </c>
      <c r="R9" s="36">
        <f t="shared" si="2"/>
        <v>0.2281555513557868</v>
      </c>
      <c r="T9" s="36">
        <f t="shared" si="3"/>
        <v>8.1346113964447617E-2</v>
      </c>
      <c r="X9" s="40"/>
    </row>
    <row r="10" spans="1:24" ht="25.5" x14ac:dyDescent="0.2">
      <c r="B10" s="38">
        <v>33756</v>
      </c>
      <c r="C10" s="39" t="s">
        <v>68</v>
      </c>
      <c r="D10" s="40">
        <v>2738.5509999999999</v>
      </c>
      <c r="E10" s="40">
        <v>7474.7650000000003</v>
      </c>
      <c r="F10" s="41">
        <v>3.347</v>
      </c>
      <c r="G10" s="40">
        <v>2741.8980000000001</v>
      </c>
      <c r="H10" s="40">
        <v>396</v>
      </c>
      <c r="I10" s="41">
        <v>0.3</v>
      </c>
      <c r="J10" s="40">
        <v>815.59100000000001</v>
      </c>
      <c r="K10" s="40">
        <v>1211.8910000000001</v>
      </c>
      <c r="L10" s="40">
        <v>429.69600000000003</v>
      </c>
      <c r="M10" s="40">
        <v>1641.587</v>
      </c>
      <c r="N10" s="40">
        <v>1100.3109999999999</v>
      </c>
      <c r="P10" s="36">
        <f t="shared" si="0"/>
        <v>5.2978254165850031E-2</v>
      </c>
      <c r="Q10" s="36">
        <f t="shared" si="1"/>
        <v>4.013504103473487E-5</v>
      </c>
      <c r="R10" s="36">
        <f t="shared" si="2"/>
        <v>0.29745490167759703</v>
      </c>
      <c r="T10" s="36">
        <f t="shared" si="3"/>
        <v>0.15671480120704709</v>
      </c>
      <c r="X10" s="40"/>
    </row>
    <row r="11" spans="1:24" ht="25.5" hidden="1" x14ac:dyDescent="0.2">
      <c r="B11" s="38">
        <v>33848</v>
      </c>
      <c r="C11" s="39" t="s">
        <v>69</v>
      </c>
      <c r="D11" s="40">
        <v>1521.2449999999999</v>
      </c>
      <c r="E11" s="40">
        <v>7474.7650000000003</v>
      </c>
      <c r="F11" s="41">
        <v>19.637</v>
      </c>
      <c r="G11" s="40">
        <v>9015.6470000000008</v>
      </c>
      <c r="H11" s="40">
        <v>1513.306</v>
      </c>
      <c r="I11" s="41">
        <v>20.2</v>
      </c>
      <c r="J11" s="40">
        <v>4797.9130000000005</v>
      </c>
      <c r="K11" s="40">
        <v>6331.4189999999999</v>
      </c>
      <c r="L11" s="40">
        <v>1583.9169999999999</v>
      </c>
      <c r="M11" s="40">
        <v>7915.3359999999993</v>
      </c>
      <c r="N11" s="40">
        <v>1100.3109999999999</v>
      </c>
      <c r="P11" s="36">
        <f t="shared" si="0"/>
        <v>0.20245532802703495</v>
      </c>
      <c r="Q11" s="36">
        <f t="shared" si="1"/>
        <v>2.7024260963388145E-3</v>
      </c>
      <c r="R11" s="36">
        <f t="shared" si="2"/>
        <v>0.53217622650931207</v>
      </c>
      <c r="T11" s="36">
        <f t="shared" si="3"/>
        <v>0.1756853390555331</v>
      </c>
      <c r="X11" s="40">
        <v>463.04199999999997</v>
      </c>
    </row>
    <row r="12" spans="1:24" ht="25.5" x14ac:dyDescent="0.2">
      <c r="A12" s="44" t="s">
        <v>71</v>
      </c>
      <c r="B12" s="38">
        <v>33848</v>
      </c>
      <c r="C12" s="39" t="s">
        <v>65</v>
      </c>
      <c r="D12" s="40">
        <v>1100.3109999999999</v>
      </c>
      <c r="E12" s="40">
        <v>9476.6980000000003</v>
      </c>
      <c r="F12" s="41">
        <v>1.258</v>
      </c>
      <c r="G12" s="40">
        <v>10578.267</v>
      </c>
      <c r="H12" s="40">
        <v>370.07400000000001</v>
      </c>
      <c r="I12" s="42"/>
      <c r="J12" s="40">
        <v>1814.316</v>
      </c>
      <c r="K12" s="40">
        <v>2184.39</v>
      </c>
      <c r="L12" s="40">
        <v>487.51400000000001</v>
      </c>
      <c r="M12" s="40">
        <v>2671.904</v>
      </c>
      <c r="N12" s="40">
        <v>7906.3630000000003</v>
      </c>
      <c r="P12" s="36">
        <f t="shared" si="0"/>
        <v>3.9050943693678959E-2</v>
      </c>
      <c r="Q12" s="36">
        <f t="shared" si="1"/>
        <v>0</v>
      </c>
      <c r="R12" s="36">
        <f t="shared" si="2"/>
        <v>0.17151353808709877</v>
      </c>
      <c r="T12" s="36">
        <f t="shared" si="3"/>
        <v>4.608637690842933E-2</v>
      </c>
      <c r="X12" s="40"/>
    </row>
    <row r="13" spans="1:24" ht="25.5" x14ac:dyDescent="0.2">
      <c r="B13" s="38">
        <v>33939</v>
      </c>
      <c r="C13" s="39" t="s">
        <v>66</v>
      </c>
      <c r="D13" s="40">
        <v>7906.3630000000003</v>
      </c>
      <c r="E13" s="40">
        <v>9476.6980000000003</v>
      </c>
      <c r="F13" s="41">
        <v>1.0389999999999999</v>
      </c>
      <c r="G13" s="40">
        <v>7907.402</v>
      </c>
      <c r="H13" s="40">
        <v>365.04700000000003</v>
      </c>
      <c r="I13" s="42"/>
      <c r="J13" s="40">
        <v>1401.098</v>
      </c>
      <c r="K13" s="40">
        <v>1766.145</v>
      </c>
      <c r="L13" s="40">
        <v>463.04199999999997</v>
      </c>
      <c r="M13" s="40">
        <v>2229.1869999999999</v>
      </c>
      <c r="N13" s="40">
        <v>5678.2150000000001</v>
      </c>
      <c r="P13" s="36">
        <f t="shared" si="0"/>
        <v>3.8520484666705643E-2</v>
      </c>
      <c r="Q13" s="36">
        <f t="shared" si="1"/>
        <v>0</v>
      </c>
      <c r="R13" s="36">
        <f t="shared" si="2"/>
        <v>0.17718815863920917</v>
      </c>
      <c r="T13" s="36">
        <f t="shared" si="3"/>
        <v>5.8558044728217934E-2</v>
      </c>
      <c r="X13" s="40"/>
    </row>
    <row r="14" spans="1:24" ht="25.5" x14ac:dyDescent="0.2">
      <c r="B14" s="38">
        <v>34029</v>
      </c>
      <c r="C14" s="39" t="s">
        <v>67</v>
      </c>
      <c r="D14" s="40">
        <v>5678.2150000000001</v>
      </c>
      <c r="E14" s="40">
        <v>9476.6980000000003</v>
      </c>
      <c r="F14" s="41">
        <v>1.9990000000000001</v>
      </c>
      <c r="G14" s="40">
        <v>5680.2139999999999</v>
      </c>
      <c r="H14" s="40">
        <v>397.31599999999997</v>
      </c>
      <c r="I14" s="41">
        <v>16.399999999999999</v>
      </c>
      <c r="J14" s="40">
        <v>1145.7639999999999</v>
      </c>
      <c r="K14" s="40">
        <v>1559.48</v>
      </c>
      <c r="L14" s="40">
        <v>411.291</v>
      </c>
      <c r="M14" s="40">
        <v>1970.771</v>
      </c>
      <c r="N14" s="40">
        <v>3709.4430000000002</v>
      </c>
      <c r="P14" s="36">
        <f t="shared" si="0"/>
        <v>4.1925573654452208E-2</v>
      </c>
      <c r="Q14" s="36">
        <f t="shared" si="1"/>
        <v>1.730560581333287E-3</v>
      </c>
      <c r="R14" s="36">
        <f t="shared" si="2"/>
        <v>0.20171141439389431</v>
      </c>
      <c r="T14" s="36">
        <f t="shared" si="3"/>
        <v>7.2407659288892992E-2</v>
      </c>
      <c r="X14" s="40"/>
    </row>
    <row r="15" spans="1:24" ht="25.5" x14ac:dyDescent="0.2">
      <c r="B15" s="38">
        <v>34121</v>
      </c>
      <c r="C15" s="39" t="s">
        <v>68</v>
      </c>
      <c r="D15" s="40">
        <v>3709.4430000000002</v>
      </c>
      <c r="E15" s="40">
        <v>9476.6980000000003</v>
      </c>
      <c r="F15" s="41">
        <v>2.7949999999999999</v>
      </c>
      <c r="G15" s="40">
        <v>3712.2380000000003</v>
      </c>
      <c r="H15" s="40">
        <v>404.61500000000001</v>
      </c>
      <c r="I15" s="41">
        <v>2.2999999999999998</v>
      </c>
      <c r="J15" s="40">
        <v>890.91099999999994</v>
      </c>
      <c r="K15" s="40">
        <v>1297.826</v>
      </c>
      <c r="L15" s="40">
        <v>301.43099999999998</v>
      </c>
      <c r="M15" s="40">
        <v>1599.2570000000001</v>
      </c>
      <c r="N15" s="40">
        <v>2112.9810000000002</v>
      </c>
      <c r="P15" s="36">
        <f t="shared" si="0"/>
        <v>4.2695778635132194E-2</v>
      </c>
      <c r="Q15" s="36">
        <f t="shared" si="1"/>
        <v>2.4270056933332684E-4</v>
      </c>
      <c r="R15" s="36">
        <f t="shared" si="2"/>
        <v>0.23999296381320376</v>
      </c>
      <c r="T15" s="36">
        <f t="shared" si="3"/>
        <v>8.1199265779834148E-2</v>
      </c>
      <c r="X15" s="40"/>
    </row>
    <row r="16" spans="1:24" ht="25.5" hidden="1" x14ac:dyDescent="0.2">
      <c r="B16" s="38">
        <v>34213</v>
      </c>
      <c r="C16" s="39" t="s">
        <v>69</v>
      </c>
      <c r="D16" s="40">
        <v>1100.3109999999999</v>
      </c>
      <c r="E16" s="40">
        <v>9476.6980000000003</v>
      </c>
      <c r="F16" s="41">
        <v>7.0909999999999993</v>
      </c>
      <c r="G16" s="40">
        <v>10584.1</v>
      </c>
      <c r="H16" s="40">
        <v>1537.0520000000001</v>
      </c>
      <c r="I16" s="41">
        <v>18.7</v>
      </c>
      <c r="J16" s="40">
        <v>5252.0889999999999</v>
      </c>
      <c r="K16" s="40">
        <v>6807.8409999999994</v>
      </c>
      <c r="L16" s="40">
        <v>1663.278</v>
      </c>
      <c r="M16" s="40">
        <v>8471.1190000000006</v>
      </c>
      <c r="N16" s="40">
        <v>2112.9810000000002</v>
      </c>
      <c r="P16" s="36">
        <f t="shared" si="0"/>
        <v>0.162192780649969</v>
      </c>
      <c r="Q16" s="36">
        <f t="shared" si="1"/>
        <v>1.9732611506666138E-3</v>
      </c>
      <c r="R16" s="36">
        <f t="shared" si="2"/>
        <v>0.49622443098610175</v>
      </c>
      <c r="T16" s="36">
        <f t="shared" si="3"/>
        <v>0.15714874198089587</v>
      </c>
      <c r="X16" s="40">
        <v>269.84899999999999</v>
      </c>
    </row>
    <row r="17" spans="1:24" ht="25.5" x14ac:dyDescent="0.2">
      <c r="A17" s="44" t="s">
        <v>72</v>
      </c>
      <c r="B17" s="38">
        <v>34213</v>
      </c>
      <c r="C17" s="39" t="s">
        <v>65</v>
      </c>
      <c r="D17" s="40">
        <v>2112.9810000000002</v>
      </c>
      <c r="E17" s="40">
        <v>6337.73</v>
      </c>
      <c r="F17" s="41">
        <v>5.2089999999999996</v>
      </c>
      <c r="G17" s="40">
        <v>8455.92</v>
      </c>
      <c r="H17" s="40">
        <v>382.78300000000002</v>
      </c>
      <c r="I17" s="42"/>
      <c r="J17" s="40">
        <v>1701.1790000000001</v>
      </c>
      <c r="K17" s="40">
        <v>2083.962</v>
      </c>
      <c r="L17" s="40">
        <v>435.41</v>
      </c>
      <c r="M17" s="40">
        <v>2519.3719999999998</v>
      </c>
      <c r="N17" s="40">
        <v>5936.5479999999998</v>
      </c>
      <c r="P17" s="36">
        <f t="shared" si="0"/>
        <v>6.0397492477590561E-2</v>
      </c>
      <c r="Q17" s="36">
        <f t="shared" si="1"/>
        <v>0</v>
      </c>
      <c r="R17" s="36">
        <f t="shared" si="2"/>
        <v>0.20118201212878078</v>
      </c>
      <c r="T17" s="36">
        <f t="shared" si="3"/>
        <v>5.1491735967227698E-2</v>
      </c>
      <c r="X17" s="40"/>
    </row>
    <row r="18" spans="1:24" ht="25.5" x14ac:dyDescent="0.2">
      <c r="B18" s="38">
        <v>34304</v>
      </c>
      <c r="C18" s="39" t="s">
        <v>66</v>
      </c>
      <c r="D18" s="40">
        <v>5936.5479999999998</v>
      </c>
      <c r="E18" s="40">
        <v>6337.73</v>
      </c>
      <c r="F18" s="41">
        <v>7.9539999999999997</v>
      </c>
      <c r="G18" s="40">
        <v>5944.5019999999995</v>
      </c>
      <c r="H18" s="40">
        <v>378.87700000000001</v>
      </c>
      <c r="I18" s="42"/>
      <c r="J18" s="40">
        <v>1239.9159999999999</v>
      </c>
      <c r="K18" s="40">
        <v>1618.7929999999999</v>
      </c>
      <c r="L18" s="40">
        <v>329.995</v>
      </c>
      <c r="M18" s="40">
        <v>1948.788</v>
      </c>
      <c r="N18" s="40">
        <v>3995.7139999999999</v>
      </c>
      <c r="P18" s="36">
        <f t="shared" si="0"/>
        <v>5.9781183483676337E-2</v>
      </c>
      <c r="Q18" s="36">
        <f t="shared" si="1"/>
        <v>0</v>
      </c>
      <c r="R18" s="36">
        <f t="shared" si="2"/>
        <v>0.20858198045858173</v>
      </c>
      <c r="T18" s="36">
        <f t="shared" si="3"/>
        <v>5.5512640083223125E-2</v>
      </c>
      <c r="X18" s="40"/>
    </row>
    <row r="19" spans="1:24" ht="25.5" x14ac:dyDescent="0.2">
      <c r="B19" s="38">
        <v>34394</v>
      </c>
      <c r="C19" s="39" t="s">
        <v>67</v>
      </c>
      <c r="D19" s="40">
        <v>3995.7139999999999</v>
      </c>
      <c r="E19" s="40">
        <v>6337.73</v>
      </c>
      <c r="F19" s="41">
        <v>6.274</v>
      </c>
      <c r="G19" s="40">
        <v>4001.9879999999998</v>
      </c>
      <c r="H19" s="40">
        <v>403.25099999999998</v>
      </c>
      <c r="I19" s="41">
        <v>19.5</v>
      </c>
      <c r="J19" s="40">
        <v>949.50699999999995</v>
      </c>
      <c r="K19" s="40">
        <v>1372.258</v>
      </c>
      <c r="L19" s="40">
        <v>269.84899999999999</v>
      </c>
      <c r="M19" s="40">
        <v>1642.107</v>
      </c>
      <c r="N19" s="40">
        <v>2359.8809999999999</v>
      </c>
      <c r="P19" s="36">
        <f t="shared" si="0"/>
        <v>6.3627039965413482E-2</v>
      </c>
      <c r="Q19" s="36">
        <f t="shared" si="1"/>
        <v>3.0768114135502778E-3</v>
      </c>
      <c r="R19" s="36">
        <f t="shared" si="2"/>
        <v>0.23725883236031692</v>
      </c>
      <c r="T19" s="36">
        <f t="shared" si="3"/>
        <v>6.7428737917255122E-2</v>
      </c>
      <c r="X19" s="40"/>
    </row>
    <row r="20" spans="1:24" ht="25.5" x14ac:dyDescent="0.2">
      <c r="B20" s="38">
        <v>34486</v>
      </c>
      <c r="C20" s="39" t="s">
        <v>68</v>
      </c>
      <c r="D20" s="40">
        <v>2359.8809999999999</v>
      </c>
      <c r="E20" s="40">
        <v>6337.73</v>
      </c>
      <c r="F20" s="41">
        <v>1.3779999999999999</v>
      </c>
      <c r="G20" s="40">
        <v>2361.259</v>
      </c>
      <c r="H20" s="40">
        <v>428.2</v>
      </c>
      <c r="I20" s="41">
        <v>0.6</v>
      </c>
      <c r="J20" s="40">
        <v>789.24800000000005</v>
      </c>
      <c r="K20" s="40">
        <v>1218.048</v>
      </c>
      <c r="L20" s="40">
        <v>293.06799999999998</v>
      </c>
      <c r="M20" s="40">
        <v>1511.116</v>
      </c>
      <c r="N20" s="40">
        <v>850.14300000000003</v>
      </c>
      <c r="P20" s="36">
        <f t="shared" si="0"/>
        <v>6.7563622937550194E-2</v>
      </c>
      <c r="Q20" s="36">
        <f t="shared" si="1"/>
        <v>9.4671120416931623E-5</v>
      </c>
      <c r="R20" s="36">
        <f t="shared" si="2"/>
        <v>0.33424880540423563</v>
      </c>
      <c r="T20" s="36">
        <f t="shared" si="3"/>
        <v>0.12411514365853131</v>
      </c>
      <c r="X20" s="40"/>
    </row>
    <row r="21" spans="1:24" ht="25.5" hidden="1" x14ac:dyDescent="0.2">
      <c r="B21" s="38">
        <v>34578</v>
      </c>
      <c r="C21" s="39" t="s">
        <v>69</v>
      </c>
      <c r="D21" s="40">
        <v>2112.9810000000002</v>
      </c>
      <c r="E21" s="40">
        <v>6337.73</v>
      </c>
      <c r="F21" s="41">
        <v>20.815000000000001</v>
      </c>
      <c r="G21" s="40">
        <v>8471.5259999999998</v>
      </c>
      <c r="H21" s="40">
        <v>1593.1110000000001</v>
      </c>
      <c r="I21" s="41">
        <v>20.100000000000001</v>
      </c>
      <c r="J21" s="40">
        <v>4679.8500000000004</v>
      </c>
      <c r="K21" s="40">
        <v>6293.0609999999997</v>
      </c>
      <c r="L21" s="40">
        <v>1328.3219999999999</v>
      </c>
      <c r="M21" s="40">
        <v>7621.3829999999998</v>
      </c>
      <c r="N21" s="40">
        <v>850.14300000000003</v>
      </c>
      <c r="P21" s="36">
        <f t="shared" si="0"/>
        <v>0.25136933886423063</v>
      </c>
      <c r="Q21" s="36">
        <f t="shared" si="1"/>
        <v>3.1714825339672096E-3</v>
      </c>
      <c r="R21" s="36">
        <f t="shared" si="2"/>
        <v>0.55242113404361859</v>
      </c>
      <c r="T21" s="36">
        <f t="shared" si="3"/>
        <v>0.15679843277350503</v>
      </c>
      <c r="X21" s="40">
        <v>569.58100000000002</v>
      </c>
    </row>
    <row r="22" spans="1:24" ht="25.5" x14ac:dyDescent="0.2">
      <c r="A22" s="44" t="s">
        <v>73</v>
      </c>
      <c r="B22" s="38">
        <v>34578</v>
      </c>
      <c r="C22" s="39" t="s">
        <v>65</v>
      </c>
      <c r="D22" s="40">
        <v>850.14300000000003</v>
      </c>
      <c r="E22" s="40">
        <v>10050.52</v>
      </c>
      <c r="F22" s="41">
        <v>2.06</v>
      </c>
      <c r="G22" s="40">
        <v>10902.723</v>
      </c>
      <c r="H22" s="40">
        <v>410.39299999999997</v>
      </c>
      <c r="I22" s="42"/>
      <c r="J22" s="40">
        <v>1962.546</v>
      </c>
      <c r="K22" s="40">
        <v>2372.9389999999999</v>
      </c>
      <c r="L22" s="40">
        <v>449.30399999999997</v>
      </c>
      <c r="M22" s="40">
        <v>2822.2429999999999</v>
      </c>
      <c r="N22" s="40">
        <v>8080.48</v>
      </c>
      <c r="P22" s="36">
        <f t="shared" si="0"/>
        <v>4.0833011625269137E-2</v>
      </c>
      <c r="Q22" s="36">
        <f t="shared" si="1"/>
        <v>0</v>
      </c>
      <c r="R22" s="36">
        <f t="shared" si="2"/>
        <v>0.18000512349070963</v>
      </c>
      <c r="T22" s="36">
        <f t="shared" si="3"/>
        <v>4.1210255456366265E-2</v>
      </c>
      <c r="X22" s="40"/>
    </row>
    <row r="23" spans="1:24" ht="25.5" x14ac:dyDescent="0.2">
      <c r="B23" s="38">
        <v>34669</v>
      </c>
      <c r="C23" s="39" t="s">
        <v>66</v>
      </c>
      <c r="D23" s="40">
        <v>8080.48</v>
      </c>
      <c r="E23" s="40">
        <v>10050.52</v>
      </c>
      <c r="F23" s="41">
        <v>3.7389999999999999</v>
      </c>
      <c r="G23" s="40">
        <v>8084.2189999999991</v>
      </c>
      <c r="H23" s="40">
        <v>410.45699999999999</v>
      </c>
      <c r="I23" s="42"/>
      <c r="J23" s="40">
        <v>1491.634</v>
      </c>
      <c r="K23" s="40">
        <v>1902.0909999999999</v>
      </c>
      <c r="L23" s="40">
        <v>590.43499999999995</v>
      </c>
      <c r="M23" s="40">
        <v>2492.5259999999998</v>
      </c>
      <c r="N23" s="40">
        <v>5591.6930000000002</v>
      </c>
      <c r="P23" s="36">
        <f t="shared" si="0"/>
        <v>4.0839379454993371E-2</v>
      </c>
      <c r="Q23" s="36">
        <f t="shared" si="1"/>
        <v>0</v>
      </c>
      <c r="R23" s="36">
        <f t="shared" si="2"/>
        <v>0.1845118248281003</v>
      </c>
      <c r="T23" s="36">
        <f t="shared" si="3"/>
        <v>7.3035502872942956E-2</v>
      </c>
      <c r="X23" s="40"/>
    </row>
    <row r="24" spans="1:24" ht="25.5" x14ac:dyDescent="0.2">
      <c r="B24" s="38">
        <v>34759</v>
      </c>
      <c r="C24" s="39" t="s">
        <v>67</v>
      </c>
      <c r="D24" s="40">
        <v>5591.6930000000002</v>
      </c>
      <c r="E24" s="40">
        <v>10050.52</v>
      </c>
      <c r="F24" s="41">
        <v>3.0030000000000001</v>
      </c>
      <c r="G24" s="40">
        <v>5594.6959999999999</v>
      </c>
      <c r="H24" s="40">
        <v>437.86200000000002</v>
      </c>
      <c r="I24" s="41">
        <v>14.7</v>
      </c>
      <c r="J24" s="40">
        <v>1159.076</v>
      </c>
      <c r="K24" s="40">
        <v>1611.6379999999999</v>
      </c>
      <c r="L24" s="40">
        <v>568.16200000000003</v>
      </c>
      <c r="M24" s="40">
        <v>2179.8000000000002</v>
      </c>
      <c r="N24" s="40">
        <v>3414.8960000000002</v>
      </c>
      <c r="P24" s="36">
        <f t="shared" si="0"/>
        <v>4.3566104042377908E-2</v>
      </c>
      <c r="Q24" s="36">
        <f t="shared" si="1"/>
        <v>1.4626108897848071E-3</v>
      </c>
      <c r="R24" s="36">
        <f t="shared" si="2"/>
        <v>0.20717408059347639</v>
      </c>
      <c r="T24" s="36">
        <f t="shared" si="3"/>
        <v>0.10155368584816762</v>
      </c>
      <c r="X24" s="40"/>
    </row>
    <row r="25" spans="1:24" ht="25.5" x14ac:dyDescent="0.2">
      <c r="B25" s="38">
        <v>34851</v>
      </c>
      <c r="C25" s="39" t="s">
        <v>68</v>
      </c>
      <c r="D25" s="40">
        <v>3414.8960000000002</v>
      </c>
      <c r="E25" s="40">
        <v>10050.52</v>
      </c>
      <c r="F25" s="41">
        <v>0.755</v>
      </c>
      <c r="G25" s="40">
        <v>3415.6510000000003</v>
      </c>
      <c r="H25" s="40">
        <v>438.22500000000002</v>
      </c>
      <c r="I25" s="41">
        <v>3.6</v>
      </c>
      <c r="J25" s="40">
        <v>846.40499999999997</v>
      </c>
      <c r="K25" s="40">
        <v>1288.23</v>
      </c>
      <c r="L25" s="40">
        <v>569.58100000000002</v>
      </c>
      <c r="M25" s="40">
        <v>1857.8109999999999</v>
      </c>
      <c r="N25" s="40">
        <v>1557.84</v>
      </c>
      <c r="P25" s="36">
        <f t="shared" si="0"/>
        <v>4.3602221576595039E-2</v>
      </c>
      <c r="Q25" s="36">
        <f t="shared" si="1"/>
        <v>3.5819042198811604E-4</v>
      </c>
      <c r="R25" s="36">
        <f t="shared" si="2"/>
        <v>0.24780195634741367</v>
      </c>
      <c r="T25" s="36">
        <f t="shared" si="3"/>
        <v>0.16675620547883843</v>
      </c>
      <c r="X25" s="40"/>
    </row>
    <row r="26" spans="1:24" ht="25.5" hidden="1" x14ac:dyDescent="0.2">
      <c r="B26" s="38">
        <v>34943</v>
      </c>
      <c r="C26" s="39" t="s">
        <v>69</v>
      </c>
      <c r="D26" s="40">
        <v>850.14300000000003</v>
      </c>
      <c r="E26" s="40">
        <v>10050.52</v>
      </c>
      <c r="F26" s="41">
        <v>9.5570000000000004</v>
      </c>
      <c r="G26" s="40">
        <v>10910.22</v>
      </c>
      <c r="H26" s="40">
        <v>1696.9369999999999</v>
      </c>
      <c r="I26" s="41">
        <v>18.3</v>
      </c>
      <c r="J26" s="40">
        <v>5459.6610000000001</v>
      </c>
      <c r="K26" s="40">
        <v>7174.8979999999992</v>
      </c>
      <c r="L26" s="40">
        <v>2177.482</v>
      </c>
      <c r="M26" s="40">
        <v>9352.380000000001</v>
      </c>
      <c r="N26" s="40">
        <v>1557.84</v>
      </c>
      <c r="P26" s="36">
        <f t="shared" si="0"/>
        <v>0.16884071669923545</v>
      </c>
      <c r="Q26" s="36">
        <f t="shared" si="1"/>
        <v>1.8208013117729232E-3</v>
      </c>
      <c r="R26" s="36">
        <f t="shared" si="2"/>
        <v>0.50041713182685599</v>
      </c>
      <c r="T26" s="36">
        <f t="shared" si="3"/>
        <v>0.19958185994416244</v>
      </c>
      <c r="X26" s="40">
        <v>486.53100000000001</v>
      </c>
    </row>
    <row r="27" spans="1:24" ht="25.5" x14ac:dyDescent="0.2">
      <c r="A27" s="44" t="s">
        <v>74</v>
      </c>
      <c r="B27" s="38">
        <v>34943</v>
      </c>
      <c r="C27" s="39" t="s">
        <v>65</v>
      </c>
      <c r="D27" s="40">
        <v>1557.84</v>
      </c>
      <c r="E27" s="40">
        <v>7400.0510000000004</v>
      </c>
      <c r="F27" s="41">
        <v>3.6480000000000001</v>
      </c>
      <c r="G27" s="40">
        <v>8961.5390000000007</v>
      </c>
      <c r="H27" s="40">
        <v>417.22</v>
      </c>
      <c r="I27" s="42"/>
      <c r="J27" s="40">
        <v>1778.124</v>
      </c>
      <c r="K27" s="40">
        <v>2195.3440000000001</v>
      </c>
      <c r="L27" s="40">
        <v>660.42100000000005</v>
      </c>
      <c r="M27" s="40">
        <v>2855.7649999999999</v>
      </c>
      <c r="N27" s="40">
        <v>6105.7740000000003</v>
      </c>
      <c r="P27" s="36">
        <f t="shared" si="0"/>
        <v>5.6380692511443502E-2</v>
      </c>
      <c r="Q27" s="36">
        <f t="shared" si="1"/>
        <v>0</v>
      </c>
      <c r="R27" s="36">
        <f t="shared" si="2"/>
        <v>0.19841725846419905</v>
      </c>
      <c r="T27" s="36">
        <f t="shared" si="3"/>
        <v>7.369504278227211E-2</v>
      </c>
      <c r="X27" s="40"/>
    </row>
    <row r="28" spans="1:24" ht="25.5" x14ac:dyDescent="0.2">
      <c r="B28" s="38">
        <v>35034</v>
      </c>
      <c r="C28" s="39" t="s">
        <v>66</v>
      </c>
      <c r="D28" s="40">
        <v>6105.7740000000003</v>
      </c>
      <c r="E28" s="40">
        <v>7400.0510000000004</v>
      </c>
      <c r="F28" s="41">
        <v>4.9619999999999997</v>
      </c>
      <c r="G28" s="40">
        <v>6110.7360000000008</v>
      </c>
      <c r="H28" s="40">
        <v>405.50400000000002</v>
      </c>
      <c r="I28" s="42"/>
      <c r="J28" s="40">
        <v>1343.51</v>
      </c>
      <c r="K28" s="40">
        <v>1749.0139999999999</v>
      </c>
      <c r="L28" s="40">
        <v>562.18100000000004</v>
      </c>
      <c r="M28" s="40">
        <v>2311.1950000000002</v>
      </c>
      <c r="N28" s="40">
        <v>3799.5410000000002</v>
      </c>
      <c r="P28" s="36">
        <f t="shared" si="0"/>
        <v>5.479746017966633E-2</v>
      </c>
      <c r="Q28" s="36">
        <f t="shared" si="1"/>
        <v>0</v>
      </c>
      <c r="R28" s="36">
        <f t="shared" si="2"/>
        <v>0.21986058635162767</v>
      </c>
      <c r="T28" s="36">
        <f t="shared" si="3"/>
        <v>9.19989016053058E-2</v>
      </c>
      <c r="X28" s="40"/>
    </row>
    <row r="29" spans="1:24" ht="25.5" x14ac:dyDescent="0.2">
      <c r="B29" s="38">
        <v>35125</v>
      </c>
      <c r="C29" s="39" t="s">
        <v>67</v>
      </c>
      <c r="D29" s="40">
        <v>3799.5410000000002</v>
      </c>
      <c r="E29" s="40">
        <v>7400.0510000000004</v>
      </c>
      <c r="F29" s="41">
        <v>5.0220000000000002</v>
      </c>
      <c r="G29" s="40">
        <v>3804.5630000000001</v>
      </c>
      <c r="H29" s="40">
        <v>415.39299999999997</v>
      </c>
      <c r="I29" s="41">
        <v>17.550999999999998</v>
      </c>
      <c r="J29" s="40">
        <v>1044.0050000000001</v>
      </c>
      <c r="K29" s="40">
        <v>1476.9490000000001</v>
      </c>
      <c r="L29" s="40">
        <v>609.72</v>
      </c>
      <c r="M29" s="40">
        <v>2086.6689999999999</v>
      </c>
      <c r="N29" s="40">
        <v>1717.894</v>
      </c>
      <c r="P29" s="36">
        <f t="shared" si="0"/>
        <v>5.6133802321092108E-2</v>
      </c>
      <c r="Q29" s="36">
        <f t="shared" si="1"/>
        <v>2.3717404109782482E-3</v>
      </c>
      <c r="R29" s="36">
        <f t="shared" si="2"/>
        <v>0.27440865087527794</v>
      </c>
      <c r="T29" s="36">
        <f t="shared" si="3"/>
        <v>0.1602601928263509</v>
      </c>
      <c r="X29" s="40"/>
    </row>
    <row r="30" spans="1:24" ht="25.5" x14ac:dyDescent="0.2">
      <c r="B30" s="38">
        <v>35217</v>
      </c>
      <c r="C30" s="39" t="s">
        <v>68</v>
      </c>
      <c r="D30" s="40">
        <v>1717.894</v>
      </c>
      <c r="E30" s="40">
        <v>7400.0510000000004</v>
      </c>
      <c r="F30" s="41">
        <v>2.855</v>
      </c>
      <c r="G30" s="40">
        <v>1720.749</v>
      </c>
      <c r="H30" s="40">
        <v>369.863</v>
      </c>
      <c r="I30" s="41">
        <v>2.5960000000000001</v>
      </c>
      <c r="J30" s="40">
        <v>526.846</v>
      </c>
      <c r="K30" s="40">
        <v>899.30499999999995</v>
      </c>
      <c r="L30" s="40">
        <v>395.50200000000001</v>
      </c>
      <c r="M30" s="40">
        <v>1294.807</v>
      </c>
      <c r="N30" s="40">
        <v>425.94200000000001</v>
      </c>
      <c r="P30" s="36">
        <f t="shared" si="0"/>
        <v>4.9981142021859035E-2</v>
      </c>
      <c r="Q30" s="36">
        <f t="shared" si="1"/>
        <v>3.5080839307729096E-4</v>
      </c>
      <c r="R30" s="36">
        <f t="shared" si="2"/>
        <v>0.30617248651604623</v>
      </c>
      <c r="T30" s="36">
        <f t="shared" si="3"/>
        <v>0.22984293467553954</v>
      </c>
      <c r="X30" s="40"/>
    </row>
    <row r="31" spans="1:24" ht="25.5" hidden="1" x14ac:dyDescent="0.2">
      <c r="B31" s="38">
        <v>35309</v>
      </c>
      <c r="C31" s="39" t="s">
        <v>69</v>
      </c>
      <c r="D31" s="40">
        <v>1557.84</v>
      </c>
      <c r="E31" s="40">
        <v>7400.0510000000004</v>
      </c>
      <c r="F31" s="41">
        <v>16.486999999999998</v>
      </c>
      <c r="G31" s="40">
        <v>8974.3780000000006</v>
      </c>
      <c r="H31" s="40">
        <v>1607.98</v>
      </c>
      <c r="I31" s="41">
        <v>20.146999999999998</v>
      </c>
      <c r="J31" s="40">
        <v>4692.4850000000006</v>
      </c>
      <c r="K31" s="40">
        <v>6320.612000000001</v>
      </c>
      <c r="L31" s="40">
        <v>2227.8240000000001</v>
      </c>
      <c r="M31" s="40">
        <v>8548.4359999999997</v>
      </c>
      <c r="N31" s="40">
        <v>425.94200000000001</v>
      </c>
      <c r="P31" s="36">
        <f>H31/E31</f>
        <v>0.21729309703406097</v>
      </c>
      <c r="Q31" s="36">
        <f t="shared" si="1"/>
        <v>2.7225488040555391E-3</v>
      </c>
      <c r="R31" s="36">
        <f t="shared" si="2"/>
        <v>0.52287579150332208</v>
      </c>
      <c r="T31" s="36">
        <f t="shared" si="3"/>
        <v>0.24824271943972048</v>
      </c>
      <c r="X31" s="40">
        <v>379.90100000000001</v>
      </c>
    </row>
    <row r="32" spans="1:24" ht="25.5" x14ac:dyDescent="0.2">
      <c r="A32" s="44" t="s">
        <v>75</v>
      </c>
      <c r="B32" s="38">
        <v>35309</v>
      </c>
      <c r="C32" s="39" t="s">
        <v>65</v>
      </c>
      <c r="D32" s="40">
        <v>425.94200000000001</v>
      </c>
      <c r="E32" s="40">
        <v>9232.5570000000007</v>
      </c>
      <c r="F32" s="41">
        <v>3.4380000000000002</v>
      </c>
      <c r="G32" s="40">
        <v>9661.9370000000017</v>
      </c>
      <c r="H32" s="40">
        <v>387.92500000000001</v>
      </c>
      <c r="I32" s="42"/>
      <c r="J32" s="40">
        <v>1884.5070000000001</v>
      </c>
      <c r="K32" s="40">
        <v>2272.4319999999998</v>
      </c>
      <c r="L32" s="40">
        <v>486.53100000000001</v>
      </c>
      <c r="M32" s="40">
        <v>2758.9630000000002</v>
      </c>
      <c r="N32" s="40">
        <v>6902.9740000000002</v>
      </c>
      <c r="P32" s="36">
        <f t="shared" si="0"/>
        <v>4.2017070677169928E-2</v>
      </c>
      <c r="Q32" s="36">
        <f t="shared" si="1"/>
        <v>0</v>
      </c>
      <c r="R32" s="36">
        <f t="shared" si="2"/>
        <v>0.19504443053189022</v>
      </c>
      <c r="T32" s="36">
        <f t="shared" si="3"/>
        <v>5.0355430800262918E-2</v>
      </c>
      <c r="X32" s="40"/>
    </row>
    <row r="33" spans="1:24" ht="25.5" x14ac:dyDescent="0.2">
      <c r="B33" s="38">
        <v>35400</v>
      </c>
      <c r="C33" s="39" t="s">
        <v>66</v>
      </c>
      <c r="D33" s="40">
        <v>6902.9740000000002</v>
      </c>
      <c r="E33" s="40">
        <v>9232.5570000000007</v>
      </c>
      <c r="F33" s="41">
        <v>2.35</v>
      </c>
      <c r="G33" s="40">
        <v>6905.3240000000005</v>
      </c>
      <c r="H33" s="40">
        <v>400.30099999999999</v>
      </c>
      <c r="I33" s="42"/>
      <c r="J33" s="40">
        <v>1486.1769999999999</v>
      </c>
      <c r="K33" s="40">
        <v>1886.4780000000001</v>
      </c>
      <c r="L33" s="40">
        <v>524.71799999999996</v>
      </c>
      <c r="M33" s="40">
        <v>2411.1959999999999</v>
      </c>
      <c r="N33" s="40">
        <v>4494.1279999999997</v>
      </c>
      <c r="P33" s="36">
        <f t="shared" si="0"/>
        <v>4.3357544394256105E-2</v>
      </c>
      <c r="Q33" s="36">
        <f t="shared" si="1"/>
        <v>0</v>
      </c>
      <c r="R33" s="36">
        <f t="shared" si="2"/>
        <v>0.21522190703868491</v>
      </c>
      <c r="T33" s="36">
        <f t="shared" si="3"/>
        <v>7.5987455476383137E-2</v>
      </c>
      <c r="X33" s="40"/>
    </row>
    <row r="34" spans="1:24" ht="25.5" x14ac:dyDescent="0.2">
      <c r="B34" s="38">
        <v>35490</v>
      </c>
      <c r="C34" s="39" t="s">
        <v>67</v>
      </c>
      <c r="D34" s="40">
        <v>4494.1279999999997</v>
      </c>
      <c r="E34" s="40">
        <v>9232.5570000000007</v>
      </c>
      <c r="F34" s="41">
        <v>3.7189999999999999</v>
      </c>
      <c r="G34" s="40">
        <v>4497.8469999999998</v>
      </c>
      <c r="H34" s="40">
        <v>451.315</v>
      </c>
      <c r="I34" s="41">
        <v>19.715</v>
      </c>
      <c r="J34" s="40">
        <v>1097.4090000000001</v>
      </c>
      <c r="K34" s="40">
        <v>1568.4390000000001</v>
      </c>
      <c r="L34" s="40">
        <v>432.858</v>
      </c>
      <c r="M34" s="40">
        <v>2001.297</v>
      </c>
      <c r="N34" s="40">
        <v>2496.5500000000002</v>
      </c>
      <c r="P34" s="36">
        <f t="shared" si="0"/>
        <v>4.8882990920066885E-2</v>
      </c>
      <c r="Q34" s="36">
        <f t="shared" si="1"/>
        <v>2.1353780973136691E-3</v>
      </c>
      <c r="R34" s="36">
        <f t="shared" si="2"/>
        <v>0.24398540012588249</v>
      </c>
      <c r="T34" s="36">
        <f t="shared" si="3"/>
        <v>9.6236710586198246E-2</v>
      </c>
      <c r="X34" s="40"/>
    </row>
    <row r="35" spans="1:24" ht="25.5" x14ac:dyDescent="0.2">
      <c r="B35" s="38">
        <v>35582</v>
      </c>
      <c r="C35" s="39" t="s">
        <v>68</v>
      </c>
      <c r="D35" s="40">
        <v>2496.5500000000002</v>
      </c>
      <c r="E35" s="40">
        <v>9232.5570000000007</v>
      </c>
      <c r="F35" s="41">
        <v>3.754</v>
      </c>
      <c r="G35" s="40">
        <v>2500.3040000000001</v>
      </c>
      <c r="H35" s="40">
        <v>454.38</v>
      </c>
      <c r="I35" s="41">
        <v>0.54400000000000004</v>
      </c>
      <c r="J35" s="40">
        <v>808.95699999999999</v>
      </c>
      <c r="K35" s="40">
        <v>1263.8810000000001</v>
      </c>
      <c r="L35" s="40">
        <v>353.262</v>
      </c>
      <c r="M35" s="40">
        <v>1617.143</v>
      </c>
      <c r="N35" s="40">
        <v>883.16099999999994</v>
      </c>
      <c r="P35" s="36">
        <f t="shared" si="0"/>
        <v>4.921496829101623E-2</v>
      </c>
      <c r="Q35" s="36">
        <f t="shared" si="1"/>
        <v>5.8921921630161613E-5</v>
      </c>
      <c r="R35" s="36">
        <f t="shared" si="2"/>
        <v>0.32354345711561472</v>
      </c>
      <c r="T35" s="36">
        <f t="shared" si="3"/>
        <v>0.14128761942547785</v>
      </c>
      <c r="X35" s="40"/>
    </row>
    <row r="36" spans="1:24" ht="25.5" hidden="1" x14ac:dyDescent="0.2">
      <c r="B36" s="38">
        <v>35674</v>
      </c>
      <c r="C36" s="39" t="s">
        <v>69</v>
      </c>
      <c r="D36" s="40">
        <v>425.94200000000001</v>
      </c>
      <c r="E36" s="40">
        <v>9232.5570000000007</v>
      </c>
      <c r="F36" s="41">
        <v>13.260999999999999</v>
      </c>
      <c r="G36" s="40">
        <v>9671.76</v>
      </c>
      <c r="H36" s="40">
        <v>1693.9209999999998</v>
      </c>
      <c r="I36" s="41">
        <v>20.259</v>
      </c>
      <c r="J36" s="40">
        <v>5277.0500000000011</v>
      </c>
      <c r="K36" s="40">
        <v>6991.23</v>
      </c>
      <c r="L36" s="40">
        <v>1797.3689999999999</v>
      </c>
      <c r="M36" s="40">
        <v>8788.5990000000002</v>
      </c>
      <c r="N36" s="40">
        <v>883.16099999999994</v>
      </c>
      <c r="P36" s="36">
        <f t="shared" si="0"/>
        <v>0.18347257428250913</v>
      </c>
      <c r="Q36" s="36">
        <f t="shared" si="1"/>
        <v>2.194300018943831E-3</v>
      </c>
      <c r="R36" s="36">
        <f t="shared" si="2"/>
        <v>0.54561424187531549</v>
      </c>
      <c r="T36" s="36">
        <f t="shared" si="3"/>
        <v>0.18583680736494701</v>
      </c>
      <c r="X36" s="40">
        <v>497.35300000000001</v>
      </c>
    </row>
    <row r="37" spans="1:24" ht="25.5" x14ac:dyDescent="0.2">
      <c r="A37" s="44" t="s">
        <v>76</v>
      </c>
      <c r="B37" s="38">
        <v>35674</v>
      </c>
      <c r="C37" s="39" t="s">
        <v>65</v>
      </c>
      <c r="D37" s="40">
        <v>883.16099999999994</v>
      </c>
      <c r="E37" s="40">
        <v>9206.8320000000003</v>
      </c>
      <c r="F37" s="41">
        <v>2.2050000000000001</v>
      </c>
      <c r="G37" s="40">
        <v>10092.198</v>
      </c>
      <c r="H37" s="40">
        <v>438.73200000000003</v>
      </c>
      <c r="I37" s="42"/>
      <c r="J37" s="40">
        <v>2026.623</v>
      </c>
      <c r="K37" s="40">
        <v>2465.355</v>
      </c>
      <c r="L37" s="40">
        <v>380.08699999999999</v>
      </c>
      <c r="M37" s="40">
        <v>2845.442</v>
      </c>
      <c r="N37" s="40">
        <v>7246.7560000000003</v>
      </c>
      <c r="P37" s="36">
        <f t="shared" si="0"/>
        <v>4.7652873431382262E-2</v>
      </c>
      <c r="Q37" s="36">
        <f t="shared" si="1"/>
        <v>0</v>
      </c>
      <c r="R37" s="36">
        <f t="shared" si="2"/>
        <v>0.20081086399612849</v>
      </c>
      <c r="T37" s="36">
        <f t="shared" si="3"/>
        <v>3.7661468790049502E-2</v>
      </c>
      <c r="X37" s="40"/>
    </row>
    <row r="38" spans="1:24" ht="25.5" x14ac:dyDescent="0.2">
      <c r="B38" s="38">
        <v>35765</v>
      </c>
      <c r="C38" s="39" t="s">
        <v>66</v>
      </c>
      <c r="D38" s="40">
        <v>7246.7560000000003</v>
      </c>
      <c r="E38" s="40">
        <v>9206.8320000000003</v>
      </c>
      <c r="F38" s="41">
        <v>0.98599999999999999</v>
      </c>
      <c r="G38" s="40">
        <v>7247.7420000000002</v>
      </c>
      <c r="H38" s="40">
        <v>433.01100000000002</v>
      </c>
      <c r="I38" s="42"/>
      <c r="J38" s="40">
        <v>1494.932</v>
      </c>
      <c r="K38" s="40">
        <v>1927.943</v>
      </c>
      <c r="L38" s="40">
        <v>379.90100000000001</v>
      </c>
      <c r="M38" s="40">
        <v>2307.8440000000001</v>
      </c>
      <c r="N38" s="40">
        <v>4939.8980000000001</v>
      </c>
      <c r="P38" s="36">
        <f t="shared" si="0"/>
        <v>4.7031487052223826E-2</v>
      </c>
      <c r="Q38" s="36">
        <f t="shared" si="1"/>
        <v>0</v>
      </c>
      <c r="R38" s="36">
        <f t="shared" si="2"/>
        <v>0.20626175711000749</v>
      </c>
      <c r="T38" s="36">
        <f t="shared" si="3"/>
        <v>5.2416462948046437E-2</v>
      </c>
      <c r="X38" s="40"/>
    </row>
    <row r="39" spans="1:24" ht="25.5" x14ac:dyDescent="0.2">
      <c r="B39" s="38">
        <v>35855</v>
      </c>
      <c r="C39" s="39" t="s">
        <v>67</v>
      </c>
      <c r="D39" s="40">
        <v>4939.8980000000001</v>
      </c>
      <c r="E39" s="40">
        <v>9206.8320000000003</v>
      </c>
      <c r="F39" s="41">
        <v>3.6070000000000002</v>
      </c>
      <c r="G39" s="40">
        <v>4943.5050000000001</v>
      </c>
      <c r="H39" s="40">
        <v>459.42599999999999</v>
      </c>
      <c r="I39" s="41">
        <v>19.745000000000001</v>
      </c>
      <c r="J39" s="40">
        <v>1074.2550000000001</v>
      </c>
      <c r="K39" s="40">
        <v>1553.4259999999999</v>
      </c>
      <c r="L39" s="40">
        <v>350.322</v>
      </c>
      <c r="M39" s="40">
        <v>1903.748</v>
      </c>
      <c r="N39" s="40">
        <v>3039.7570000000001</v>
      </c>
      <c r="P39" s="36">
        <f t="shared" si="0"/>
        <v>4.9900552111736149E-2</v>
      </c>
      <c r="Q39" s="36">
        <f t="shared" si="1"/>
        <v>2.1446030512992961E-3</v>
      </c>
      <c r="R39" s="36">
        <f t="shared" si="2"/>
        <v>0.21730634438520849</v>
      </c>
      <c r="T39" s="36">
        <f t="shared" si="3"/>
        <v>7.0865104819353875E-2</v>
      </c>
      <c r="X39" s="40"/>
    </row>
    <row r="40" spans="1:24" ht="25.5" x14ac:dyDescent="0.2">
      <c r="B40" s="38">
        <v>35947</v>
      </c>
      <c r="C40" s="39" t="s">
        <v>68</v>
      </c>
      <c r="D40" s="40">
        <v>3039.7570000000001</v>
      </c>
      <c r="E40" s="40">
        <v>9206.8320000000003</v>
      </c>
      <c r="F40" s="41">
        <v>2.012</v>
      </c>
      <c r="G40" s="40">
        <v>3041.7690000000002</v>
      </c>
      <c r="H40" s="40">
        <v>484.50900000000001</v>
      </c>
      <c r="I40" s="41">
        <v>0.67700000000000005</v>
      </c>
      <c r="J40" s="40">
        <v>854.66399999999999</v>
      </c>
      <c r="K40" s="40">
        <v>1339.85</v>
      </c>
      <c r="L40" s="40">
        <v>394.11599999999999</v>
      </c>
      <c r="M40" s="40">
        <v>1733.9659999999999</v>
      </c>
      <c r="N40" s="40">
        <v>1307.8030000000001</v>
      </c>
      <c r="P40" s="36">
        <f t="shared" si="0"/>
        <v>5.2624941999593347E-2</v>
      </c>
      <c r="Q40" s="36">
        <f t="shared" si="1"/>
        <v>7.3532350758654015E-5</v>
      </c>
      <c r="R40" s="36">
        <f t="shared" si="2"/>
        <v>0.28097597154813531</v>
      </c>
      <c r="T40" s="36">
        <f t="shared" si="3"/>
        <v>0.12956802439632989</v>
      </c>
      <c r="X40" s="40"/>
    </row>
    <row r="41" spans="1:24" ht="25.5" hidden="1" x14ac:dyDescent="0.2">
      <c r="B41" s="38">
        <v>36039</v>
      </c>
      <c r="C41" s="39" t="s">
        <v>69</v>
      </c>
      <c r="D41" s="40">
        <v>883.16099999999994</v>
      </c>
      <c r="E41" s="40">
        <v>9206.8320000000003</v>
      </c>
      <c r="F41" s="41">
        <v>8.81</v>
      </c>
      <c r="G41" s="40">
        <v>10098.803</v>
      </c>
      <c r="H41" s="40">
        <v>1815.6780000000001</v>
      </c>
      <c r="I41" s="41">
        <v>20.422000000000001</v>
      </c>
      <c r="J41" s="40">
        <v>5450.4740000000002</v>
      </c>
      <c r="K41" s="40">
        <v>7286.5740000000005</v>
      </c>
      <c r="L41" s="40">
        <v>1504.4259999999999</v>
      </c>
      <c r="M41" s="40">
        <v>8791</v>
      </c>
      <c r="N41" s="40">
        <v>1307.8030000000001</v>
      </c>
      <c r="P41" s="36">
        <f t="shared" si="0"/>
        <v>0.19720985459493559</v>
      </c>
      <c r="Q41" s="36">
        <f t="shared" si="1"/>
        <v>2.2181354020579499E-3</v>
      </c>
      <c r="R41" s="36">
        <f t="shared" si="2"/>
        <v>0.53971485531503094</v>
      </c>
      <c r="T41" s="36">
        <f t="shared" si="3"/>
        <v>0.14897072455022639</v>
      </c>
      <c r="X41" s="40">
        <v>485.30099999999999</v>
      </c>
    </row>
    <row r="42" spans="1:24" ht="25.5" x14ac:dyDescent="0.2">
      <c r="A42" s="44" t="s">
        <v>77</v>
      </c>
      <c r="B42" s="38">
        <v>36039</v>
      </c>
      <c r="C42" s="39" t="s">
        <v>65</v>
      </c>
      <c r="D42" s="40">
        <v>1307.8030000000001</v>
      </c>
      <c r="E42" s="40">
        <v>9758.6849999999995</v>
      </c>
      <c r="F42" s="41">
        <v>4.0250000000000004</v>
      </c>
      <c r="G42" s="40">
        <v>11070.512999999999</v>
      </c>
      <c r="H42" s="40">
        <v>450.27600000000001</v>
      </c>
      <c r="I42" s="42"/>
      <c r="J42" s="40">
        <v>2118.172</v>
      </c>
      <c r="K42" s="40">
        <v>2568.4479999999999</v>
      </c>
      <c r="L42" s="40">
        <v>450.21899999999999</v>
      </c>
      <c r="M42" s="40">
        <v>3018.6669999999999</v>
      </c>
      <c r="N42" s="40">
        <v>8051.8459999999995</v>
      </c>
      <c r="P42" s="36">
        <f t="shared" si="0"/>
        <v>4.614105281603003E-2</v>
      </c>
      <c r="Q42" s="36">
        <f t="shared" si="1"/>
        <v>0</v>
      </c>
      <c r="R42" s="36">
        <f t="shared" si="2"/>
        <v>0.19133458404321463</v>
      </c>
      <c r="T42" s="36">
        <f t="shared" si="3"/>
        <v>4.0668305073125341E-2</v>
      </c>
      <c r="X42" s="40"/>
    </row>
    <row r="43" spans="1:24" ht="25.5" x14ac:dyDescent="0.2">
      <c r="B43" s="38">
        <v>36130</v>
      </c>
      <c r="C43" s="39" t="s">
        <v>66</v>
      </c>
      <c r="D43" s="40">
        <v>8051.8459999999995</v>
      </c>
      <c r="E43" s="40">
        <v>9758.6849999999995</v>
      </c>
      <c r="F43" s="41">
        <v>5.7160000000000002</v>
      </c>
      <c r="G43" s="40">
        <v>8057.5619999999999</v>
      </c>
      <c r="H43" s="40">
        <v>441.04899999999998</v>
      </c>
      <c r="I43" s="42"/>
      <c r="J43" s="40">
        <v>1453.0029999999999</v>
      </c>
      <c r="K43" s="40">
        <v>1894.0519999999999</v>
      </c>
      <c r="L43" s="40">
        <v>465.08199999999999</v>
      </c>
      <c r="M43" s="40">
        <v>2359.134</v>
      </c>
      <c r="N43" s="40">
        <v>5698.4279999999999</v>
      </c>
      <c r="P43" s="36">
        <f t="shared" si="0"/>
        <v>4.5195536078887676E-2</v>
      </c>
      <c r="Q43" s="36">
        <f t="shared" si="1"/>
        <v>0</v>
      </c>
      <c r="R43" s="36">
        <f t="shared" si="2"/>
        <v>0.18032787088700031</v>
      </c>
      <c r="T43" s="36">
        <f t="shared" si="3"/>
        <v>5.771994059741644E-2</v>
      </c>
      <c r="X43" s="40"/>
    </row>
    <row r="44" spans="1:24" ht="25.5" x14ac:dyDescent="0.2">
      <c r="B44" s="38">
        <v>36220</v>
      </c>
      <c r="C44" s="39" t="s">
        <v>67</v>
      </c>
      <c r="D44" s="40">
        <v>5698.4279999999999</v>
      </c>
      <c r="E44" s="40">
        <v>9758.6849999999995</v>
      </c>
      <c r="F44" s="41">
        <v>7.2350000000000003</v>
      </c>
      <c r="G44" s="40">
        <v>5705.6629999999996</v>
      </c>
      <c r="H44" s="40">
        <v>481.49</v>
      </c>
      <c r="I44" s="41">
        <v>18.902000000000001</v>
      </c>
      <c r="J44" s="40">
        <v>1091.693</v>
      </c>
      <c r="K44" s="40">
        <v>1592.085</v>
      </c>
      <c r="L44" s="40">
        <v>497.35300000000001</v>
      </c>
      <c r="M44" s="40">
        <v>2089.4380000000001</v>
      </c>
      <c r="N44" s="40">
        <v>3616.2249999999999</v>
      </c>
      <c r="P44" s="36">
        <f t="shared" si="0"/>
        <v>4.933963951085623E-2</v>
      </c>
      <c r="Q44" s="36">
        <f t="shared" si="1"/>
        <v>1.936941298955751E-3</v>
      </c>
      <c r="R44" s="36">
        <f t="shared" si="2"/>
        <v>0.19133499472366317</v>
      </c>
      <c r="T44" s="36">
        <f t="shared" si="3"/>
        <v>8.7168309800280883E-2</v>
      </c>
      <c r="X44" s="40"/>
    </row>
    <row r="45" spans="1:24" ht="25.5" x14ac:dyDescent="0.2">
      <c r="B45" s="38">
        <v>36312</v>
      </c>
      <c r="C45" s="39" t="s">
        <v>68</v>
      </c>
      <c r="D45" s="40">
        <v>3616.2249999999999</v>
      </c>
      <c r="E45" s="40">
        <v>9758.6849999999995</v>
      </c>
      <c r="F45" s="41">
        <v>1.83</v>
      </c>
      <c r="G45" s="40">
        <v>3618.0549999999998</v>
      </c>
      <c r="H45" s="40">
        <v>469.178</v>
      </c>
      <c r="I45" s="41">
        <v>0.83399999999999996</v>
      </c>
      <c r="J45" s="40">
        <v>789.52700000000004</v>
      </c>
      <c r="K45" s="40">
        <v>1259.539</v>
      </c>
      <c r="L45" s="40">
        <v>571.53899999999999</v>
      </c>
      <c r="M45" s="40">
        <v>1831.078</v>
      </c>
      <c r="N45" s="40">
        <v>1786.9770000000001</v>
      </c>
      <c r="P45" s="36">
        <f t="shared" si="0"/>
        <v>4.8077994114985784E-2</v>
      </c>
      <c r="Q45" s="36">
        <f t="shared" si="1"/>
        <v>8.5462334320658982E-5</v>
      </c>
      <c r="R45" s="36">
        <f t="shared" si="2"/>
        <v>0.21821862851725585</v>
      </c>
      <c r="T45" s="36">
        <f t="shared" si="3"/>
        <v>0.15796857703932085</v>
      </c>
      <c r="X45" s="40"/>
    </row>
    <row r="46" spans="1:24" ht="25.5" hidden="1" x14ac:dyDescent="0.2">
      <c r="B46" s="38">
        <v>36404</v>
      </c>
      <c r="C46" s="39" t="s">
        <v>69</v>
      </c>
      <c r="D46" s="40">
        <v>1307.8030000000001</v>
      </c>
      <c r="E46" s="40">
        <v>9758.6849999999995</v>
      </c>
      <c r="F46" s="41">
        <v>18.805999999999997</v>
      </c>
      <c r="G46" s="40">
        <v>11085.294</v>
      </c>
      <c r="H46" s="40">
        <v>1841.9929999999999</v>
      </c>
      <c r="I46" s="41">
        <v>19.736000000000001</v>
      </c>
      <c r="J46" s="40">
        <v>5452.3950000000004</v>
      </c>
      <c r="K46" s="40">
        <v>7314.1239999999998</v>
      </c>
      <c r="L46" s="40">
        <v>1984.193</v>
      </c>
      <c r="M46" s="40">
        <v>9298.3169999999991</v>
      </c>
      <c r="N46" s="40">
        <v>1786.9770000000001</v>
      </c>
      <c r="P46" s="36">
        <f t="shared" si="0"/>
        <v>0.18875422252075971</v>
      </c>
      <c r="Q46" s="36">
        <f t="shared" si="1"/>
        <v>2.0224036332764099E-3</v>
      </c>
      <c r="R46" s="36">
        <f t="shared" si="2"/>
        <v>0.49185840267294673</v>
      </c>
      <c r="T46" s="36">
        <f t="shared" si="3"/>
        <v>0.17899326801797047</v>
      </c>
      <c r="X46" s="40">
        <v>447.88099999999997</v>
      </c>
    </row>
    <row r="47" spans="1:24" ht="25.5" x14ac:dyDescent="0.2">
      <c r="A47" s="44" t="s">
        <v>78</v>
      </c>
      <c r="B47" s="38">
        <v>36404</v>
      </c>
      <c r="C47" s="39" t="s">
        <v>65</v>
      </c>
      <c r="D47" s="40">
        <v>1786.9770000000001</v>
      </c>
      <c r="E47" s="40">
        <v>9430.6119999999992</v>
      </c>
      <c r="F47" s="41">
        <v>3.5470000000000002</v>
      </c>
      <c r="G47" s="40">
        <v>11221.136</v>
      </c>
      <c r="H47" s="40">
        <v>463.64400000000001</v>
      </c>
      <c r="I47" s="42"/>
      <c r="J47" s="40">
        <v>2183.0320000000002</v>
      </c>
      <c r="K47" s="40">
        <v>2646.6759999999999</v>
      </c>
      <c r="L47" s="40">
        <v>535.01700000000005</v>
      </c>
      <c r="M47" s="40">
        <v>3181.6930000000002</v>
      </c>
      <c r="N47" s="40">
        <v>8039.4430000000002</v>
      </c>
      <c r="P47" s="36">
        <f t="shared" si="0"/>
        <v>4.9163723414768844E-2</v>
      </c>
      <c r="Q47" s="36">
        <f t="shared" si="1"/>
        <v>0</v>
      </c>
      <c r="R47" s="36">
        <f t="shared" si="2"/>
        <v>0.19454643451429518</v>
      </c>
      <c r="T47" s="36">
        <f t="shared" si="3"/>
        <v>4.7679397166204923E-2</v>
      </c>
      <c r="X47" s="40"/>
    </row>
    <row r="48" spans="1:24" ht="25.5" x14ac:dyDescent="0.2">
      <c r="B48" s="38">
        <v>36495</v>
      </c>
      <c r="C48" s="39" t="s">
        <v>66</v>
      </c>
      <c r="D48" s="40">
        <v>8039.4430000000002</v>
      </c>
      <c r="E48" s="40">
        <v>9430.6119999999992</v>
      </c>
      <c r="F48" s="41">
        <v>3.403</v>
      </c>
      <c r="G48" s="40">
        <v>8042.8460000000005</v>
      </c>
      <c r="H48" s="40">
        <v>454.10899999999998</v>
      </c>
      <c r="I48" s="42"/>
      <c r="J48" s="40">
        <v>1521.742</v>
      </c>
      <c r="K48" s="40">
        <v>1975.8510000000001</v>
      </c>
      <c r="L48" s="40">
        <v>465.1</v>
      </c>
      <c r="M48" s="40">
        <v>2440.951</v>
      </c>
      <c r="N48" s="40">
        <v>5601.8950000000004</v>
      </c>
      <c r="P48" s="36">
        <f t="shared" si="0"/>
        <v>4.8152654355836079E-2</v>
      </c>
      <c r="Q48" s="36">
        <f t="shared" si="1"/>
        <v>0</v>
      </c>
      <c r="R48" s="36">
        <f t="shared" si="2"/>
        <v>0.18920441843596159</v>
      </c>
      <c r="T48" s="36">
        <f t="shared" si="3"/>
        <v>5.7827788820027141E-2</v>
      </c>
      <c r="X48" s="40"/>
    </row>
    <row r="49" spans="1:24" ht="25.5" x14ac:dyDescent="0.2">
      <c r="B49" s="38">
        <v>36586</v>
      </c>
      <c r="C49" s="39" t="s">
        <v>67</v>
      </c>
      <c r="D49" s="40">
        <v>5601.8950000000004</v>
      </c>
      <c r="E49" s="40">
        <v>9430.6119999999992</v>
      </c>
      <c r="F49" s="41">
        <v>5.5149999999999997</v>
      </c>
      <c r="G49" s="40">
        <v>5607.4100000000008</v>
      </c>
      <c r="H49" s="40">
        <v>500.161</v>
      </c>
      <c r="I49" s="41">
        <v>19.989000000000001</v>
      </c>
      <c r="J49" s="40">
        <v>1050.174</v>
      </c>
      <c r="K49" s="40">
        <v>1570.3240000000001</v>
      </c>
      <c r="L49" s="40">
        <v>451.14800000000002</v>
      </c>
      <c r="M49" s="40">
        <v>2021.472</v>
      </c>
      <c r="N49" s="40">
        <v>3585.9380000000001</v>
      </c>
      <c r="P49" s="36">
        <f t="shared" si="0"/>
        <v>5.3035900533284587E-2</v>
      </c>
      <c r="Q49" s="36">
        <f t="shared" si="1"/>
        <v>2.1195867245943321E-3</v>
      </c>
      <c r="R49" s="36">
        <f t="shared" si="2"/>
        <v>0.18728325554935341</v>
      </c>
      <c r="T49" s="36">
        <f t="shared" si="3"/>
        <v>8.0455682748363316E-2</v>
      </c>
      <c r="X49" s="40"/>
    </row>
    <row r="50" spans="1:24" ht="25.5" x14ac:dyDescent="0.2">
      <c r="B50" s="38">
        <v>36678</v>
      </c>
      <c r="C50" s="39" t="s">
        <v>68</v>
      </c>
      <c r="D50" s="40">
        <v>3585.9380000000001</v>
      </c>
      <c r="E50" s="40">
        <v>9430.6119999999992</v>
      </c>
      <c r="F50" s="41">
        <v>2.2789999999999999</v>
      </c>
      <c r="G50" s="40">
        <v>3588.2170000000001</v>
      </c>
      <c r="H50" s="40">
        <v>497.29199999999997</v>
      </c>
      <c r="I50" s="41">
        <v>0.25800000000000001</v>
      </c>
      <c r="J50" s="40">
        <v>887.81700000000001</v>
      </c>
      <c r="K50" s="40">
        <v>1385.367</v>
      </c>
      <c r="L50" s="40">
        <v>485.30099999999999</v>
      </c>
      <c r="M50" s="40">
        <v>1870.6679999999999</v>
      </c>
      <c r="N50" s="40">
        <v>1717.549</v>
      </c>
      <c r="P50" s="36">
        <f t="shared" si="0"/>
        <v>5.273167849552076E-2</v>
      </c>
      <c r="Q50" s="36">
        <f t="shared" si="1"/>
        <v>2.7357715490786816E-5</v>
      </c>
      <c r="R50" s="36">
        <f t="shared" si="2"/>
        <v>0.24742567130137336</v>
      </c>
      <c r="T50" s="36">
        <f t="shared" si="3"/>
        <v>0.13524850921780929</v>
      </c>
      <c r="X50" s="40"/>
    </row>
    <row r="51" spans="1:24" ht="25.5" hidden="1" x14ac:dyDescent="0.2">
      <c r="B51" s="38">
        <v>36770</v>
      </c>
      <c r="C51" s="39" t="s">
        <v>69</v>
      </c>
      <c r="D51" s="40">
        <v>1786.9770000000001</v>
      </c>
      <c r="E51" s="40">
        <v>9430.6119999999992</v>
      </c>
      <c r="F51" s="41">
        <v>14.744</v>
      </c>
      <c r="G51" s="40">
        <v>11232.333000000001</v>
      </c>
      <c r="H51" s="40">
        <v>1915.2059999999999</v>
      </c>
      <c r="I51" s="41">
        <v>20.247</v>
      </c>
      <c r="J51" s="40">
        <v>5642.7650000000003</v>
      </c>
      <c r="K51" s="40">
        <v>7578.2180000000008</v>
      </c>
      <c r="L51" s="40">
        <v>1936.566</v>
      </c>
      <c r="M51" s="40">
        <v>9514.7839999999997</v>
      </c>
      <c r="N51" s="40">
        <v>1717.549</v>
      </c>
      <c r="P51" s="36">
        <f t="shared" si="0"/>
        <v>0.20308395679941027</v>
      </c>
      <c r="Q51" s="36">
        <f t="shared" si="1"/>
        <v>2.1469444400851185E-3</v>
      </c>
      <c r="R51" s="36">
        <f t="shared" si="2"/>
        <v>0.50236802986521145</v>
      </c>
      <c r="T51" s="36">
        <f t="shared" si="3"/>
        <v>0.17240995258954661</v>
      </c>
      <c r="X51" s="40">
        <v>390.18900000000002</v>
      </c>
    </row>
    <row r="52" spans="1:24" ht="25.5" x14ac:dyDescent="0.2">
      <c r="A52" s="44" t="s">
        <v>79</v>
      </c>
      <c r="B52" s="38">
        <v>36770</v>
      </c>
      <c r="C52" s="39" t="s">
        <v>65</v>
      </c>
      <c r="D52" s="40">
        <v>1717.549</v>
      </c>
      <c r="E52" s="40">
        <v>9915.0509999999995</v>
      </c>
      <c r="F52" s="41">
        <v>1.292</v>
      </c>
      <c r="G52" s="40">
        <v>11633.892</v>
      </c>
      <c r="H52" s="40">
        <v>472.42</v>
      </c>
      <c r="I52" s="42"/>
      <c r="J52" s="40">
        <v>2125.163</v>
      </c>
      <c r="K52" s="40">
        <v>2597.5830000000001</v>
      </c>
      <c r="L52" s="40">
        <v>506.67500000000001</v>
      </c>
      <c r="M52" s="40">
        <v>3104.2579999999998</v>
      </c>
      <c r="N52" s="40">
        <v>8529.634</v>
      </c>
      <c r="P52" s="36">
        <f t="shared" si="0"/>
        <v>4.7646754414072102E-2</v>
      </c>
      <c r="Q52" s="36">
        <f t="shared" si="1"/>
        <v>0</v>
      </c>
      <c r="R52" s="36">
        <f t="shared" si="2"/>
        <v>0.18266999556124469</v>
      </c>
      <c r="T52" s="36">
        <f t="shared" si="3"/>
        <v>4.355163345164284E-2</v>
      </c>
      <c r="X52" s="40"/>
    </row>
    <row r="53" spans="1:24" ht="25.5" x14ac:dyDescent="0.2">
      <c r="B53" s="38">
        <v>36861</v>
      </c>
      <c r="C53" s="39" t="s">
        <v>66</v>
      </c>
      <c r="D53" s="40">
        <v>8529.634</v>
      </c>
      <c r="E53" s="40">
        <v>9915.0509999999995</v>
      </c>
      <c r="F53" s="41">
        <v>0.91100000000000003</v>
      </c>
      <c r="G53" s="40">
        <v>8530.5450000000001</v>
      </c>
      <c r="H53" s="40">
        <v>470.29300000000001</v>
      </c>
      <c r="I53" s="42"/>
      <c r="J53" s="40">
        <v>1601.9659999999999</v>
      </c>
      <c r="K53" s="40">
        <v>2072.259</v>
      </c>
      <c r="L53" s="40">
        <v>415.28699999999998</v>
      </c>
      <c r="M53" s="40">
        <v>2487.5459999999998</v>
      </c>
      <c r="N53" s="40">
        <v>6042.9989999999998</v>
      </c>
      <c r="P53" s="36">
        <f t="shared" si="0"/>
        <v>4.743223206819612E-2</v>
      </c>
      <c r="Q53" s="36">
        <f t="shared" si="1"/>
        <v>0</v>
      </c>
      <c r="R53" s="36">
        <f t="shared" si="2"/>
        <v>0.18779175304743131</v>
      </c>
      <c r="T53" s="36">
        <f t="shared" si="3"/>
        <v>4.8682352651559777E-2</v>
      </c>
      <c r="X53" s="40"/>
    </row>
    <row r="54" spans="1:24" ht="25.5" x14ac:dyDescent="0.2">
      <c r="B54" s="38">
        <v>36951</v>
      </c>
      <c r="C54" s="39" t="s">
        <v>67</v>
      </c>
      <c r="D54" s="40">
        <v>6042.9989999999998</v>
      </c>
      <c r="E54" s="40">
        <v>9915.0509999999995</v>
      </c>
      <c r="F54" s="41">
        <v>3.1230000000000002</v>
      </c>
      <c r="G54" s="40">
        <v>6046.1219999999994</v>
      </c>
      <c r="H54" s="40">
        <v>500.54199999999997</v>
      </c>
      <c r="I54" s="41">
        <v>18.68</v>
      </c>
      <c r="J54" s="40">
        <v>1147.7529999999999</v>
      </c>
      <c r="K54" s="40">
        <v>1666.9749999999999</v>
      </c>
      <c r="L54" s="40">
        <v>455.18900000000002</v>
      </c>
      <c r="M54" s="40">
        <v>2122.1640000000002</v>
      </c>
      <c r="N54" s="40">
        <v>3923.9580000000001</v>
      </c>
      <c r="P54" s="36">
        <f t="shared" si="0"/>
        <v>5.0483048448263151E-2</v>
      </c>
      <c r="Q54" s="36">
        <f t="shared" si="1"/>
        <v>1.8840044292258305E-3</v>
      </c>
      <c r="R54" s="36">
        <f t="shared" si="2"/>
        <v>0.18983292100291724</v>
      </c>
      <c r="T54" s="36">
        <f t="shared" si="3"/>
        <v>7.5286109013347743E-2</v>
      </c>
      <c r="X54" s="40"/>
    </row>
    <row r="55" spans="1:24" ht="25.5" x14ac:dyDescent="0.2">
      <c r="B55" s="38">
        <v>37043</v>
      </c>
      <c r="C55" s="39" t="s">
        <v>68</v>
      </c>
      <c r="D55" s="40">
        <v>3923.9580000000001</v>
      </c>
      <c r="E55" s="40">
        <v>9915.0509999999995</v>
      </c>
      <c r="F55" s="41">
        <v>1.498</v>
      </c>
      <c r="G55" s="40">
        <v>3925.4560000000001</v>
      </c>
      <c r="H55" s="40">
        <v>514.36099999999999</v>
      </c>
      <c r="I55" s="41">
        <v>0.61799999999999999</v>
      </c>
      <c r="J55" s="40">
        <v>947.17200000000003</v>
      </c>
      <c r="K55" s="40">
        <v>1462.1510000000001</v>
      </c>
      <c r="L55" s="40">
        <v>564.197</v>
      </c>
      <c r="M55" s="40">
        <v>2026.348</v>
      </c>
      <c r="N55" s="40">
        <v>1899.1079999999999</v>
      </c>
      <c r="P55" s="36">
        <f t="shared" si="0"/>
        <v>5.1876788127463998E-2</v>
      </c>
      <c r="Q55" s="36">
        <f t="shared" si="1"/>
        <v>6.2329482722781756E-5</v>
      </c>
      <c r="R55" s="36">
        <f t="shared" si="2"/>
        <v>0.24128967437158894</v>
      </c>
      <c r="T55" s="36">
        <f t="shared" si="3"/>
        <v>0.14372776054552644</v>
      </c>
      <c r="X55" s="40"/>
    </row>
    <row r="56" spans="1:24" ht="25.5" hidden="1" x14ac:dyDescent="0.2">
      <c r="B56" s="38">
        <v>37135</v>
      </c>
      <c r="C56" s="39" t="s">
        <v>69</v>
      </c>
      <c r="D56" s="40">
        <v>1717.549</v>
      </c>
      <c r="E56" s="40">
        <v>9915.0509999999995</v>
      </c>
      <c r="F56" s="41">
        <v>6.8240000000000007</v>
      </c>
      <c r="G56" s="40">
        <v>11639.423999999999</v>
      </c>
      <c r="H56" s="40">
        <v>1957.616</v>
      </c>
      <c r="I56" s="41">
        <v>19.297999999999998</v>
      </c>
      <c r="J56" s="40">
        <v>5822.0540000000001</v>
      </c>
      <c r="K56" s="40">
        <v>7798.9680000000008</v>
      </c>
      <c r="L56" s="40">
        <v>1941.348</v>
      </c>
      <c r="M56" s="40">
        <v>9740.3160000000007</v>
      </c>
      <c r="N56" s="40">
        <v>1899.1079999999999</v>
      </c>
      <c r="P56" s="36">
        <f t="shared" si="0"/>
        <v>0.19743882305799537</v>
      </c>
      <c r="Q56" s="36">
        <f t="shared" si="1"/>
        <v>1.9463339119486123E-3</v>
      </c>
      <c r="R56" s="36">
        <f t="shared" si="2"/>
        <v>0.50020121270605833</v>
      </c>
      <c r="T56" s="36">
        <f t="shared" si="3"/>
        <v>0.16679072778859161</v>
      </c>
      <c r="X56" s="40">
        <v>464.89400000000001</v>
      </c>
    </row>
    <row r="57" spans="1:24" ht="25.5" x14ac:dyDescent="0.2">
      <c r="A57" s="44" t="s">
        <v>80</v>
      </c>
      <c r="B57" s="38">
        <v>37135</v>
      </c>
      <c r="C57" s="39" t="s">
        <v>65</v>
      </c>
      <c r="D57" s="40">
        <v>1899.1079999999999</v>
      </c>
      <c r="E57" s="40">
        <v>9502.58</v>
      </c>
      <c r="F57" s="41">
        <v>2.4489999999999998</v>
      </c>
      <c r="G57" s="40">
        <v>11404.137000000001</v>
      </c>
      <c r="H57" s="40">
        <v>497.27300000000002</v>
      </c>
      <c r="I57" s="42"/>
      <c r="J57" s="40">
        <v>2194.268</v>
      </c>
      <c r="K57" s="40">
        <v>2691.5410000000002</v>
      </c>
      <c r="L57" s="40">
        <v>447.88099999999997</v>
      </c>
      <c r="M57" s="40">
        <v>3139.422</v>
      </c>
      <c r="N57" s="40">
        <v>8264.7150000000001</v>
      </c>
      <c r="P57" s="36">
        <f t="shared" si="0"/>
        <v>5.2330314504061004E-2</v>
      </c>
      <c r="Q57" s="36">
        <f t="shared" si="1"/>
        <v>0</v>
      </c>
      <c r="R57" s="36">
        <f t="shared" si="2"/>
        <v>0.19240982461013928</v>
      </c>
      <c r="T57" s="36">
        <f t="shared" si="3"/>
        <v>3.9273554851191279E-2</v>
      </c>
      <c r="X57" s="40"/>
    </row>
    <row r="58" spans="1:24" ht="25.5" x14ac:dyDescent="0.2">
      <c r="B58" s="38">
        <v>37226</v>
      </c>
      <c r="C58" s="39" t="s">
        <v>66</v>
      </c>
      <c r="D58" s="40">
        <v>8264.7150000000001</v>
      </c>
      <c r="E58" s="40">
        <v>9502.58</v>
      </c>
      <c r="F58" s="41">
        <v>1.6839999999999999</v>
      </c>
      <c r="G58" s="40">
        <v>8266.3989999999994</v>
      </c>
      <c r="H58" s="40">
        <v>485.14800000000002</v>
      </c>
      <c r="I58" s="42"/>
      <c r="J58" s="40">
        <v>1537.61</v>
      </c>
      <c r="K58" s="40">
        <v>2022.758</v>
      </c>
      <c r="L58" s="40">
        <v>448.37799999999999</v>
      </c>
      <c r="M58" s="40">
        <v>2471.136</v>
      </c>
      <c r="N58" s="40">
        <v>5795.2629999999999</v>
      </c>
      <c r="P58" s="36">
        <f t="shared" si="0"/>
        <v>5.1054345240976663E-2</v>
      </c>
      <c r="Q58" s="36">
        <f t="shared" si="1"/>
        <v>0</v>
      </c>
      <c r="R58" s="36">
        <f t="shared" si="2"/>
        <v>0.18600723241159783</v>
      </c>
      <c r="T58" s="36">
        <f t="shared" si="3"/>
        <v>5.4241030465623549E-2</v>
      </c>
      <c r="X58" s="40"/>
    </row>
    <row r="59" spans="1:24" ht="25.5" x14ac:dyDescent="0.2">
      <c r="B59" s="38">
        <v>37316</v>
      </c>
      <c r="C59" s="39" t="s">
        <v>67</v>
      </c>
      <c r="D59" s="40">
        <v>5795.2629999999999</v>
      </c>
      <c r="E59" s="40">
        <v>9502.58</v>
      </c>
      <c r="F59" s="41">
        <v>4.1520000000000001</v>
      </c>
      <c r="G59" s="40">
        <v>5799.415</v>
      </c>
      <c r="H59" s="40">
        <v>524.11500000000001</v>
      </c>
      <c r="I59" s="41">
        <v>18.571000000000002</v>
      </c>
      <c r="J59" s="40">
        <v>1162.953</v>
      </c>
      <c r="K59" s="40">
        <v>1705.6389999999999</v>
      </c>
      <c r="L59" s="40">
        <v>496.88600000000002</v>
      </c>
      <c r="M59" s="40">
        <v>2202.5250000000001</v>
      </c>
      <c r="N59" s="40">
        <v>3596.89</v>
      </c>
      <c r="P59" s="36">
        <f t="shared" si="0"/>
        <v>5.5155021057439142E-2</v>
      </c>
      <c r="Q59" s="36">
        <f t="shared" si="1"/>
        <v>1.9543113554424171E-3</v>
      </c>
      <c r="R59" s="36">
        <f t="shared" si="2"/>
        <v>0.2005293637375494</v>
      </c>
      <c r="T59" s="36">
        <f t="shared" si="3"/>
        <v>8.5678641725070545E-2</v>
      </c>
      <c r="X59" s="40"/>
    </row>
    <row r="60" spans="1:24" ht="25.5" x14ac:dyDescent="0.2">
      <c r="B60" s="38">
        <v>37408</v>
      </c>
      <c r="C60" s="39" t="s">
        <v>68</v>
      </c>
      <c r="D60" s="40">
        <v>3596.89</v>
      </c>
      <c r="E60" s="40">
        <v>9502.58</v>
      </c>
      <c r="F60" s="41">
        <v>1.855</v>
      </c>
      <c r="G60" s="40">
        <v>3598.7449999999999</v>
      </c>
      <c r="H60" s="40">
        <v>535.29600000000005</v>
      </c>
      <c r="I60" s="41">
        <v>1.484</v>
      </c>
      <c r="J60" s="40">
        <v>953.91600000000005</v>
      </c>
      <c r="K60" s="40">
        <v>1490.6959999999999</v>
      </c>
      <c r="L60" s="40">
        <v>511.62299999999999</v>
      </c>
      <c r="M60" s="40">
        <v>2002.319</v>
      </c>
      <c r="N60" s="40">
        <v>1596.4259999999999</v>
      </c>
      <c r="P60" s="36">
        <f t="shared" si="0"/>
        <v>5.6331648878515106E-2</v>
      </c>
      <c r="Q60" s="36">
        <f t="shared" si="1"/>
        <v>1.5616811434368351E-4</v>
      </c>
      <c r="R60" s="36">
        <f t="shared" si="2"/>
        <v>0.26506907269061858</v>
      </c>
      <c r="T60" s="36">
        <f t="shared" si="3"/>
        <v>0.14216706101710458</v>
      </c>
      <c r="X60" s="40"/>
    </row>
    <row r="61" spans="1:24" ht="25.5" hidden="1" x14ac:dyDescent="0.2">
      <c r="B61" s="38">
        <v>37500</v>
      </c>
      <c r="C61" s="39" t="s">
        <v>69</v>
      </c>
      <c r="D61" s="40">
        <v>1899.1079999999999</v>
      </c>
      <c r="E61" s="40">
        <v>9502.58</v>
      </c>
      <c r="F61" s="41">
        <v>10.14</v>
      </c>
      <c r="G61" s="40">
        <v>11411.828</v>
      </c>
      <c r="H61" s="40">
        <v>2041.8320000000001</v>
      </c>
      <c r="I61" s="41">
        <v>20.055</v>
      </c>
      <c r="J61" s="40">
        <v>5848.7470000000003</v>
      </c>
      <c r="K61" s="40">
        <v>7910.634</v>
      </c>
      <c r="L61" s="40">
        <v>1904.768</v>
      </c>
      <c r="M61" s="40">
        <v>9815.402</v>
      </c>
      <c r="N61" s="40">
        <v>1596.4259999999999</v>
      </c>
      <c r="P61" s="36">
        <f t="shared" si="0"/>
        <v>0.2148713296809919</v>
      </c>
      <c r="Q61" s="36">
        <f t="shared" si="1"/>
        <v>2.1104794697861004E-3</v>
      </c>
      <c r="R61" s="36">
        <f t="shared" si="2"/>
        <v>0.51251622439454925</v>
      </c>
      <c r="T61" s="36">
        <f t="shared" si="3"/>
        <v>0.16691173403594939</v>
      </c>
      <c r="X61" s="40">
        <v>451.54500000000002</v>
      </c>
    </row>
    <row r="62" spans="1:24" ht="25.5" x14ac:dyDescent="0.2">
      <c r="A62" s="44" t="s">
        <v>81</v>
      </c>
      <c r="B62" s="38">
        <v>37500</v>
      </c>
      <c r="C62" s="39" t="s">
        <v>65</v>
      </c>
      <c r="D62" s="40">
        <v>1596.4259999999999</v>
      </c>
      <c r="E62" s="40">
        <v>8966.7870000000003</v>
      </c>
      <c r="F62" s="41">
        <v>3.4289999999999998</v>
      </c>
      <c r="G62" s="40">
        <v>10566.642</v>
      </c>
      <c r="H62" s="40">
        <v>552.68200000000002</v>
      </c>
      <c r="I62" s="42"/>
      <c r="J62" s="40">
        <v>1982.5630000000001</v>
      </c>
      <c r="K62" s="40">
        <v>2535.2449999999999</v>
      </c>
      <c r="L62" s="40">
        <v>393.42599999999999</v>
      </c>
      <c r="M62" s="40">
        <v>2928.6709999999998</v>
      </c>
      <c r="N62" s="40">
        <v>7637.9709999999995</v>
      </c>
      <c r="P62" s="36">
        <f t="shared" si="0"/>
        <v>6.1636570602156604E-2</v>
      </c>
      <c r="Q62" s="36">
        <f t="shared" si="1"/>
        <v>0</v>
      </c>
      <c r="R62" s="36">
        <f t="shared" si="2"/>
        <v>0.18762469666332976</v>
      </c>
      <c r="T62" s="36">
        <f t="shared" si="3"/>
        <v>3.7232831395253102E-2</v>
      </c>
      <c r="X62" s="40"/>
    </row>
    <row r="63" spans="1:24" ht="25.5" x14ac:dyDescent="0.2">
      <c r="B63" s="38">
        <v>37591</v>
      </c>
      <c r="C63" s="39" t="s">
        <v>66</v>
      </c>
      <c r="D63" s="40">
        <v>7637.9709999999995</v>
      </c>
      <c r="E63" s="40">
        <v>8966.7870000000003</v>
      </c>
      <c r="F63" s="41">
        <v>4.0599999999999996</v>
      </c>
      <c r="G63" s="40">
        <v>7642.0309999999999</v>
      </c>
      <c r="H63" s="40">
        <v>565.673</v>
      </c>
      <c r="I63" s="42"/>
      <c r="J63" s="40">
        <v>1554.296</v>
      </c>
      <c r="K63" s="40">
        <v>2119.9690000000001</v>
      </c>
      <c r="L63" s="40">
        <v>390.18900000000002</v>
      </c>
      <c r="M63" s="40">
        <v>2510.1579999999999</v>
      </c>
      <c r="N63" s="40">
        <v>5131.8729999999996</v>
      </c>
      <c r="P63" s="36">
        <f t="shared" si="0"/>
        <v>6.3085361568196052E-2</v>
      </c>
      <c r="Q63" s="36">
        <f t="shared" si="1"/>
        <v>0</v>
      </c>
      <c r="R63" s="36">
        <f t="shared" si="2"/>
        <v>0.20338781666810826</v>
      </c>
      <c r="T63" s="36">
        <f t="shared" si="3"/>
        <v>5.1058285421768115E-2</v>
      </c>
      <c r="X63" s="40"/>
    </row>
    <row r="64" spans="1:24" ht="25.5" x14ac:dyDescent="0.2">
      <c r="B64" s="38">
        <v>37681</v>
      </c>
      <c r="C64" s="39" t="s">
        <v>67</v>
      </c>
      <c r="D64" s="40">
        <v>5131.8729999999996</v>
      </c>
      <c r="E64" s="40">
        <v>8966.7870000000003</v>
      </c>
      <c r="F64" s="41">
        <v>5.1520000000000001</v>
      </c>
      <c r="G64" s="40">
        <v>5137.0249999999996</v>
      </c>
      <c r="H64" s="40">
        <v>602.59400000000005</v>
      </c>
      <c r="I64" s="41">
        <v>18.882000000000001</v>
      </c>
      <c r="J64" s="40">
        <v>1137.2170000000001</v>
      </c>
      <c r="K64" s="40">
        <v>1758.693</v>
      </c>
      <c r="L64" s="40">
        <v>393.41399999999999</v>
      </c>
      <c r="M64" s="40">
        <v>2152.107</v>
      </c>
      <c r="N64" s="40">
        <v>2984.9180000000001</v>
      </c>
      <c r="P64" s="36">
        <f t="shared" si="0"/>
        <v>6.7202889953781667E-2</v>
      </c>
      <c r="Q64" s="36">
        <f t="shared" si="1"/>
        <v>2.1057709969022351E-3</v>
      </c>
      <c r="R64" s="36">
        <f t="shared" si="2"/>
        <v>0.22137657496313531</v>
      </c>
      <c r="T64" s="36">
        <f t="shared" si="3"/>
        <v>7.6584015067086494E-2</v>
      </c>
      <c r="X64" s="40"/>
    </row>
    <row r="65" spans="1:24" ht="25.5" x14ac:dyDescent="0.2">
      <c r="B65" s="38">
        <v>37773</v>
      </c>
      <c r="C65" s="39" t="s">
        <v>68</v>
      </c>
      <c r="D65" s="40">
        <v>2984.9180000000001</v>
      </c>
      <c r="E65" s="40">
        <v>8966.7870000000003</v>
      </c>
      <c r="F65" s="41">
        <v>1.8049999999999999</v>
      </c>
      <c r="G65" s="40">
        <v>2986.723</v>
      </c>
      <c r="H65" s="40">
        <v>613.86500000000001</v>
      </c>
      <c r="I65" s="41">
        <v>1.091</v>
      </c>
      <c r="J65" s="40">
        <v>874.23599999999999</v>
      </c>
      <c r="K65" s="40">
        <v>1489.192</v>
      </c>
      <c r="L65" s="40">
        <v>410.858</v>
      </c>
      <c r="M65" s="40">
        <v>1900.05</v>
      </c>
      <c r="N65" s="40">
        <v>1086.673</v>
      </c>
      <c r="P65" s="36">
        <f t="shared" si="0"/>
        <v>6.8459861932707894E-2</v>
      </c>
      <c r="Q65" s="36">
        <f t="shared" si="1"/>
        <v>1.2167122961658395E-4</v>
      </c>
      <c r="R65" s="36">
        <f t="shared" si="2"/>
        <v>0.2927074254961039</v>
      </c>
      <c r="T65" s="36">
        <f t="shared" si="3"/>
        <v>0.13756146786963505</v>
      </c>
      <c r="X65" s="40"/>
    </row>
    <row r="66" spans="1:24" ht="25.5" hidden="1" x14ac:dyDescent="0.2">
      <c r="B66" s="38">
        <v>37865</v>
      </c>
      <c r="C66" s="39" t="s">
        <v>69</v>
      </c>
      <c r="D66" s="40">
        <v>1596.4259999999999</v>
      </c>
      <c r="E66" s="40">
        <v>8966.7870000000003</v>
      </c>
      <c r="F66" s="41">
        <v>14.445999999999998</v>
      </c>
      <c r="G66" s="40">
        <v>10577.659</v>
      </c>
      <c r="H66" s="40">
        <v>2334.8140000000003</v>
      </c>
      <c r="I66" s="41">
        <v>19.973000000000003</v>
      </c>
      <c r="J66" s="40">
        <v>5548.3120000000008</v>
      </c>
      <c r="K66" s="40">
        <v>7903.0990000000002</v>
      </c>
      <c r="L66" s="40">
        <v>1587.8869999999999</v>
      </c>
      <c r="M66" s="40">
        <v>9490.985999999999</v>
      </c>
      <c r="N66" s="40">
        <v>1086.673</v>
      </c>
      <c r="P66" s="36">
        <f t="shared" si="0"/>
        <v>0.26038468405684223</v>
      </c>
      <c r="Q66" s="36">
        <f t="shared" si="1"/>
        <v>2.2274422265188189E-3</v>
      </c>
      <c r="R66" s="36">
        <f t="shared" si="2"/>
        <v>0.52453118407390531</v>
      </c>
      <c r="T66" s="36">
        <f t="shared" si="3"/>
        <v>0.15011705331018896</v>
      </c>
      <c r="X66" s="40">
        <v>595.93899999999996</v>
      </c>
    </row>
    <row r="67" spans="1:24" ht="25.5" x14ac:dyDescent="0.2">
      <c r="A67" s="44" t="s">
        <v>82</v>
      </c>
      <c r="B67" s="38">
        <v>37865</v>
      </c>
      <c r="C67" s="39" t="s">
        <v>65</v>
      </c>
      <c r="D67" s="40">
        <v>1086.673</v>
      </c>
      <c r="E67" s="40">
        <v>10087.291999999999</v>
      </c>
      <c r="F67" s="41">
        <v>2.4609999999999999</v>
      </c>
      <c r="G67" s="40">
        <v>11176.425999999999</v>
      </c>
      <c r="H67" s="40">
        <v>592.61800000000005</v>
      </c>
      <c r="I67" s="42"/>
      <c r="J67" s="40">
        <v>2160.4839999999999</v>
      </c>
      <c r="K67" s="40">
        <v>2753.1019999999999</v>
      </c>
      <c r="L67" s="40">
        <v>469.54899999999998</v>
      </c>
      <c r="M67" s="40">
        <v>3222.6509999999998</v>
      </c>
      <c r="N67" s="40">
        <v>7953.7749999999996</v>
      </c>
      <c r="P67" s="36">
        <f t="shared" ref="P67:P125" si="4">H67/E67</f>
        <v>5.8748968504133726E-2</v>
      </c>
      <c r="Q67" s="36">
        <f t="shared" ref="Q67:Q125" si="5">I67/E67</f>
        <v>0</v>
      </c>
      <c r="R67" s="36">
        <f t="shared" ref="R67:R125" si="6">J67/G67</f>
        <v>0.19330723435201916</v>
      </c>
      <c r="T67" s="36">
        <f t="shared" ref="T67:T125" si="7">L67/G67</f>
        <v>4.2012446554918363E-2</v>
      </c>
      <c r="X67" s="40"/>
    </row>
    <row r="68" spans="1:24" ht="25.5" x14ac:dyDescent="0.2">
      <c r="B68" s="38">
        <v>37956</v>
      </c>
      <c r="C68" s="39" t="s">
        <v>66</v>
      </c>
      <c r="D68" s="40">
        <v>7953.7749999999996</v>
      </c>
      <c r="E68" s="40">
        <v>10087.291999999999</v>
      </c>
      <c r="F68" s="41">
        <v>3.5230000000000001</v>
      </c>
      <c r="G68" s="40">
        <v>7957.2979999999998</v>
      </c>
      <c r="H68" s="40">
        <v>610.60199999999998</v>
      </c>
      <c r="I68" s="42"/>
      <c r="J68" s="40">
        <v>1569.345</v>
      </c>
      <c r="K68" s="40">
        <v>2179.9470000000001</v>
      </c>
      <c r="L68" s="40">
        <v>505.892</v>
      </c>
      <c r="M68" s="40">
        <v>2685.8389999999999</v>
      </c>
      <c r="N68" s="40">
        <v>5271.4589999999998</v>
      </c>
      <c r="P68" s="36">
        <f t="shared" si="4"/>
        <v>6.0531805761149769E-2</v>
      </c>
      <c r="Q68" s="36">
        <f t="shared" si="5"/>
        <v>0</v>
      </c>
      <c r="R68" s="36">
        <f t="shared" si="6"/>
        <v>0.19722084054160094</v>
      </c>
      <c r="T68" s="36">
        <f t="shared" si="7"/>
        <v>6.3575852004034539E-2</v>
      </c>
      <c r="X68" s="40"/>
    </row>
    <row r="69" spans="1:24" ht="25.5" x14ac:dyDescent="0.2">
      <c r="B69" s="38">
        <v>38047</v>
      </c>
      <c r="C69" s="39" t="s">
        <v>67</v>
      </c>
      <c r="D69" s="40">
        <v>5271.4589999999998</v>
      </c>
      <c r="E69" s="40">
        <v>10087.291999999999</v>
      </c>
      <c r="F69" s="41">
        <v>5.1230000000000002</v>
      </c>
      <c r="G69" s="40">
        <v>5276.5819999999994</v>
      </c>
      <c r="H69" s="40">
        <v>659.36400000000003</v>
      </c>
      <c r="I69" s="41">
        <v>19.725000000000001</v>
      </c>
      <c r="J69" s="40">
        <v>1162.4590000000001</v>
      </c>
      <c r="K69" s="40">
        <v>1841.548</v>
      </c>
      <c r="L69" s="40">
        <v>464.89400000000001</v>
      </c>
      <c r="M69" s="40">
        <v>2306.442</v>
      </c>
      <c r="N69" s="40">
        <v>2970.14</v>
      </c>
      <c r="P69" s="36">
        <f t="shared" si="4"/>
        <v>6.5365808781980339E-2</v>
      </c>
      <c r="Q69" s="36">
        <f t="shared" si="5"/>
        <v>1.9554306547287419E-3</v>
      </c>
      <c r="R69" s="36">
        <f t="shared" si="6"/>
        <v>0.22030530369849274</v>
      </c>
      <c r="T69" s="36">
        <f t="shared" si="7"/>
        <v>8.8105140790003839E-2</v>
      </c>
      <c r="X69" s="40"/>
    </row>
    <row r="70" spans="1:24" ht="25.5" x14ac:dyDescent="0.2">
      <c r="B70" s="38">
        <v>38139</v>
      </c>
      <c r="C70" s="39" t="s">
        <v>68</v>
      </c>
      <c r="D70" s="40">
        <v>2970.14</v>
      </c>
      <c r="E70" s="40">
        <v>10087.291999999999</v>
      </c>
      <c r="F70" s="41">
        <v>2.9689999999999999</v>
      </c>
      <c r="G70" s="40">
        <v>2973.1089999999999</v>
      </c>
      <c r="H70" s="40">
        <v>665.75</v>
      </c>
      <c r="I70" s="41">
        <v>0.83399999999999996</v>
      </c>
      <c r="J70" s="40">
        <v>888.952</v>
      </c>
      <c r="K70" s="40">
        <v>1555.5360000000001</v>
      </c>
      <c r="L70" s="40">
        <v>459.48200000000003</v>
      </c>
      <c r="M70" s="40">
        <v>2015.018</v>
      </c>
      <c r="N70" s="40">
        <v>958.09100000000001</v>
      </c>
      <c r="P70" s="36">
        <f t="shared" si="4"/>
        <v>6.5998882554406085E-2</v>
      </c>
      <c r="Q70" s="36">
        <f t="shared" si="5"/>
        <v>8.2678284717047949E-5</v>
      </c>
      <c r="R70" s="36">
        <f t="shared" si="6"/>
        <v>0.29899744678045775</v>
      </c>
      <c r="T70" s="36">
        <f t="shared" si="7"/>
        <v>0.15454596518324759</v>
      </c>
      <c r="X70" s="40"/>
    </row>
    <row r="71" spans="1:24" ht="25.5" hidden="1" x14ac:dyDescent="0.2">
      <c r="B71" s="38">
        <v>38231</v>
      </c>
      <c r="C71" s="39" t="s">
        <v>69</v>
      </c>
      <c r="D71" s="40">
        <v>1086.673</v>
      </c>
      <c r="E71" s="40">
        <v>10087.291999999999</v>
      </c>
      <c r="F71" s="41">
        <v>14.075999999999999</v>
      </c>
      <c r="G71" s="40">
        <v>11188.040999999999</v>
      </c>
      <c r="H71" s="40">
        <v>2528.3339999999998</v>
      </c>
      <c r="I71" s="41">
        <v>20.559000000000001</v>
      </c>
      <c r="J71" s="40">
        <v>5781.24</v>
      </c>
      <c r="K71" s="40">
        <v>8330.1329999999998</v>
      </c>
      <c r="L71" s="40">
        <v>1899.817</v>
      </c>
      <c r="M71" s="40">
        <v>10229.950000000001</v>
      </c>
      <c r="N71" s="40">
        <v>958.09100000000001</v>
      </c>
      <c r="P71" s="36">
        <f t="shared" si="4"/>
        <v>0.25064546560166989</v>
      </c>
      <c r="Q71" s="36">
        <f t="shared" si="5"/>
        <v>2.0381089394457901E-3</v>
      </c>
      <c r="R71" s="36">
        <f t="shared" si="6"/>
        <v>0.51673389470060038</v>
      </c>
      <c r="T71" s="36">
        <f t="shared" si="7"/>
        <v>0.16980783320332846</v>
      </c>
      <c r="X71" s="40">
        <v>642.10599999999999</v>
      </c>
    </row>
    <row r="72" spans="1:24" ht="25.5" x14ac:dyDescent="0.2">
      <c r="A72" s="44" t="s">
        <v>83</v>
      </c>
      <c r="B72" s="38">
        <v>38231</v>
      </c>
      <c r="C72" s="39" t="s">
        <v>65</v>
      </c>
      <c r="D72" s="40">
        <v>958.09100000000001</v>
      </c>
      <c r="E72" s="40">
        <v>11805.581</v>
      </c>
      <c r="F72" s="41">
        <v>1.635</v>
      </c>
      <c r="G72" s="40">
        <v>12765.307000000001</v>
      </c>
      <c r="H72" s="40">
        <v>645.27</v>
      </c>
      <c r="I72" s="42"/>
      <c r="J72" s="40">
        <v>2168.6590000000001</v>
      </c>
      <c r="K72" s="40">
        <v>2813.9290000000001</v>
      </c>
      <c r="L72" s="40">
        <v>498.89</v>
      </c>
      <c r="M72" s="40">
        <v>3312.819</v>
      </c>
      <c r="N72" s="40">
        <v>9452.4879999999994</v>
      </c>
      <c r="P72" s="36">
        <f t="shared" si="4"/>
        <v>5.4658046901715385E-2</v>
      </c>
      <c r="Q72" s="36">
        <f t="shared" si="5"/>
        <v>0</v>
      </c>
      <c r="R72" s="36">
        <f t="shared" si="6"/>
        <v>0.1698869443562932</v>
      </c>
      <c r="T72" s="36">
        <f t="shared" si="7"/>
        <v>3.908170794482263E-2</v>
      </c>
      <c r="X72" s="40"/>
    </row>
    <row r="73" spans="1:24" ht="25.5" x14ac:dyDescent="0.2">
      <c r="B73" s="38">
        <v>38322</v>
      </c>
      <c r="C73" s="39" t="s">
        <v>66</v>
      </c>
      <c r="D73" s="40">
        <v>9452.4879999999994</v>
      </c>
      <c r="E73" s="40">
        <v>11805.581</v>
      </c>
      <c r="F73" s="41">
        <v>1.704</v>
      </c>
      <c r="G73" s="40">
        <v>9454.1919999999991</v>
      </c>
      <c r="H73" s="40">
        <v>639.68899999999996</v>
      </c>
      <c r="I73" s="42"/>
      <c r="J73" s="40">
        <v>1618.961</v>
      </c>
      <c r="K73" s="40">
        <v>2258.65</v>
      </c>
      <c r="L73" s="40">
        <v>439.20800000000003</v>
      </c>
      <c r="M73" s="40">
        <v>2697.8580000000002</v>
      </c>
      <c r="N73" s="40">
        <v>6756.3339999999998</v>
      </c>
      <c r="P73" s="36">
        <f t="shared" si="4"/>
        <v>5.4185304391202768E-2</v>
      </c>
      <c r="Q73" s="36">
        <f t="shared" si="5"/>
        <v>0</v>
      </c>
      <c r="R73" s="36">
        <f t="shared" si="6"/>
        <v>0.17124266145642061</v>
      </c>
      <c r="T73" s="36">
        <f t="shared" si="7"/>
        <v>4.6456429063424995E-2</v>
      </c>
      <c r="X73" s="40"/>
    </row>
    <row r="74" spans="1:24" ht="25.5" x14ac:dyDescent="0.2">
      <c r="B74" s="38">
        <v>38412</v>
      </c>
      <c r="C74" s="39" t="s">
        <v>67</v>
      </c>
      <c r="D74" s="40">
        <v>6756.3339999999998</v>
      </c>
      <c r="E74" s="40">
        <v>11805.581</v>
      </c>
      <c r="F74" s="41">
        <v>4.0060000000000002</v>
      </c>
      <c r="G74" s="40">
        <v>6760.34</v>
      </c>
      <c r="H74" s="40">
        <v>685.99800000000005</v>
      </c>
      <c r="I74" s="41">
        <v>20.469000000000001</v>
      </c>
      <c r="J74" s="40">
        <v>1304.6469999999999</v>
      </c>
      <c r="K74" s="40">
        <v>2011.114</v>
      </c>
      <c r="L74" s="40">
        <v>428.41300000000001</v>
      </c>
      <c r="M74" s="40">
        <v>2439.527</v>
      </c>
      <c r="N74" s="40">
        <v>4320.8130000000001</v>
      </c>
      <c r="P74" s="36">
        <f t="shared" si="4"/>
        <v>5.8107940642650291E-2</v>
      </c>
      <c r="Q74" s="36">
        <f t="shared" si="5"/>
        <v>1.7338409689451118E-3</v>
      </c>
      <c r="R74" s="36">
        <f t="shared" si="6"/>
        <v>0.19298541197632071</v>
      </c>
      <c r="T74" s="36">
        <f t="shared" si="7"/>
        <v>6.3371516817201504E-2</v>
      </c>
      <c r="X74" s="40"/>
    </row>
    <row r="75" spans="1:24" ht="25.5" x14ac:dyDescent="0.2">
      <c r="B75" s="38">
        <v>38504</v>
      </c>
      <c r="C75" s="39" t="s">
        <v>68</v>
      </c>
      <c r="D75" s="40">
        <v>4320.8130000000001</v>
      </c>
      <c r="E75" s="40">
        <v>11805.581</v>
      </c>
      <c r="F75" s="41">
        <v>3.4849999999999999</v>
      </c>
      <c r="G75" s="40">
        <v>4324.2979999999998</v>
      </c>
      <c r="H75" s="40">
        <v>715.65099999999995</v>
      </c>
      <c r="I75" s="41">
        <v>0.32200000000000001</v>
      </c>
      <c r="J75" s="40">
        <v>1042.808</v>
      </c>
      <c r="K75" s="40">
        <v>1758.7809999999999</v>
      </c>
      <c r="L75" s="40">
        <v>451.54500000000002</v>
      </c>
      <c r="M75" s="40">
        <v>2210.326</v>
      </c>
      <c r="N75" s="40">
        <v>2113.9720000000002</v>
      </c>
      <c r="P75" s="36">
        <f t="shared" si="4"/>
        <v>6.0619718758441445E-2</v>
      </c>
      <c r="Q75" s="36">
        <f t="shared" si="5"/>
        <v>2.7275235331492793E-5</v>
      </c>
      <c r="R75" s="36">
        <f t="shared" si="6"/>
        <v>0.24115081800560462</v>
      </c>
      <c r="T75" s="36">
        <f t="shared" si="7"/>
        <v>0.10442041690928794</v>
      </c>
      <c r="X75" s="40"/>
    </row>
    <row r="76" spans="1:24" ht="25.5" hidden="1" x14ac:dyDescent="0.2">
      <c r="B76" s="38">
        <v>38596</v>
      </c>
      <c r="C76" s="39" t="s">
        <v>69</v>
      </c>
      <c r="D76" s="40">
        <v>958.09100000000001</v>
      </c>
      <c r="E76" s="40">
        <v>11805.581</v>
      </c>
      <c r="F76" s="41">
        <v>10.83</v>
      </c>
      <c r="G76" s="40">
        <v>12774.502</v>
      </c>
      <c r="H76" s="40">
        <v>2686.6079999999997</v>
      </c>
      <c r="I76" s="41">
        <v>20.791</v>
      </c>
      <c r="J76" s="40">
        <v>6135.0749999999998</v>
      </c>
      <c r="K76" s="40">
        <v>8842.4739999999983</v>
      </c>
      <c r="L76" s="40">
        <v>1818.056</v>
      </c>
      <c r="M76" s="40">
        <v>10660.53</v>
      </c>
      <c r="N76" s="40">
        <v>2113.9720000000002</v>
      </c>
      <c r="P76" s="36">
        <f t="shared" si="4"/>
        <v>0.22757101069400987</v>
      </c>
      <c r="Q76" s="36">
        <f t="shared" si="5"/>
        <v>1.7611162042766044E-3</v>
      </c>
      <c r="R76" s="36">
        <f t="shared" si="6"/>
        <v>0.48025942616001777</v>
      </c>
      <c r="T76" s="36">
        <f t="shared" si="7"/>
        <v>0.14231912915274506</v>
      </c>
      <c r="X76" s="40">
        <v>492.99400000000003</v>
      </c>
    </row>
    <row r="77" spans="1:24" ht="25.5" x14ac:dyDescent="0.2">
      <c r="A77" s="44" t="s">
        <v>84</v>
      </c>
      <c r="B77" s="38">
        <v>38596</v>
      </c>
      <c r="C77" s="39" t="s">
        <v>65</v>
      </c>
      <c r="D77" s="40">
        <v>2113.9720000000002</v>
      </c>
      <c r="E77" s="40">
        <v>11112.187</v>
      </c>
      <c r="F77" s="41">
        <v>2.1139999999999999</v>
      </c>
      <c r="G77" s="40">
        <v>13228.272999999999</v>
      </c>
      <c r="H77" s="40">
        <v>706.06399999999996</v>
      </c>
      <c r="I77" s="42"/>
      <c r="J77" s="40">
        <v>2229.9229999999998</v>
      </c>
      <c r="K77" s="40">
        <v>2935.9870000000001</v>
      </c>
      <c r="L77" s="40">
        <v>477.32900000000001</v>
      </c>
      <c r="M77" s="40">
        <v>3413.3159999999998</v>
      </c>
      <c r="N77" s="40">
        <v>9814.9570000000003</v>
      </c>
      <c r="P77" s="36">
        <f t="shared" si="4"/>
        <v>6.3539607459809661E-2</v>
      </c>
      <c r="Q77" s="36">
        <f t="shared" si="5"/>
        <v>0</v>
      </c>
      <c r="R77" s="36">
        <f t="shared" si="6"/>
        <v>0.16857249619810538</v>
      </c>
      <c r="T77" s="36">
        <f t="shared" si="7"/>
        <v>3.6083999778353533E-2</v>
      </c>
      <c r="X77" s="40"/>
    </row>
    <row r="78" spans="1:24" ht="25.5" x14ac:dyDescent="0.2">
      <c r="B78" s="38">
        <v>38687</v>
      </c>
      <c r="C78" s="39" t="s">
        <v>66</v>
      </c>
      <c r="D78" s="40">
        <v>9814.9570000000003</v>
      </c>
      <c r="E78" s="40">
        <v>11112.187</v>
      </c>
      <c r="F78" s="41">
        <v>1.2350000000000001</v>
      </c>
      <c r="G78" s="40">
        <v>9816.1920000000009</v>
      </c>
      <c r="H78" s="40">
        <v>715.59299999999996</v>
      </c>
      <c r="I78" s="42"/>
      <c r="J78" s="40">
        <v>1639.028</v>
      </c>
      <c r="K78" s="40">
        <v>2354.6210000000001</v>
      </c>
      <c r="L78" s="40">
        <v>474.24299999999999</v>
      </c>
      <c r="M78" s="40">
        <v>2828.864</v>
      </c>
      <c r="N78" s="40">
        <v>6987.3280000000004</v>
      </c>
      <c r="P78" s="36">
        <f t="shared" si="4"/>
        <v>6.4397134425473582E-2</v>
      </c>
      <c r="Q78" s="36">
        <f t="shared" si="5"/>
        <v>0</v>
      </c>
      <c r="R78" s="36">
        <f t="shared" si="6"/>
        <v>0.16697187667070895</v>
      </c>
      <c r="T78" s="36">
        <f t="shared" si="7"/>
        <v>4.8312319074443527E-2</v>
      </c>
      <c r="X78" s="40"/>
    </row>
    <row r="79" spans="1:24" ht="25.5" x14ac:dyDescent="0.2">
      <c r="B79" s="38">
        <v>38777</v>
      </c>
      <c r="C79" s="39" t="s">
        <v>67</v>
      </c>
      <c r="D79" s="40">
        <v>6987.3280000000004</v>
      </c>
      <c r="E79" s="40">
        <v>11112.187</v>
      </c>
      <c r="F79" s="41">
        <v>4.1369999999999996</v>
      </c>
      <c r="G79" s="40">
        <v>6991.4650000000001</v>
      </c>
      <c r="H79" s="40">
        <v>764.73800000000006</v>
      </c>
      <c r="I79" s="41">
        <v>19.486999999999998</v>
      </c>
      <c r="J79" s="40">
        <v>1283.165</v>
      </c>
      <c r="K79" s="40">
        <v>2067.39</v>
      </c>
      <c r="L79" s="40">
        <v>562.37599999999998</v>
      </c>
      <c r="M79" s="40">
        <v>2629.7660000000001</v>
      </c>
      <c r="N79" s="40">
        <v>4361.6989999999996</v>
      </c>
      <c r="P79" s="36">
        <f t="shared" si="4"/>
        <v>6.8819756183008798E-2</v>
      </c>
      <c r="Q79" s="36">
        <f t="shared" si="5"/>
        <v>1.7536601930835036E-3</v>
      </c>
      <c r="R79" s="36">
        <f t="shared" si="6"/>
        <v>0.18353306495848867</v>
      </c>
      <c r="T79" s="36">
        <f t="shared" si="7"/>
        <v>8.0437504872011803E-2</v>
      </c>
      <c r="X79" s="40"/>
    </row>
    <row r="80" spans="1:24" ht="25.5" x14ac:dyDescent="0.2">
      <c r="B80" s="38">
        <v>38869</v>
      </c>
      <c r="C80" s="39" t="s">
        <v>68</v>
      </c>
      <c r="D80" s="40">
        <v>4361.6989999999996</v>
      </c>
      <c r="E80" s="40">
        <v>11112.187</v>
      </c>
      <c r="F80" s="41">
        <v>1.32</v>
      </c>
      <c r="G80" s="40">
        <v>4363.0189999999993</v>
      </c>
      <c r="H80" s="40">
        <v>812.64099999999996</v>
      </c>
      <c r="I80" s="41">
        <v>0.40799999999999997</v>
      </c>
      <c r="J80" s="40">
        <v>962.94600000000003</v>
      </c>
      <c r="K80" s="40">
        <v>1775.9949999999999</v>
      </c>
      <c r="L80" s="40">
        <v>619.86300000000006</v>
      </c>
      <c r="M80" s="40">
        <v>2395.8580000000002</v>
      </c>
      <c r="N80" s="40">
        <v>1967.1610000000001</v>
      </c>
      <c r="P80" s="36">
        <f t="shared" si="4"/>
        <v>7.3130608763153457E-2</v>
      </c>
      <c r="Q80" s="36">
        <f t="shared" si="5"/>
        <v>3.6716444746655179E-5</v>
      </c>
      <c r="R80" s="36">
        <f t="shared" si="6"/>
        <v>0.22070635035052569</v>
      </c>
      <c r="T80" s="36">
        <f t="shared" si="7"/>
        <v>0.14207203773350521</v>
      </c>
      <c r="X80" s="40"/>
    </row>
    <row r="81" spans="1:24" ht="25.5" hidden="1" x14ac:dyDescent="0.2">
      <c r="B81" s="38">
        <v>38961</v>
      </c>
      <c r="C81" s="39" t="s">
        <v>69</v>
      </c>
      <c r="D81" s="40">
        <v>2113.9720000000002</v>
      </c>
      <c r="E81" s="40">
        <v>11112.187</v>
      </c>
      <c r="F81" s="41">
        <v>8.8059999999999992</v>
      </c>
      <c r="G81" s="40">
        <v>13234.965</v>
      </c>
      <c r="H81" s="40">
        <v>2999.0360000000001</v>
      </c>
      <c r="I81" s="41">
        <v>19.895</v>
      </c>
      <c r="J81" s="40">
        <v>6115.0619999999999</v>
      </c>
      <c r="K81" s="40">
        <v>9133.9929999999986</v>
      </c>
      <c r="L81" s="40">
        <v>2133.8109999999997</v>
      </c>
      <c r="M81" s="40">
        <v>11267.804</v>
      </c>
      <c r="N81" s="40">
        <v>1967.1610000000001</v>
      </c>
      <c r="P81" s="36">
        <f t="shared" si="4"/>
        <v>0.26988710683144551</v>
      </c>
      <c r="Q81" s="36">
        <f t="shared" si="5"/>
        <v>1.7903766378301589E-3</v>
      </c>
      <c r="R81" s="36">
        <f t="shared" si="6"/>
        <v>0.46203839602144769</v>
      </c>
      <c r="T81" s="36">
        <f t="shared" si="7"/>
        <v>0.16122528469096817</v>
      </c>
      <c r="X81" s="40">
        <v>541.98099999999999</v>
      </c>
    </row>
    <row r="82" spans="1:24" ht="25.5" x14ac:dyDescent="0.2">
      <c r="A82" s="44" t="s">
        <v>85</v>
      </c>
      <c r="B82" s="38">
        <v>38961</v>
      </c>
      <c r="C82" s="39" t="s">
        <v>65</v>
      </c>
      <c r="D82" s="40">
        <v>1967.1610000000001</v>
      </c>
      <c r="E82" s="40">
        <v>10531.123</v>
      </c>
      <c r="F82" s="41">
        <v>1.153</v>
      </c>
      <c r="G82" s="40">
        <v>12499.437</v>
      </c>
      <c r="H82" s="40">
        <v>811.43100000000004</v>
      </c>
      <c r="I82" s="42"/>
      <c r="J82" s="40">
        <v>2159.36</v>
      </c>
      <c r="K82" s="40">
        <v>2970.7910000000002</v>
      </c>
      <c r="L82" s="40">
        <v>595.93899999999996</v>
      </c>
      <c r="M82" s="40">
        <v>3566.73</v>
      </c>
      <c r="N82" s="40">
        <v>8932.7070000000003</v>
      </c>
      <c r="P82" s="36">
        <f t="shared" si="4"/>
        <v>7.7050757075005208E-2</v>
      </c>
      <c r="Q82" s="36">
        <f t="shared" si="5"/>
        <v>0</v>
      </c>
      <c r="R82" s="36">
        <f t="shared" si="6"/>
        <v>0.17275658095640628</v>
      </c>
      <c r="T82" s="36">
        <f t="shared" si="7"/>
        <v>4.7677267384122979E-2</v>
      </c>
      <c r="X82" s="40"/>
    </row>
    <row r="83" spans="1:24" ht="25.5" x14ac:dyDescent="0.2">
      <c r="B83" s="38">
        <v>39052</v>
      </c>
      <c r="C83" s="39" t="s">
        <v>66</v>
      </c>
      <c r="D83" s="40">
        <v>8932.7070000000003</v>
      </c>
      <c r="E83" s="40">
        <v>10531.123</v>
      </c>
      <c r="F83" s="41">
        <v>1.6839999999999999</v>
      </c>
      <c r="G83" s="40">
        <v>8934.3909999999996</v>
      </c>
      <c r="H83" s="40">
        <v>831.39499999999998</v>
      </c>
      <c r="I83" s="42"/>
      <c r="J83" s="40">
        <v>1521.752</v>
      </c>
      <c r="K83" s="40">
        <v>2353.1469999999999</v>
      </c>
      <c r="L83" s="40">
        <v>512.99400000000003</v>
      </c>
      <c r="M83" s="40">
        <v>2866.1410000000001</v>
      </c>
      <c r="N83" s="40">
        <v>6068.25</v>
      </c>
      <c r="P83" s="36">
        <f t="shared" si="4"/>
        <v>7.8946471330740328E-2</v>
      </c>
      <c r="Q83" s="36">
        <f t="shared" si="5"/>
        <v>0</v>
      </c>
      <c r="R83" s="36">
        <f t="shared" si="6"/>
        <v>0.17032520739242327</v>
      </c>
      <c r="T83" s="36">
        <f t="shared" si="7"/>
        <v>5.741790346986158E-2</v>
      </c>
      <c r="X83" s="40"/>
    </row>
    <row r="84" spans="1:24" ht="25.5" x14ac:dyDescent="0.2">
      <c r="B84" s="38">
        <v>39142</v>
      </c>
      <c r="C84" s="39" t="s">
        <v>67</v>
      </c>
      <c r="D84" s="40">
        <v>6068.25</v>
      </c>
      <c r="E84" s="40">
        <v>10531.123</v>
      </c>
      <c r="F84" s="41">
        <v>5.476</v>
      </c>
      <c r="G84" s="40">
        <v>6073.7259999999997</v>
      </c>
      <c r="H84" s="40">
        <v>908.49599999999998</v>
      </c>
      <c r="I84" s="41">
        <v>23.411999999999999</v>
      </c>
      <c r="J84" s="40">
        <v>1113.106</v>
      </c>
      <c r="K84" s="40">
        <v>2045.0139999999999</v>
      </c>
      <c r="L84" s="40">
        <v>495.26900000000001</v>
      </c>
      <c r="M84" s="40">
        <v>2540.2829999999999</v>
      </c>
      <c r="N84" s="40">
        <v>3533.4430000000002</v>
      </c>
      <c r="P84" s="36">
        <f t="shared" si="4"/>
        <v>8.6267722825001669E-2</v>
      </c>
      <c r="Q84" s="36">
        <f t="shared" si="5"/>
        <v>2.223124732281638E-3</v>
      </c>
      <c r="R84" s="36">
        <f t="shared" si="6"/>
        <v>0.18326575811948054</v>
      </c>
      <c r="T84" s="36">
        <f t="shared" si="7"/>
        <v>8.1542861828143062E-2</v>
      </c>
      <c r="X84" s="40"/>
    </row>
    <row r="85" spans="1:24" ht="25.5" x14ac:dyDescent="0.2">
      <c r="B85" s="38">
        <v>39234</v>
      </c>
      <c r="C85" s="39" t="s">
        <v>68</v>
      </c>
      <c r="D85" s="40">
        <v>3533.4430000000002</v>
      </c>
      <c r="E85" s="40">
        <v>10531.123</v>
      </c>
      <c r="F85" s="41">
        <v>3.67</v>
      </c>
      <c r="G85" s="40">
        <v>3537.1130000000003</v>
      </c>
      <c r="H85" s="40">
        <v>966.05200000000002</v>
      </c>
      <c r="I85" s="41">
        <v>0.33300000000000002</v>
      </c>
      <c r="J85" s="40">
        <v>745.91399999999999</v>
      </c>
      <c r="K85" s="40">
        <v>1712.299</v>
      </c>
      <c r="L85" s="40">
        <v>521.16700000000003</v>
      </c>
      <c r="M85" s="40">
        <v>2233.4659999999999</v>
      </c>
      <c r="N85" s="40">
        <v>1303.6469999999999</v>
      </c>
      <c r="P85" s="36">
        <f t="shared" si="4"/>
        <v>9.1733046893479456E-2</v>
      </c>
      <c r="Q85" s="36">
        <f t="shared" si="5"/>
        <v>3.1620559364846467E-5</v>
      </c>
      <c r="R85" s="36">
        <f t="shared" si="6"/>
        <v>0.21088215163043983</v>
      </c>
      <c r="T85" s="36">
        <f t="shared" si="7"/>
        <v>0.14734247958716615</v>
      </c>
      <c r="X85" s="40"/>
    </row>
    <row r="86" spans="1:24" ht="25.5" hidden="1" x14ac:dyDescent="0.2">
      <c r="B86" s="38">
        <v>39326</v>
      </c>
      <c r="C86" s="39" t="s">
        <v>69</v>
      </c>
      <c r="D86" s="40">
        <v>1967.1610000000001</v>
      </c>
      <c r="E86" s="40">
        <v>10531.123</v>
      </c>
      <c r="F86" s="41">
        <v>11.982999999999999</v>
      </c>
      <c r="G86" s="40">
        <v>12510.267</v>
      </c>
      <c r="H86" s="40">
        <v>3517.3740000000003</v>
      </c>
      <c r="I86" s="41">
        <v>23.744999999999997</v>
      </c>
      <c r="J86" s="40">
        <v>5540.1319999999996</v>
      </c>
      <c r="K86" s="40">
        <v>9081.2510000000002</v>
      </c>
      <c r="L86" s="40">
        <v>2125.3690000000001</v>
      </c>
      <c r="M86" s="40">
        <v>11206.62</v>
      </c>
      <c r="N86" s="40">
        <v>1303.6469999999999</v>
      </c>
      <c r="P86" s="36">
        <f t="shared" si="4"/>
        <v>0.33399799812422665</v>
      </c>
      <c r="Q86" s="36">
        <f t="shared" si="5"/>
        <v>2.2547452916464841E-3</v>
      </c>
      <c r="R86" s="36">
        <f t="shared" si="6"/>
        <v>0.44284682333318703</v>
      </c>
      <c r="T86" s="36">
        <f t="shared" si="7"/>
        <v>0.16988997916671164</v>
      </c>
      <c r="X86" s="40">
        <v>406.202</v>
      </c>
    </row>
    <row r="87" spans="1:24" ht="25.5" x14ac:dyDescent="0.2">
      <c r="A87" s="44" t="s">
        <v>86</v>
      </c>
      <c r="B87" s="38">
        <v>39326</v>
      </c>
      <c r="C87" s="39" t="s">
        <v>65</v>
      </c>
      <c r="D87" s="40">
        <v>1303.6469999999999</v>
      </c>
      <c r="E87" s="40">
        <v>13037.875</v>
      </c>
      <c r="F87" s="41">
        <v>2.1840000000000002</v>
      </c>
      <c r="G87" s="40">
        <v>14343.705999999998</v>
      </c>
      <c r="H87" s="40">
        <v>985.702</v>
      </c>
      <c r="I87" s="42"/>
      <c r="J87" s="40">
        <v>2386.7600000000002</v>
      </c>
      <c r="K87" s="40">
        <v>3372.462</v>
      </c>
      <c r="L87" s="40">
        <v>693.15899999999999</v>
      </c>
      <c r="M87" s="40">
        <v>4065.6210000000001</v>
      </c>
      <c r="N87" s="40">
        <v>10278.084999999999</v>
      </c>
      <c r="P87" s="36">
        <f t="shared" si="4"/>
        <v>7.5602964440140738E-2</v>
      </c>
      <c r="Q87" s="36">
        <f t="shared" si="5"/>
        <v>0</v>
      </c>
      <c r="R87" s="36">
        <f t="shared" si="6"/>
        <v>0.16639772176033171</v>
      </c>
      <c r="T87" s="36">
        <f t="shared" si="7"/>
        <v>4.8324958696169602E-2</v>
      </c>
      <c r="X87" s="40"/>
    </row>
    <row r="88" spans="1:24" ht="25.5" x14ac:dyDescent="0.2">
      <c r="B88" s="38">
        <v>39417</v>
      </c>
      <c r="C88" s="39" t="s">
        <v>66</v>
      </c>
      <c r="D88" s="40">
        <v>10278.084999999999</v>
      </c>
      <c r="E88" s="40">
        <v>13037.875</v>
      </c>
      <c r="F88" s="41">
        <v>2.8180000000000001</v>
      </c>
      <c r="G88" s="40">
        <v>10280.902999999998</v>
      </c>
      <c r="H88" s="40">
        <v>1045.962</v>
      </c>
      <c r="I88" s="42"/>
      <c r="J88" s="40">
        <v>1734.1130000000001</v>
      </c>
      <c r="K88" s="40">
        <v>2780.0749999999998</v>
      </c>
      <c r="L88" s="40">
        <v>642.10599999999999</v>
      </c>
      <c r="M88" s="40">
        <v>3422.181</v>
      </c>
      <c r="N88" s="40">
        <v>6858.7219999999998</v>
      </c>
      <c r="P88" s="36">
        <f t="shared" si="4"/>
        <v>8.0224883272772593E-2</v>
      </c>
      <c r="Q88" s="36">
        <f t="shared" si="5"/>
        <v>0</v>
      </c>
      <c r="R88" s="36">
        <f t="shared" si="6"/>
        <v>0.16867321868516805</v>
      </c>
      <c r="T88" s="36">
        <f t="shared" si="7"/>
        <v>6.2456186971125018E-2</v>
      </c>
      <c r="X88" s="40"/>
    </row>
    <row r="89" spans="1:24" ht="25.5" x14ac:dyDescent="0.2">
      <c r="B89" s="38">
        <v>39508</v>
      </c>
      <c r="C89" s="39" t="s">
        <v>67</v>
      </c>
      <c r="D89" s="40">
        <v>6858.7219999999998</v>
      </c>
      <c r="E89" s="40">
        <v>13037.875</v>
      </c>
      <c r="F89" s="41">
        <v>9.7119999999999997</v>
      </c>
      <c r="G89" s="40">
        <v>6868.4340000000002</v>
      </c>
      <c r="H89" s="40">
        <v>1167.4749999999999</v>
      </c>
      <c r="I89" s="41">
        <v>20.716000000000001</v>
      </c>
      <c r="J89" s="40">
        <v>1068.799</v>
      </c>
      <c r="K89" s="40">
        <v>2256.9899999999998</v>
      </c>
      <c r="L89" s="40">
        <v>583.42700000000002</v>
      </c>
      <c r="M89" s="40">
        <v>2840.4169999999999</v>
      </c>
      <c r="N89" s="40">
        <v>4028.0169999999998</v>
      </c>
      <c r="P89" s="36">
        <f t="shared" si="4"/>
        <v>8.9544883656270668E-2</v>
      </c>
      <c r="Q89" s="36">
        <f t="shared" si="5"/>
        <v>1.5889092355924567E-3</v>
      </c>
      <c r="R89" s="36">
        <f t="shared" si="6"/>
        <v>0.15561028904114096</v>
      </c>
      <c r="T89" s="36">
        <f t="shared" si="7"/>
        <v>8.494323451313647E-2</v>
      </c>
      <c r="X89" s="40"/>
    </row>
    <row r="90" spans="1:24" ht="25.5" x14ac:dyDescent="0.2">
      <c r="B90" s="38">
        <v>39600</v>
      </c>
      <c r="C90" s="39" t="s">
        <v>68</v>
      </c>
      <c r="D90" s="40">
        <v>4028.0169999999998</v>
      </c>
      <c r="E90" s="40">
        <v>13037.875</v>
      </c>
      <c r="F90" s="41">
        <v>5.3070000000000004</v>
      </c>
      <c r="G90" s="40">
        <v>4033.3239999999996</v>
      </c>
      <c r="H90" s="40">
        <v>1221.271</v>
      </c>
      <c r="I90" s="41">
        <v>1.125</v>
      </c>
      <c r="J90" s="40">
        <v>668.06799999999998</v>
      </c>
      <c r="K90" s="40">
        <v>1890.4639999999999</v>
      </c>
      <c r="L90" s="40">
        <v>518.71</v>
      </c>
      <c r="M90" s="40">
        <v>2409.174</v>
      </c>
      <c r="N90" s="40">
        <v>1624.15</v>
      </c>
      <c r="P90" s="36">
        <f t="shared" si="4"/>
        <v>9.3671016174031424E-2</v>
      </c>
      <c r="Q90" s="36">
        <f t="shared" si="5"/>
        <v>8.628706748607422E-5</v>
      </c>
      <c r="R90" s="36">
        <f t="shared" si="6"/>
        <v>0.16563707750728682</v>
      </c>
      <c r="T90" s="36">
        <f t="shared" si="7"/>
        <v>0.12860608272481955</v>
      </c>
      <c r="X90" s="40"/>
    </row>
    <row r="91" spans="1:24" ht="25.5" hidden="1" x14ac:dyDescent="0.2">
      <c r="B91" s="38">
        <v>39692</v>
      </c>
      <c r="C91" s="39" t="s">
        <v>69</v>
      </c>
      <c r="D91" s="40">
        <v>1303.6469999999999</v>
      </c>
      <c r="E91" s="40">
        <v>13037.875</v>
      </c>
      <c r="F91" s="41">
        <v>20.021000000000001</v>
      </c>
      <c r="G91" s="40">
        <v>14361.543000000001</v>
      </c>
      <c r="H91" s="40">
        <v>4420.41</v>
      </c>
      <c r="I91" s="41">
        <v>21.841000000000001</v>
      </c>
      <c r="J91" s="40">
        <v>5857.7400000000007</v>
      </c>
      <c r="K91" s="40">
        <v>10299.991</v>
      </c>
      <c r="L91" s="40">
        <v>2437.402</v>
      </c>
      <c r="M91" s="40">
        <v>12737.393</v>
      </c>
      <c r="N91" s="40">
        <v>1624.15</v>
      </c>
      <c r="P91" s="36">
        <f t="shared" si="4"/>
        <v>0.33904374754321542</v>
      </c>
      <c r="Q91" s="36">
        <f t="shared" si="5"/>
        <v>1.6751963030785309E-3</v>
      </c>
      <c r="R91" s="36">
        <f t="shared" si="6"/>
        <v>0.40787678594145488</v>
      </c>
      <c r="T91" s="36">
        <f t="shared" si="7"/>
        <v>0.16971727898596967</v>
      </c>
      <c r="X91" s="40">
        <v>161.05799999999999</v>
      </c>
    </row>
    <row r="92" spans="1:24" ht="25.5" x14ac:dyDescent="0.2">
      <c r="A92" s="44" t="s">
        <v>87</v>
      </c>
      <c r="B92" s="38">
        <v>39692</v>
      </c>
      <c r="C92" s="39" t="s">
        <v>65</v>
      </c>
      <c r="D92" s="40">
        <v>1624.15</v>
      </c>
      <c r="E92" s="40">
        <v>12043.203</v>
      </c>
      <c r="F92" s="41">
        <v>2.8149999999999999</v>
      </c>
      <c r="G92" s="40">
        <v>13670.168</v>
      </c>
      <c r="H92" s="40">
        <v>1219.2439999999999</v>
      </c>
      <c r="I92" s="42"/>
      <c r="J92" s="40">
        <v>1930.03</v>
      </c>
      <c r="K92" s="40">
        <v>3149.2739999999999</v>
      </c>
      <c r="L92" s="40">
        <v>448.78800000000001</v>
      </c>
      <c r="M92" s="40">
        <v>3598.0619999999999</v>
      </c>
      <c r="N92" s="40">
        <v>10072.106</v>
      </c>
      <c r="P92" s="36">
        <f t="shared" si="4"/>
        <v>0.10123918030776363</v>
      </c>
      <c r="Q92" s="36">
        <f t="shared" si="5"/>
        <v>0</v>
      </c>
      <c r="R92" s="36">
        <f t="shared" si="6"/>
        <v>0.14118553627139038</v>
      </c>
      <c r="T92" s="36">
        <f t="shared" si="7"/>
        <v>3.2829735523367383E-2</v>
      </c>
      <c r="X92" s="40"/>
    </row>
    <row r="93" spans="1:24" ht="25.5" x14ac:dyDescent="0.2">
      <c r="B93" s="38">
        <v>39783</v>
      </c>
      <c r="C93" s="39" t="s">
        <v>66</v>
      </c>
      <c r="D93" s="40">
        <v>10072.106</v>
      </c>
      <c r="E93" s="40">
        <v>12043.203</v>
      </c>
      <c r="F93" s="41">
        <v>4.1079999999999997</v>
      </c>
      <c r="G93" s="40">
        <v>10076.214</v>
      </c>
      <c r="H93" s="40">
        <v>1178.2439999999999</v>
      </c>
      <c r="I93" s="42"/>
      <c r="J93" s="40">
        <v>1572.89</v>
      </c>
      <c r="K93" s="40">
        <v>2751.134</v>
      </c>
      <c r="L93" s="40">
        <v>370.935</v>
      </c>
      <c r="M93" s="40">
        <v>3122.069</v>
      </c>
      <c r="N93" s="40">
        <v>6954.1450000000004</v>
      </c>
      <c r="P93" s="36">
        <f t="shared" si="4"/>
        <v>9.7834770367982674E-2</v>
      </c>
      <c r="Q93" s="36">
        <f t="shared" si="5"/>
        <v>0</v>
      </c>
      <c r="R93" s="36">
        <f t="shared" si="6"/>
        <v>0.15609930475871198</v>
      </c>
      <c r="T93" s="36">
        <f t="shared" si="7"/>
        <v>3.6812933905532377E-2</v>
      </c>
      <c r="X93" s="40"/>
    </row>
    <row r="94" spans="1:24" ht="25.5" x14ac:dyDescent="0.2">
      <c r="B94" s="38">
        <v>39873</v>
      </c>
      <c r="C94" s="39" t="s">
        <v>67</v>
      </c>
      <c r="D94" s="40">
        <v>6954.1450000000004</v>
      </c>
      <c r="E94" s="40">
        <v>12043.203</v>
      </c>
      <c r="F94" s="41">
        <v>5.1210000000000004</v>
      </c>
      <c r="G94" s="40">
        <v>6959.2660000000005</v>
      </c>
      <c r="H94" s="40">
        <v>1237.6110000000001</v>
      </c>
      <c r="I94" s="41">
        <v>20.413</v>
      </c>
      <c r="J94" s="40">
        <v>946.82100000000003</v>
      </c>
      <c r="K94" s="40">
        <v>2204.8449999999998</v>
      </c>
      <c r="L94" s="40">
        <v>492.99400000000003</v>
      </c>
      <c r="M94" s="40">
        <v>2697.8389999999999</v>
      </c>
      <c r="N94" s="40">
        <v>4261.4269999999997</v>
      </c>
      <c r="P94" s="36">
        <f t="shared" si="4"/>
        <v>0.10276427292639675</v>
      </c>
      <c r="Q94" s="36">
        <f t="shared" si="5"/>
        <v>1.6949809780670475E-3</v>
      </c>
      <c r="R94" s="36">
        <f t="shared" si="6"/>
        <v>0.13605184799661343</v>
      </c>
      <c r="T94" s="36">
        <f t="shared" si="7"/>
        <v>7.0839942028369088E-2</v>
      </c>
      <c r="X94" s="40"/>
    </row>
    <row r="95" spans="1:24" ht="25.5" x14ac:dyDescent="0.2">
      <c r="B95" s="38">
        <v>39965</v>
      </c>
      <c r="C95" s="39" t="s">
        <v>68</v>
      </c>
      <c r="D95" s="40">
        <v>4261.4269999999997</v>
      </c>
      <c r="E95" s="40">
        <v>12043.203</v>
      </c>
      <c r="F95" s="41">
        <v>1.486</v>
      </c>
      <c r="G95" s="40">
        <v>4262.9129999999996</v>
      </c>
      <c r="H95" s="40">
        <v>1368.171</v>
      </c>
      <c r="I95" s="41">
        <v>1.532</v>
      </c>
      <c r="J95" s="40">
        <v>683.66899999999998</v>
      </c>
      <c r="K95" s="40">
        <v>2053.3719999999998</v>
      </c>
      <c r="L95" s="40">
        <v>536.23</v>
      </c>
      <c r="M95" s="40">
        <v>2589.6019999999999</v>
      </c>
      <c r="N95" s="40">
        <v>1673.3109999999999</v>
      </c>
      <c r="P95" s="36">
        <f t="shared" si="4"/>
        <v>0.11360524272487976</v>
      </c>
      <c r="Q95" s="36">
        <f t="shared" si="5"/>
        <v>1.2720868360352309E-4</v>
      </c>
      <c r="R95" s="36">
        <f t="shared" si="6"/>
        <v>0.16037601518023006</v>
      </c>
      <c r="T95" s="36">
        <f t="shared" si="7"/>
        <v>0.12578957159106932</v>
      </c>
      <c r="X95" s="40"/>
    </row>
    <row r="96" spans="1:24" ht="25.5" hidden="1" x14ac:dyDescent="0.2">
      <c r="B96" s="38">
        <v>40057</v>
      </c>
      <c r="C96" s="39" t="s">
        <v>69</v>
      </c>
      <c r="D96" s="40">
        <v>1624.15</v>
      </c>
      <c r="E96" s="40">
        <v>12043.203</v>
      </c>
      <c r="F96" s="41">
        <v>13.53</v>
      </c>
      <c r="G96" s="40">
        <v>13680.883</v>
      </c>
      <c r="H96" s="40">
        <v>5003.2700000000004</v>
      </c>
      <c r="I96" s="41">
        <v>21.945</v>
      </c>
      <c r="J96" s="40">
        <v>5133.41</v>
      </c>
      <c r="K96" s="40">
        <v>10158.624999999998</v>
      </c>
      <c r="L96" s="40">
        <v>1848.9470000000001</v>
      </c>
      <c r="M96" s="40">
        <v>12007.572</v>
      </c>
      <c r="N96" s="40">
        <v>1673.3109999999999</v>
      </c>
      <c r="P96" s="36">
        <f t="shared" si="4"/>
        <v>0.41544346632702284</v>
      </c>
      <c r="Q96" s="36">
        <f t="shared" si="5"/>
        <v>1.8221896616705706E-3</v>
      </c>
      <c r="R96" s="36">
        <f t="shared" si="6"/>
        <v>0.37522504943577106</v>
      </c>
      <c r="T96" s="36">
        <f t="shared" si="7"/>
        <v>0.13514822106146221</v>
      </c>
      <c r="X96" s="40">
        <v>635.98099999999999</v>
      </c>
    </row>
    <row r="97" spans="1:24" ht="25.5" x14ac:dyDescent="0.2">
      <c r="A97" s="44" t="s">
        <v>88</v>
      </c>
      <c r="B97" s="38">
        <v>40057</v>
      </c>
      <c r="C97" s="39" t="s">
        <v>65</v>
      </c>
      <c r="D97" s="40">
        <v>1673.3109999999999</v>
      </c>
      <c r="E97" s="40">
        <v>13067.156000000001</v>
      </c>
      <c r="F97" s="41">
        <v>0.98</v>
      </c>
      <c r="G97" s="40">
        <v>14741.447</v>
      </c>
      <c r="H97" s="40">
        <v>1382.029</v>
      </c>
      <c r="I97" s="42"/>
      <c r="J97" s="40">
        <v>1990.077</v>
      </c>
      <c r="K97" s="40">
        <v>3372.1060000000002</v>
      </c>
      <c r="L97" s="40">
        <v>466.88099999999997</v>
      </c>
      <c r="M97" s="40">
        <v>3838.9870000000001</v>
      </c>
      <c r="N97" s="40">
        <v>10902.46</v>
      </c>
      <c r="P97" s="36">
        <f t="shared" si="4"/>
        <v>0.10576356477262534</v>
      </c>
      <c r="Q97" s="36">
        <f t="shared" si="5"/>
        <v>0</v>
      </c>
      <c r="R97" s="36">
        <f t="shared" si="6"/>
        <v>0.13499875554957394</v>
      </c>
      <c r="T97" s="36">
        <f t="shared" si="7"/>
        <v>3.1671314220374704E-2</v>
      </c>
      <c r="X97" s="40"/>
    </row>
    <row r="98" spans="1:24" ht="25.5" x14ac:dyDescent="0.2">
      <c r="B98" s="38">
        <v>40148</v>
      </c>
      <c r="C98" s="39" t="s">
        <v>66</v>
      </c>
      <c r="D98" s="40">
        <v>10902.46</v>
      </c>
      <c r="E98" s="40">
        <v>13067.156000000001</v>
      </c>
      <c r="F98" s="41">
        <v>1.319</v>
      </c>
      <c r="G98" s="40">
        <v>10903.778999999999</v>
      </c>
      <c r="H98" s="40">
        <v>1447.24</v>
      </c>
      <c r="I98" s="42"/>
      <c r="J98" s="40">
        <v>1341.241</v>
      </c>
      <c r="K98" s="40">
        <v>2788.4810000000002</v>
      </c>
      <c r="L98" s="40">
        <v>421.51100000000002</v>
      </c>
      <c r="M98" s="40">
        <v>3209.9920000000002</v>
      </c>
      <c r="N98" s="40">
        <v>7693.7870000000003</v>
      </c>
      <c r="P98" s="36">
        <f t="shared" si="4"/>
        <v>0.11075401564043469</v>
      </c>
      <c r="Q98" s="36">
        <f t="shared" si="5"/>
        <v>0</v>
      </c>
      <c r="R98" s="36">
        <f t="shared" si="6"/>
        <v>0.12300698684373557</v>
      </c>
      <c r="T98" s="36">
        <f t="shared" si="7"/>
        <v>3.8657331554500518E-2</v>
      </c>
      <c r="X98" s="40"/>
    </row>
    <row r="99" spans="1:24" ht="25.5" x14ac:dyDescent="0.2">
      <c r="B99" s="38">
        <v>40238</v>
      </c>
      <c r="C99" s="39" t="s">
        <v>67</v>
      </c>
      <c r="D99" s="40">
        <v>7693.7870000000003</v>
      </c>
      <c r="E99" s="40">
        <v>13067.156000000001</v>
      </c>
      <c r="F99" s="41">
        <v>3.1320000000000001</v>
      </c>
      <c r="G99" s="40">
        <v>7696.9189999999999</v>
      </c>
      <c r="H99" s="40">
        <v>1543.1479999999999</v>
      </c>
      <c r="I99" s="41">
        <v>21.684000000000001</v>
      </c>
      <c r="J99" s="40">
        <v>1273.3630000000001</v>
      </c>
      <c r="K99" s="40">
        <v>2838.1950000000002</v>
      </c>
      <c r="L99" s="40">
        <v>548.65300000000002</v>
      </c>
      <c r="M99" s="40">
        <v>3386.848</v>
      </c>
      <c r="N99" s="40">
        <v>4310.0709999999999</v>
      </c>
      <c r="P99" s="36">
        <f t="shared" si="4"/>
        <v>0.11809363873822275</v>
      </c>
      <c r="Q99" s="36">
        <f t="shared" si="5"/>
        <v>1.6594276520460918E-3</v>
      </c>
      <c r="R99" s="36">
        <f t="shared" si="6"/>
        <v>0.16543801487322396</v>
      </c>
      <c r="T99" s="36">
        <f t="shared" si="7"/>
        <v>7.1282158484453323E-2</v>
      </c>
      <c r="X99" s="40"/>
    </row>
    <row r="100" spans="1:24" ht="25.5" x14ac:dyDescent="0.2">
      <c r="B100" s="38">
        <v>40330</v>
      </c>
      <c r="C100" s="39" t="s">
        <v>68</v>
      </c>
      <c r="D100" s="40">
        <v>4310.0709999999999</v>
      </c>
      <c r="E100" s="40">
        <v>13067.156000000001</v>
      </c>
      <c r="F100" s="41">
        <v>2.9119999999999999</v>
      </c>
      <c r="G100" s="40">
        <v>4312.9830000000002</v>
      </c>
      <c r="H100" s="40">
        <v>1566.249</v>
      </c>
      <c r="I100" s="41">
        <v>0.65300000000000002</v>
      </c>
      <c r="J100" s="40">
        <v>496.31299999999999</v>
      </c>
      <c r="K100" s="40">
        <v>2063.2150000000001</v>
      </c>
      <c r="L100" s="40">
        <v>541.98099999999999</v>
      </c>
      <c r="M100" s="40">
        <v>2605.1959999999999</v>
      </c>
      <c r="N100" s="40">
        <v>1707.787</v>
      </c>
      <c r="P100" s="36">
        <f t="shared" si="4"/>
        <v>0.11986150620685938</v>
      </c>
      <c r="Q100" s="36">
        <f t="shared" si="5"/>
        <v>4.9972618372352789E-5</v>
      </c>
      <c r="R100" s="36">
        <f t="shared" si="6"/>
        <v>0.11507418415514273</v>
      </c>
      <c r="T100" s="36">
        <f t="shared" si="7"/>
        <v>0.12566267940309525</v>
      </c>
      <c r="X100" s="40"/>
    </row>
    <row r="101" spans="1:24" ht="25.5" hidden="1" x14ac:dyDescent="0.2">
      <c r="B101" s="38">
        <v>40422</v>
      </c>
      <c r="C101" s="39" t="s">
        <v>69</v>
      </c>
      <c r="D101" s="40">
        <v>1673.3109999999999</v>
      </c>
      <c r="E101" s="40">
        <v>13067.156000000001</v>
      </c>
      <c r="F101" s="41">
        <v>8.343</v>
      </c>
      <c r="G101" s="40">
        <v>14748.810000000001</v>
      </c>
      <c r="H101" s="40">
        <v>5938.6660000000002</v>
      </c>
      <c r="I101" s="41">
        <v>22.337</v>
      </c>
      <c r="J101" s="40">
        <v>5100.9940000000006</v>
      </c>
      <c r="K101" s="40">
        <v>11061.997000000001</v>
      </c>
      <c r="L101" s="40">
        <v>1979.0260000000001</v>
      </c>
      <c r="M101" s="40">
        <v>13041.023000000001</v>
      </c>
      <c r="N101" s="40">
        <v>1707.787</v>
      </c>
      <c r="P101" s="36">
        <f t="shared" si="4"/>
        <v>0.4544727253581422</v>
      </c>
      <c r="Q101" s="36">
        <f t="shared" si="5"/>
        <v>1.7094002704184444E-3</v>
      </c>
      <c r="R101" s="36">
        <f t="shared" si="6"/>
        <v>0.34585800481530377</v>
      </c>
      <c r="T101" s="36">
        <f t="shared" si="7"/>
        <v>0.13418207977457164</v>
      </c>
    </row>
    <row r="102" spans="1:24" ht="25.5" x14ac:dyDescent="0.2">
      <c r="A102" s="44" t="s">
        <v>89</v>
      </c>
      <c r="B102" s="38">
        <v>40422</v>
      </c>
      <c r="C102" s="39" t="s">
        <v>65</v>
      </c>
      <c r="D102" s="40">
        <v>1707.787</v>
      </c>
      <c r="E102" s="40">
        <v>12425.33</v>
      </c>
      <c r="F102" s="41">
        <v>5.3209999999999997</v>
      </c>
      <c r="G102" s="40">
        <v>14138.438</v>
      </c>
      <c r="H102" s="40">
        <v>1582.4380000000001</v>
      </c>
      <c r="I102" s="42"/>
      <c r="J102" s="40">
        <v>2047.327</v>
      </c>
      <c r="K102" s="40">
        <v>3629.7649999999999</v>
      </c>
      <c r="L102" s="40">
        <v>451.904</v>
      </c>
      <c r="M102" s="40">
        <v>4081.6689999999999</v>
      </c>
      <c r="N102" s="40">
        <v>10056.769</v>
      </c>
      <c r="P102" s="36">
        <f t="shared" si="4"/>
        <v>0.12735581268264104</v>
      </c>
      <c r="Q102" s="36">
        <f t="shared" si="5"/>
        <v>0</v>
      </c>
      <c r="R102" s="36">
        <f t="shared" si="6"/>
        <v>0.14480574162435766</v>
      </c>
      <c r="T102" s="36">
        <f t="shared" si="7"/>
        <v>3.1962795324349126E-2</v>
      </c>
    </row>
    <row r="103" spans="1:24" ht="25.5" x14ac:dyDescent="0.2">
      <c r="B103" s="38">
        <v>40513</v>
      </c>
      <c r="C103" s="39" t="s">
        <v>66</v>
      </c>
      <c r="D103" s="40">
        <v>10056.769</v>
      </c>
      <c r="E103" s="40">
        <v>12425.33</v>
      </c>
      <c r="F103" s="41">
        <v>8.4640000000000004</v>
      </c>
      <c r="G103" s="40">
        <v>10065.233</v>
      </c>
      <c r="H103" s="40">
        <v>1576.7080000000001</v>
      </c>
      <c r="I103" s="42"/>
      <c r="J103" s="40">
        <v>1562.4159999999999</v>
      </c>
      <c r="K103" s="40">
        <v>3139.1239999999998</v>
      </c>
      <c r="L103" s="40">
        <v>402.88099999999997</v>
      </c>
      <c r="M103" s="40">
        <v>3542.0050000000001</v>
      </c>
      <c r="N103" s="40">
        <v>6523.2280000000001</v>
      </c>
      <c r="P103" s="36">
        <f t="shared" si="4"/>
        <v>0.1268946579286023</v>
      </c>
      <c r="Q103" s="36">
        <f t="shared" si="5"/>
        <v>0</v>
      </c>
      <c r="R103" s="36">
        <f t="shared" si="6"/>
        <v>0.1552289946988808</v>
      </c>
      <c r="T103" s="36">
        <f t="shared" si="7"/>
        <v>4.0026991923584873E-2</v>
      </c>
    </row>
    <row r="104" spans="1:24" ht="25.5" x14ac:dyDescent="0.2">
      <c r="B104" s="38">
        <v>40603</v>
      </c>
      <c r="C104" s="39" t="s">
        <v>67</v>
      </c>
      <c r="D104" s="40">
        <v>6523.2280000000001</v>
      </c>
      <c r="E104" s="40">
        <v>12425.33</v>
      </c>
      <c r="F104" s="41">
        <v>10.384</v>
      </c>
      <c r="G104" s="40">
        <v>6533.6120000000001</v>
      </c>
      <c r="H104" s="40">
        <v>1617.9259999999999</v>
      </c>
      <c r="I104" s="41">
        <v>20.239999999999998</v>
      </c>
      <c r="J104" s="40">
        <v>714.93799999999999</v>
      </c>
      <c r="K104" s="40">
        <v>2353.1039999999998</v>
      </c>
      <c r="L104" s="40">
        <v>510.17599999999999</v>
      </c>
      <c r="M104" s="40">
        <v>2863.28</v>
      </c>
      <c r="N104" s="40">
        <v>3670.3319999999999</v>
      </c>
      <c r="P104" s="36">
        <f t="shared" si="4"/>
        <v>0.13021191388880618</v>
      </c>
      <c r="Q104" s="36">
        <f t="shared" si="5"/>
        <v>1.6289305797109613E-3</v>
      </c>
      <c r="R104" s="36">
        <f t="shared" si="6"/>
        <v>0.1094246184193368</v>
      </c>
      <c r="T104" s="36">
        <f t="shared" si="7"/>
        <v>7.8084832708155916E-2</v>
      </c>
    </row>
    <row r="105" spans="1:24" ht="25.5" x14ac:dyDescent="0.2">
      <c r="B105" s="38">
        <v>40695</v>
      </c>
      <c r="C105" s="39" t="s">
        <v>68</v>
      </c>
      <c r="D105" s="40">
        <v>3670.3319999999999</v>
      </c>
      <c r="E105" s="40">
        <v>12425.33</v>
      </c>
      <c r="F105" s="41">
        <v>3.5</v>
      </c>
      <c r="G105" s="40">
        <v>3673.8319999999999</v>
      </c>
      <c r="H105" s="40">
        <v>1625.45</v>
      </c>
      <c r="I105" s="41">
        <v>2.76</v>
      </c>
      <c r="J105" s="40">
        <v>452.01299999999998</v>
      </c>
      <c r="K105" s="40">
        <v>2080.223</v>
      </c>
      <c r="L105" s="40">
        <v>465.964</v>
      </c>
      <c r="M105" s="40">
        <v>2546.1869999999999</v>
      </c>
      <c r="N105" s="40">
        <v>1127.645</v>
      </c>
      <c r="P105" s="36">
        <f t="shared" si="4"/>
        <v>0.13081745112604656</v>
      </c>
      <c r="Q105" s="36">
        <f t="shared" si="5"/>
        <v>2.2212689723331291E-4</v>
      </c>
      <c r="R105" s="36">
        <f t="shared" si="6"/>
        <v>0.12303583832902538</v>
      </c>
      <c r="T105" s="36">
        <f t="shared" si="7"/>
        <v>0.12683323570593322</v>
      </c>
    </row>
    <row r="106" spans="1:24" ht="25.5" hidden="1" x14ac:dyDescent="0.2">
      <c r="B106" s="38">
        <v>40787</v>
      </c>
      <c r="C106" s="39" t="s">
        <v>69</v>
      </c>
      <c r="D106" s="40">
        <v>1707.787</v>
      </c>
      <c r="E106" s="40">
        <v>12425.33</v>
      </c>
      <c r="F106" s="41">
        <v>27.669</v>
      </c>
      <c r="G106" s="40">
        <v>14160.786</v>
      </c>
      <c r="H106" s="40">
        <v>6402.5219999999999</v>
      </c>
      <c r="I106" s="41">
        <v>23</v>
      </c>
      <c r="J106" s="40">
        <v>4776.6939999999995</v>
      </c>
      <c r="K106" s="40">
        <v>11202.215999999999</v>
      </c>
      <c r="L106" s="40">
        <v>1830.925</v>
      </c>
      <c r="M106" s="40">
        <v>13033.141</v>
      </c>
      <c r="N106" s="40">
        <v>1127.645</v>
      </c>
      <c r="P106" s="36">
        <f t="shared" si="4"/>
        <v>0.51527983562609603</v>
      </c>
      <c r="Q106" s="36">
        <f t="shared" si="5"/>
        <v>1.8510574769442744E-3</v>
      </c>
      <c r="R106" s="36">
        <f t="shared" si="6"/>
        <v>0.33731842286155583</v>
      </c>
      <c r="T106" s="36">
        <f t="shared" si="7"/>
        <v>0.12929543600192814</v>
      </c>
    </row>
    <row r="107" spans="1:24" ht="25.5" x14ac:dyDescent="0.2">
      <c r="A107" s="44" t="s">
        <v>90</v>
      </c>
      <c r="B107" s="38">
        <v>40787</v>
      </c>
      <c r="C107" s="39" t="s">
        <v>65</v>
      </c>
      <c r="D107" s="40">
        <v>1127.645</v>
      </c>
      <c r="E107" s="40">
        <v>12313.956</v>
      </c>
      <c r="F107" s="41">
        <v>4.0549999999999997</v>
      </c>
      <c r="G107" s="40">
        <v>13445.656000000001</v>
      </c>
      <c r="H107" s="40">
        <v>1610.771</v>
      </c>
      <c r="I107" s="42"/>
      <c r="J107" s="40">
        <v>1781.86</v>
      </c>
      <c r="K107" s="40">
        <v>3392.6309999999999</v>
      </c>
      <c r="L107" s="40">
        <v>406.202</v>
      </c>
      <c r="M107" s="40">
        <v>3798.8330000000001</v>
      </c>
      <c r="N107" s="40">
        <v>9646.8230000000003</v>
      </c>
      <c r="P107" s="36">
        <f t="shared" si="4"/>
        <v>0.13080857199749618</v>
      </c>
      <c r="Q107" s="36">
        <f t="shared" si="5"/>
        <v>0</v>
      </c>
      <c r="R107" s="36">
        <f t="shared" si="6"/>
        <v>0.13252309891016101</v>
      </c>
      <c r="T107" s="36">
        <f t="shared" si="7"/>
        <v>3.0210649446929177E-2</v>
      </c>
    </row>
    <row r="108" spans="1:24" ht="25.5" x14ac:dyDescent="0.2">
      <c r="B108" s="38">
        <v>40878</v>
      </c>
      <c r="C108" s="39" t="s">
        <v>66</v>
      </c>
      <c r="D108" s="40">
        <v>9646.8230000000003</v>
      </c>
      <c r="E108" s="40">
        <v>12313.956</v>
      </c>
      <c r="F108" s="41">
        <v>3.9340000000000002</v>
      </c>
      <c r="G108" s="40">
        <v>9650.7569999999996</v>
      </c>
      <c r="H108" s="40">
        <v>1637.0709999999999</v>
      </c>
      <c r="I108" s="42"/>
      <c r="J108" s="40">
        <v>1546.1949999999999</v>
      </c>
      <c r="K108" s="40">
        <v>3183.2660000000001</v>
      </c>
      <c r="L108" s="40">
        <v>444.13499999999999</v>
      </c>
      <c r="M108" s="40">
        <v>3627.4009999999998</v>
      </c>
      <c r="N108" s="40">
        <v>6023.3559999999998</v>
      </c>
      <c r="P108" s="36">
        <f t="shared" si="4"/>
        <v>0.13294436004156585</v>
      </c>
      <c r="Q108" s="36">
        <f t="shared" si="5"/>
        <v>0</v>
      </c>
      <c r="R108" s="36">
        <f t="shared" si="6"/>
        <v>0.16021489298715116</v>
      </c>
      <c r="T108" s="36">
        <f t="shared" si="7"/>
        <v>4.60207422070621E-2</v>
      </c>
    </row>
    <row r="109" spans="1:24" ht="25.5" x14ac:dyDescent="0.2">
      <c r="B109" s="38">
        <v>40969</v>
      </c>
      <c r="C109" s="39" t="s">
        <v>67</v>
      </c>
      <c r="D109" s="40">
        <v>6023.3559999999998</v>
      </c>
      <c r="E109" s="40">
        <v>12313.956</v>
      </c>
      <c r="F109" s="41">
        <v>10.673999999999999</v>
      </c>
      <c r="G109" s="40">
        <v>6034.03</v>
      </c>
      <c r="H109" s="40">
        <v>1602.3440000000001</v>
      </c>
      <c r="I109" s="41">
        <v>23.565000000000001</v>
      </c>
      <c r="J109" s="40">
        <v>861.99199999999996</v>
      </c>
      <c r="K109" s="40">
        <v>2487.9009999999998</v>
      </c>
      <c r="L109" s="40">
        <v>397.92500000000001</v>
      </c>
      <c r="M109" s="40">
        <v>2885.826</v>
      </c>
      <c r="N109" s="40">
        <v>3148.2040000000002</v>
      </c>
      <c r="P109" s="36">
        <f t="shared" si="4"/>
        <v>0.13012422652801423</v>
      </c>
      <c r="Q109" s="36">
        <f t="shared" si="5"/>
        <v>1.9136823292206014E-3</v>
      </c>
      <c r="R109" s="36">
        <f t="shared" si="6"/>
        <v>0.14285510678601201</v>
      </c>
      <c r="T109" s="36">
        <f t="shared" si="7"/>
        <v>6.594680503742939E-2</v>
      </c>
    </row>
    <row r="110" spans="1:24" ht="25.5" x14ac:dyDescent="0.2">
      <c r="B110" s="38">
        <v>41061</v>
      </c>
      <c r="C110" s="39" t="s">
        <v>68</v>
      </c>
      <c r="D110" s="40">
        <v>3148.2040000000002</v>
      </c>
      <c r="E110" s="40">
        <v>12313.956</v>
      </c>
      <c r="F110" s="41">
        <v>10.71</v>
      </c>
      <c r="G110" s="40">
        <v>3158.9140000000002</v>
      </c>
      <c r="H110" s="40">
        <v>1549.548</v>
      </c>
      <c r="I110" s="41">
        <v>0.96299999999999997</v>
      </c>
      <c r="J110" s="40">
        <v>328.48099999999999</v>
      </c>
      <c r="K110" s="40">
        <v>1878.992</v>
      </c>
      <c r="L110" s="40">
        <v>290.89499999999998</v>
      </c>
      <c r="M110" s="40">
        <v>2169.8870000000002</v>
      </c>
      <c r="N110" s="40">
        <v>989.02700000000004</v>
      </c>
      <c r="P110" s="36">
        <f t="shared" si="4"/>
        <v>0.12583673354038297</v>
      </c>
      <c r="Q110" s="36">
        <f t="shared" si="5"/>
        <v>7.8203950054718405E-5</v>
      </c>
      <c r="R110" s="36">
        <f t="shared" si="6"/>
        <v>0.10398542030583928</v>
      </c>
      <c r="T110" s="36">
        <f t="shared" si="7"/>
        <v>9.2087027377130232E-2</v>
      </c>
    </row>
    <row r="111" spans="1:24" ht="25.5" hidden="1" x14ac:dyDescent="0.2">
      <c r="B111" s="38">
        <v>41153</v>
      </c>
      <c r="C111" s="39" t="s">
        <v>69</v>
      </c>
      <c r="D111" s="40">
        <v>1127.645</v>
      </c>
      <c r="E111" s="40">
        <v>12313.956</v>
      </c>
      <c r="F111" s="41">
        <v>29.373000000000001</v>
      </c>
      <c r="G111" s="40">
        <v>13470.974</v>
      </c>
      <c r="H111" s="40">
        <v>6399.7339999999995</v>
      </c>
      <c r="I111" s="41">
        <v>24.528000000000002</v>
      </c>
      <c r="J111" s="40">
        <v>4518.5279999999993</v>
      </c>
      <c r="K111" s="40">
        <v>10942.79</v>
      </c>
      <c r="L111" s="40">
        <v>1539.1569999999999</v>
      </c>
      <c r="M111" s="40">
        <v>12481.947000000002</v>
      </c>
      <c r="N111" s="40">
        <v>989.02700000000004</v>
      </c>
      <c r="P111" s="36">
        <f t="shared" si="4"/>
        <v>0.51971389210745911</v>
      </c>
      <c r="Q111" s="36">
        <f t="shared" si="5"/>
        <v>1.9918862792753199E-3</v>
      </c>
      <c r="R111" s="36">
        <f t="shared" si="6"/>
        <v>0.33542697061103371</v>
      </c>
      <c r="T111" s="36">
        <f t="shared" si="7"/>
        <v>0.11425729126936181</v>
      </c>
    </row>
    <row r="112" spans="1:24" ht="25.5" x14ac:dyDescent="0.2">
      <c r="A112" s="44" t="s">
        <v>91</v>
      </c>
      <c r="B112" s="38">
        <v>41153</v>
      </c>
      <c r="C112" s="39" t="s">
        <v>65</v>
      </c>
      <c r="D112" s="40">
        <v>989.02700000000004</v>
      </c>
      <c r="E112" s="40">
        <v>10755.111000000001</v>
      </c>
      <c r="F112" s="41">
        <v>34.784999999999997</v>
      </c>
      <c r="G112" s="40">
        <v>11778.923000000001</v>
      </c>
      <c r="H112" s="40">
        <v>1465.6210000000001</v>
      </c>
      <c r="I112" s="42"/>
      <c r="J112" s="40">
        <v>2059.6979999999999</v>
      </c>
      <c r="K112" s="40">
        <v>3525.319</v>
      </c>
      <c r="L112" s="40">
        <v>220.87200000000001</v>
      </c>
      <c r="M112" s="40">
        <v>3746.1909999999998</v>
      </c>
      <c r="N112" s="40">
        <v>8032.732</v>
      </c>
      <c r="P112" s="36">
        <f t="shared" si="4"/>
        <v>0.13627204777337956</v>
      </c>
      <c r="Q112" s="36">
        <f t="shared" si="5"/>
        <v>0</v>
      </c>
      <c r="R112" s="36">
        <f t="shared" si="6"/>
        <v>0.1748630159141035</v>
      </c>
      <c r="T112" s="36">
        <f t="shared" si="7"/>
        <v>1.8751459704762483E-2</v>
      </c>
    </row>
    <row r="113" spans="1:20" ht="25.5" x14ac:dyDescent="0.2">
      <c r="B113" s="38">
        <v>41244</v>
      </c>
      <c r="C113" s="39" t="s">
        <v>66</v>
      </c>
      <c r="D113" s="40">
        <v>8032.732</v>
      </c>
      <c r="E113" s="40">
        <v>10755.111000000001</v>
      </c>
      <c r="F113" s="41">
        <v>45.427</v>
      </c>
      <c r="G113" s="40">
        <v>8078.1589999999997</v>
      </c>
      <c r="H113" s="40">
        <v>1429.84</v>
      </c>
      <c r="I113" s="42"/>
      <c r="J113" s="40">
        <v>1087.335</v>
      </c>
      <c r="K113" s="40">
        <v>2517.1750000000002</v>
      </c>
      <c r="L113" s="40">
        <v>161.05799999999999</v>
      </c>
      <c r="M113" s="40">
        <v>2678.2330000000002</v>
      </c>
      <c r="N113" s="40">
        <v>5399.9260000000004</v>
      </c>
      <c r="P113" s="36">
        <f t="shared" si="4"/>
        <v>0.13294516439672263</v>
      </c>
      <c r="Q113" s="36">
        <f t="shared" si="5"/>
        <v>0</v>
      </c>
      <c r="R113" s="36">
        <f t="shared" si="6"/>
        <v>0.1346018319272993</v>
      </c>
      <c r="T113" s="36">
        <f t="shared" si="7"/>
        <v>1.9937463474041548E-2</v>
      </c>
    </row>
    <row r="114" spans="1:20" ht="25.5" x14ac:dyDescent="0.2">
      <c r="B114" s="38">
        <v>41334</v>
      </c>
      <c r="C114" s="39" t="s">
        <v>67</v>
      </c>
      <c r="D114" s="40">
        <v>5399.9260000000004</v>
      </c>
      <c r="E114" s="40">
        <v>10755.111000000001</v>
      </c>
      <c r="F114" s="41">
        <v>40.18</v>
      </c>
      <c r="G114" s="40">
        <v>5440.1060000000007</v>
      </c>
      <c r="H114" s="40">
        <v>1544.98</v>
      </c>
      <c r="I114" s="41">
        <v>22.366</v>
      </c>
      <c r="J114" s="40">
        <v>920.66700000000003</v>
      </c>
      <c r="K114" s="40">
        <v>2488.0129999999999</v>
      </c>
      <c r="L114" s="40">
        <v>185.84899999999999</v>
      </c>
      <c r="M114" s="40">
        <v>2673.8620000000001</v>
      </c>
      <c r="N114" s="40">
        <v>2766.2440000000001</v>
      </c>
      <c r="P114" s="36">
        <f t="shared" si="4"/>
        <v>0.14365077217706074</v>
      </c>
      <c r="Q114" s="36">
        <f t="shared" si="5"/>
        <v>2.0795694251784101E-3</v>
      </c>
      <c r="R114" s="36">
        <f t="shared" si="6"/>
        <v>0.16923695972100541</v>
      </c>
      <c r="T114" s="36">
        <f t="shared" si="7"/>
        <v>3.4162753446348282E-2</v>
      </c>
    </row>
    <row r="115" spans="1:20" ht="25.5" x14ac:dyDescent="0.2">
      <c r="B115" s="38">
        <v>41426</v>
      </c>
      <c r="C115" s="39" t="s">
        <v>68</v>
      </c>
      <c r="D115" s="40">
        <v>2766.2440000000001</v>
      </c>
      <c r="E115" s="40">
        <v>10755.111000000001</v>
      </c>
      <c r="F115" s="41">
        <v>39.554000000000002</v>
      </c>
      <c r="G115" s="40">
        <v>2805.7980000000002</v>
      </c>
      <c r="H115" s="40">
        <v>1572.768</v>
      </c>
      <c r="I115" s="41">
        <v>2.2149999999999999</v>
      </c>
      <c r="J115" s="40">
        <v>247.31700000000001</v>
      </c>
      <c r="K115" s="40">
        <v>1822.3</v>
      </c>
      <c r="L115" s="40">
        <v>162.31299999999999</v>
      </c>
      <c r="M115" s="40">
        <v>1984.6130000000001</v>
      </c>
      <c r="N115" s="40">
        <v>821.18499999999995</v>
      </c>
      <c r="P115" s="36">
        <f t="shared" si="4"/>
        <v>0.14623447400961273</v>
      </c>
      <c r="Q115" s="36">
        <f t="shared" si="5"/>
        <v>2.059485950447187E-4</v>
      </c>
      <c r="R115" s="36">
        <f t="shared" si="6"/>
        <v>8.8144976937042499E-2</v>
      </c>
      <c r="T115" s="36">
        <f t="shared" si="7"/>
        <v>5.7849139531783819E-2</v>
      </c>
    </row>
    <row r="116" spans="1:20" ht="25.5" hidden="1" x14ac:dyDescent="0.2">
      <c r="B116" s="38">
        <v>41518</v>
      </c>
      <c r="C116" s="39" t="s">
        <v>69</v>
      </c>
      <c r="D116" s="40">
        <v>989.02700000000004</v>
      </c>
      <c r="E116" s="40">
        <v>10755.111000000001</v>
      </c>
      <c r="F116" s="41">
        <v>159.946</v>
      </c>
      <c r="G116" s="40">
        <v>11904.084000000001</v>
      </c>
      <c r="H116" s="40">
        <v>6013.2090000000007</v>
      </c>
      <c r="I116" s="41">
        <v>24.581</v>
      </c>
      <c r="J116" s="40">
        <v>4315.0169999999998</v>
      </c>
      <c r="K116" s="40">
        <v>10352.807000000001</v>
      </c>
      <c r="L116" s="40">
        <v>730.09199999999998</v>
      </c>
      <c r="M116" s="40">
        <v>11082.898999999999</v>
      </c>
      <c r="N116" s="40">
        <v>821.18499999999995</v>
      </c>
      <c r="P116" s="36">
        <f t="shared" si="4"/>
        <v>0.55910245835677574</v>
      </c>
      <c r="Q116" s="36">
        <f t="shared" si="5"/>
        <v>2.285518020223129E-3</v>
      </c>
      <c r="R116" s="36">
        <f t="shared" si="6"/>
        <v>0.36248206917894726</v>
      </c>
      <c r="T116" s="36">
        <f t="shared" si="7"/>
        <v>6.1331220445017015E-2</v>
      </c>
    </row>
    <row r="117" spans="1:20" ht="25.5" x14ac:dyDescent="0.2">
      <c r="A117" s="44" t="s">
        <v>92</v>
      </c>
      <c r="B117" s="38">
        <v>41518</v>
      </c>
      <c r="C117" s="39" t="s">
        <v>65</v>
      </c>
      <c r="D117" s="40">
        <v>821.18499999999995</v>
      </c>
      <c r="E117" s="40">
        <v>13828.964</v>
      </c>
      <c r="F117" s="41">
        <v>14.525</v>
      </c>
      <c r="G117" s="40">
        <v>14664.673999999999</v>
      </c>
      <c r="H117" s="40">
        <v>1549.9469999999999</v>
      </c>
      <c r="I117" s="42"/>
      <c r="J117" s="40">
        <v>2311.9369999999999</v>
      </c>
      <c r="K117" s="40">
        <v>3861.884</v>
      </c>
      <c r="L117" s="40">
        <v>350.25799999999998</v>
      </c>
      <c r="M117" s="40">
        <v>4212.1419999999998</v>
      </c>
      <c r="N117" s="40">
        <v>10452.531999999999</v>
      </c>
      <c r="P117" s="36">
        <f t="shared" si="4"/>
        <v>0.11207976244641318</v>
      </c>
      <c r="Q117" s="36">
        <f t="shared" si="5"/>
        <v>0</v>
      </c>
      <c r="R117" s="36">
        <f t="shared" si="6"/>
        <v>0.15765348755792322</v>
      </c>
      <c r="T117" s="36">
        <f t="shared" si="7"/>
        <v>2.3884472303987121E-2</v>
      </c>
    </row>
    <row r="118" spans="1:20" ht="25.5" x14ac:dyDescent="0.2">
      <c r="B118" s="38">
        <v>41609</v>
      </c>
      <c r="C118" s="39" t="s">
        <v>66</v>
      </c>
      <c r="D118" s="40">
        <v>10452.531999999999</v>
      </c>
      <c r="E118" s="40">
        <v>13828.964</v>
      </c>
      <c r="F118" s="41">
        <v>6.5670000000000002</v>
      </c>
      <c r="G118" s="40">
        <v>10459.098999999998</v>
      </c>
      <c r="H118" s="40">
        <v>1602.357</v>
      </c>
      <c r="I118" s="42"/>
      <c r="J118" s="40">
        <v>1458.8130000000001</v>
      </c>
      <c r="K118" s="40">
        <v>3061.17</v>
      </c>
      <c r="L118" s="40">
        <v>389.80599999999998</v>
      </c>
      <c r="M118" s="40">
        <v>3450.9760000000001</v>
      </c>
      <c r="N118" s="40">
        <v>7008.1229999999996</v>
      </c>
      <c r="P118" s="36">
        <f t="shared" si="4"/>
        <v>0.11586963419674821</v>
      </c>
      <c r="Q118" s="36">
        <f t="shared" si="5"/>
        <v>0</v>
      </c>
      <c r="R118" s="36">
        <f t="shared" si="6"/>
        <v>0.139477884280472</v>
      </c>
      <c r="T118" s="36">
        <f t="shared" si="7"/>
        <v>3.7269558305165679E-2</v>
      </c>
    </row>
    <row r="119" spans="1:20" ht="25.5" x14ac:dyDescent="0.2">
      <c r="B119" s="38">
        <v>41699</v>
      </c>
      <c r="C119" s="39" t="s">
        <v>67</v>
      </c>
      <c r="D119" s="40">
        <v>7008.1229999999996</v>
      </c>
      <c r="E119" s="40">
        <v>13828.964</v>
      </c>
      <c r="F119" s="41">
        <v>8.5830000000000002</v>
      </c>
      <c r="G119" s="40">
        <v>7016.7059999999992</v>
      </c>
      <c r="H119" s="40">
        <v>1642.489</v>
      </c>
      <c r="I119" s="41">
        <v>21.707999999999998</v>
      </c>
      <c r="J119" s="40">
        <v>864.81200000000001</v>
      </c>
      <c r="K119" s="40">
        <v>2529.009</v>
      </c>
      <c r="L119" s="40">
        <v>635.98099999999999</v>
      </c>
      <c r="M119" s="40">
        <v>3164.99</v>
      </c>
      <c r="N119" s="40">
        <v>3851.7159999999999</v>
      </c>
      <c r="P119" s="36">
        <f t="shared" si="4"/>
        <v>0.11877165925083036</v>
      </c>
      <c r="Q119" s="36">
        <f t="shared" si="5"/>
        <v>1.5697488257254844E-3</v>
      </c>
      <c r="R119" s="36">
        <f t="shared" si="6"/>
        <v>0.12325042548455074</v>
      </c>
      <c r="T119" s="36">
        <f t="shared" si="7"/>
        <v>9.063811423764942E-2</v>
      </c>
    </row>
    <row r="120" spans="1:20" ht="25.5" x14ac:dyDescent="0.2">
      <c r="B120" s="38">
        <v>41791</v>
      </c>
      <c r="C120" s="39" t="s">
        <v>68</v>
      </c>
      <c r="D120" s="40">
        <v>3851.7159999999999</v>
      </c>
      <c r="E120" s="40">
        <v>13828.964</v>
      </c>
      <c r="F120" s="41">
        <v>6.1180000000000003</v>
      </c>
      <c r="G120" s="40">
        <v>3857.8339999999998</v>
      </c>
      <c r="H120" s="40">
        <v>1675.2170000000001</v>
      </c>
      <c r="I120" s="41">
        <v>1.2210000000000001</v>
      </c>
      <c r="J120" s="40">
        <v>405.04399999999998</v>
      </c>
      <c r="K120" s="40">
        <v>2081.482</v>
      </c>
      <c r="L120" s="40">
        <v>544.44799999999998</v>
      </c>
      <c r="M120" s="40">
        <v>2625.93</v>
      </c>
      <c r="N120" s="40">
        <v>1231.904</v>
      </c>
      <c r="P120" s="36">
        <f t="shared" si="4"/>
        <v>0.1211382862808812</v>
      </c>
      <c r="Q120" s="36">
        <f t="shared" si="5"/>
        <v>8.8292948047301309E-5</v>
      </c>
      <c r="R120" s="36">
        <f t="shared" si="6"/>
        <v>0.10499259428995648</v>
      </c>
      <c r="T120" s="36">
        <f t="shared" si="7"/>
        <v>0.14112789715679835</v>
      </c>
    </row>
    <row r="121" spans="1:20" ht="25.5" hidden="1" x14ac:dyDescent="0.2">
      <c r="B121" s="38">
        <v>41883</v>
      </c>
      <c r="C121" s="39" t="s">
        <v>69</v>
      </c>
      <c r="D121" s="40">
        <v>821.18499999999995</v>
      </c>
      <c r="E121" s="40">
        <v>13828.964</v>
      </c>
      <c r="F121" s="41">
        <v>35.792999999999999</v>
      </c>
      <c r="G121" s="40">
        <v>14685.941999999999</v>
      </c>
      <c r="H121" s="40">
        <v>6470.01</v>
      </c>
      <c r="I121" s="41">
        <v>22.928999999999998</v>
      </c>
      <c r="J121" s="40">
        <v>5040.6059999999998</v>
      </c>
      <c r="K121" s="40">
        <v>11533.545</v>
      </c>
      <c r="L121" s="40">
        <v>1920.4929999999999</v>
      </c>
      <c r="M121" s="40">
        <v>13454.038</v>
      </c>
      <c r="N121" s="40">
        <v>1231.904</v>
      </c>
      <c r="P121" s="36">
        <f t="shared" si="4"/>
        <v>0.46785934217487296</v>
      </c>
      <c r="Q121" s="36">
        <f t="shared" si="5"/>
        <v>1.6580417737727857E-3</v>
      </c>
      <c r="R121" s="36">
        <f t="shared" si="6"/>
        <v>0.34322660405440797</v>
      </c>
      <c r="T121" s="36">
        <f t="shared" si="7"/>
        <v>0.13077084193850147</v>
      </c>
    </row>
    <row r="122" spans="1:20" ht="25.5" x14ac:dyDescent="0.2">
      <c r="A122" s="44" t="s">
        <v>93</v>
      </c>
      <c r="B122" s="38">
        <v>41883</v>
      </c>
      <c r="C122" s="39" t="s">
        <v>65</v>
      </c>
      <c r="D122" s="40">
        <v>1231.904</v>
      </c>
      <c r="E122" s="40">
        <v>14215.531999999999</v>
      </c>
      <c r="F122" s="41">
        <v>5.0030000000000001</v>
      </c>
      <c r="G122" s="40">
        <v>15452.439</v>
      </c>
      <c r="H122" s="40">
        <v>1609.95</v>
      </c>
      <c r="I122" s="42"/>
      <c r="J122" s="40">
        <v>2229.7579999999998</v>
      </c>
      <c r="K122" s="40">
        <v>3839.7080000000001</v>
      </c>
      <c r="L122" s="40">
        <v>401.351</v>
      </c>
      <c r="M122" s="40">
        <v>4241.0590000000002</v>
      </c>
      <c r="N122" s="40">
        <v>11211.38</v>
      </c>
      <c r="P122" s="36">
        <f t="shared" si="4"/>
        <v>0.11325288423957683</v>
      </c>
      <c r="Q122" s="36">
        <f t="shared" si="5"/>
        <v>0</v>
      </c>
      <c r="R122" s="36">
        <f t="shared" si="6"/>
        <v>0.14429812665819292</v>
      </c>
      <c r="T122" s="36">
        <f t="shared" si="7"/>
        <v>2.5973310750490586E-2</v>
      </c>
    </row>
    <row r="123" spans="1:20" ht="25.5" x14ac:dyDescent="0.2">
      <c r="B123" s="38">
        <v>41974</v>
      </c>
      <c r="C123" s="39" t="s">
        <v>66</v>
      </c>
      <c r="D123" s="40">
        <v>11211.38</v>
      </c>
      <c r="E123" s="40">
        <v>14215.531999999999</v>
      </c>
      <c r="F123" s="41">
        <v>5.9080000000000004</v>
      </c>
      <c r="G123" s="40">
        <v>11217.287999999999</v>
      </c>
      <c r="H123" s="40">
        <v>1625.1410000000001</v>
      </c>
      <c r="I123" s="42"/>
      <c r="J123" s="40">
        <v>1437.8510000000001</v>
      </c>
      <c r="K123" s="40">
        <v>3062.9920000000002</v>
      </c>
      <c r="L123" s="40">
        <v>404.49</v>
      </c>
      <c r="M123" s="40">
        <v>3467.482</v>
      </c>
      <c r="N123" s="40">
        <v>7749.8059999999996</v>
      </c>
      <c r="P123" s="36">
        <f t="shared" si="4"/>
        <v>0.11432150411254395</v>
      </c>
      <c r="Q123" s="36">
        <f t="shared" si="5"/>
        <v>0</v>
      </c>
      <c r="R123" s="36">
        <f t="shared" si="6"/>
        <v>0.12818169596786677</v>
      </c>
      <c r="T123" s="36">
        <f t="shared" si="7"/>
        <v>3.60595181295158E-2</v>
      </c>
    </row>
    <row r="124" spans="1:20" ht="25.5" x14ac:dyDescent="0.2">
      <c r="B124" s="38">
        <v>42064</v>
      </c>
      <c r="C124" s="39" t="s">
        <v>67</v>
      </c>
      <c r="D124" s="40">
        <v>7749.8059999999996</v>
      </c>
      <c r="E124" s="40">
        <v>14215.531999999999</v>
      </c>
      <c r="F124" s="41">
        <v>9.9740000000000002</v>
      </c>
      <c r="G124" s="40">
        <v>7759.78</v>
      </c>
      <c r="H124" s="40">
        <v>1638.549</v>
      </c>
      <c r="I124" s="41">
        <v>21.423999999999999</v>
      </c>
      <c r="J124" s="40">
        <v>1117.25</v>
      </c>
      <c r="K124" s="40">
        <v>2777.223</v>
      </c>
      <c r="L124" s="40">
        <v>535.85599999999999</v>
      </c>
      <c r="M124" s="40">
        <v>3313.0790000000002</v>
      </c>
      <c r="N124" s="40">
        <v>4446.701</v>
      </c>
      <c r="P124" s="36">
        <f t="shared" si="4"/>
        <v>0.11526469779674796</v>
      </c>
      <c r="Q124" s="36">
        <f t="shared" si="5"/>
        <v>1.507083941705453E-3</v>
      </c>
      <c r="R124" s="36">
        <f t="shared" si="6"/>
        <v>0.14397959735971896</v>
      </c>
      <c r="T124" s="36">
        <f t="shared" si="7"/>
        <v>6.9055566008314667E-2</v>
      </c>
    </row>
    <row r="125" spans="1:20" ht="25.5" hidden="1" x14ac:dyDescent="0.2">
      <c r="B125" s="45">
        <v>42248</v>
      </c>
      <c r="C125" s="39" t="s">
        <v>69</v>
      </c>
      <c r="D125" s="40">
        <v>1231.904</v>
      </c>
      <c r="E125" s="40">
        <v>14215.531999999999</v>
      </c>
      <c r="F125" s="41">
        <v>30</v>
      </c>
      <c r="G125" s="40">
        <v>15477.436</v>
      </c>
      <c r="H125" s="40">
        <v>6547.4790000000003</v>
      </c>
      <c r="I125" s="41">
        <v>22.521000000000001</v>
      </c>
      <c r="J125" s="40">
        <v>5300</v>
      </c>
      <c r="K125" s="40">
        <v>11870</v>
      </c>
      <c r="L125" s="40">
        <v>1875</v>
      </c>
      <c r="M125" s="40">
        <v>13745</v>
      </c>
      <c r="N125" s="40">
        <v>1732.4359999999999</v>
      </c>
      <c r="P125" s="36">
        <f t="shared" si="4"/>
        <v>0.46058627985220679</v>
      </c>
      <c r="Q125" s="36">
        <f t="shared" si="5"/>
        <v>1.5842530550386718E-3</v>
      </c>
      <c r="R125" s="36">
        <f t="shared" si="6"/>
        <v>0.34243397937487841</v>
      </c>
      <c r="T125" s="36">
        <f t="shared" si="7"/>
        <v>0.12114409647696169</v>
      </c>
    </row>
    <row r="126" spans="1:20" x14ac:dyDescent="0.2">
      <c r="A126" s="33"/>
      <c r="B126" s="33"/>
      <c r="C126" s="46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</row>
    <row r="127" spans="1:20" ht="39.6" customHeight="1" x14ac:dyDescent="0.2">
      <c r="A127" s="48" t="s">
        <v>94</v>
      </c>
      <c r="B127" s="48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</row>
    <row r="128" spans="1:20" ht="9.9499999999999993" customHeight="1" x14ac:dyDescent="0.2">
      <c r="A128" s="50" t="s">
        <v>95</v>
      </c>
      <c r="B128" s="50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</row>
  </sheetData>
  <autoFilter ref="A1:V128">
    <filterColumn colId="2">
      <filters blank="1">
        <filter val="Q1 Sep-Nov"/>
        <filter val="Q2 Dec-Feb"/>
        <filter val="Q3 Mar-May"/>
        <filter val="Q4 Jun-Aug"/>
      </filters>
    </filterColumn>
  </autoFilter>
  <mergeCells count="2">
    <mergeCell ref="A127:N127"/>
    <mergeCell ref="A128:N128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AR(p)</vt:lpstr>
      <vt:lpstr>MA(q)</vt:lpstr>
      <vt:lpstr>Seasonalilty</vt:lpstr>
      <vt:lpstr>FeedGrains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Mallory, Mindy L</dc:creator>
  <cp:lastModifiedBy>Mallory, Mindy L</cp:lastModifiedBy>
  <dcterms:created xsi:type="dcterms:W3CDTF">2015-11-02T21:49:47Z</dcterms:created>
  <dcterms:modified xsi:type="dcterms:W3CDTF">2015-11-05T20:26:57Z</dcterms:modified>
</cp:coreProperties>
</file>