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mallorym\Documents\GitHub\PriceAnalysis\manuscript\"/>
    </mc:Choice>
  </mc:AlternateContent>
  <bookViews>
    <workbookView xWindow="0" yWindow="0" windowWidth="28800" windowHeight="14235"/>
  </bookViews>
  <sheets>
    <sheet name="Acreage" sheetId="1" r:id="rId1"/>
    <sheet name="Prices Recieved" sheetId="2" r:id="rId2"/>
  </sheets>
  <calcPr calcId="0" iterateDelta="9.9999999999994451E-4"/>
</workbook>
</file>

<file path=xl/calcChain.xml><?xml version="1.0" encoding="utf-8"?>
<calcChain xmlns="http://schemas.openxmlformats.org/spreadsheetml/2006/main"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3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2" i="1"/>
</calcChain>
</file>

<file path=xl/sharedStrings.xml><?xml version="1.0" encoding="utf-8"?>
<sst xmlns="http://schemas.openxmlformats.org/spreadsheetml/2006/main" count="1413" uniqueCount="39">
  <si>
    <t>Program</t>
  </si>
  <si>
    <t>Year</t>
  </si>
  <si>
    <t>Period</t>
  </si>
  <si>
    <t>Week Ending</t>
  </si>
  <si>
    <t>Geo Level</t>
  </si>
  <si>
    <t>State</t>
  </si>
  <si>
    <t>State ANSI</t>
  </si>
  <si>
    <t>Ag District</t>
  </si>
  <si>
    <t>Ag District Code</t>
  </si>
  <si>
    <t>County</t>
  </si>
  <si>
    <t>County ANSI</t>
  </si>
  <si>
    <t>Zip Code</t>
  </si>
  <si>
    <t>Region</t>
  </si>
  <si>
    <t>watershed_code</t>
  </si>
  <si>
    <t>Watershed</t>
  </si>
  <si>
    <t>Commodity</t>
  </si>
  <si>
    <t>Domain</t>
  </si>
  <si>
    <t>Domain Category</t>
  </si>
  <si>
    <t>CORN - ACRES PLANTED  -  &lt;b&gt;CV (%)&lt;/b&gt;</t>
  </si>
  <si>
    <t>SURVEY</t>
  </si>
  <si>
    <t>YEAR</t>
  </si>
  <si>
    <t>NATIONAL</t>
  </si>
  <si>
    <t>US TOTAL</t>
  </si>
  <si>
    <t>CORN</t>
  </si>
  <si>
    <t>TOTAL</t>
  </si>
  <si>
    <t>NOT SPECIFIED</t>
  </si>
  <si>
    <t>CORN - ACRES PLANTED</t>
  </si>
  <si>
    <t>CORN- ACRES HARVESTED</t>
  </si>
  <si>
    <t>Difference</t>
  </si>
  <si>
    <t>CORN, GRAIN - PRICE RECEIVED, MEASURED IN $ / BU </t>
  </si>
  <si>
    <t>- </t>
  </si>
  <si>
    <t>VALUE</t>
  </si>
  <si>
    <t>CV (%)</t>
  </si>
  <si>
    <t>...</t>
  </si>
  <si>
    <t>Corn Average Prices Received by Farmers</t>
  </si>
  <si>
    <t>SOYBEANS - PRICE RECEIVED, MEASURED IN $ / BU </t>
  </si>
  <si>
    <t>SOYBEANS</t>
  </si>
  <si>
    <t>Soybean Average Prices Received by Farmers</t>
  </si>
  <si>
    <t>Corn/Soybean Price 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</si>
</sst>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8"/>
      <color theme="1"/>
      <name val="Arial"/>
      <family val="2"/>
    </font>
    <font>
      <sz val="8"/>
      <color rgb="FFFFFFFF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9E9E9"/>
        <bgColor indexed="64"/>
      </patternFill>
    </fill>
    <fill>
      <patternFill patternType="solid">
        <fgColor rgb="FF60A1EA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Dashed">
        <color rgb="FF919191"/>
      </left>
      <right style="mediumDashed">
        <color rgb="FF919191"/>
      </right>
      <top style="mediumDashed">
        <color rgb="FFACA899"/>
      </top>
      <bottom/>
      <diagonal/>
    </border>
    <border>
      <left style="mediumDashed">
        <color rgb="FF919191"/>
      </left>
      <right style="mediumDashed">
        <color rgb="FF919191"/>
      </right>
      <top/>
      <bottom/>
      <diagonal/>
    </border>
    <border>
      <left style="mediumDashed">
        <color rgb="FF919191"/>
      </left>
      <right style="mediumDashed">
        <color rgb="FF919191"/>
      </right>
      <top/>
      <bottom style="mediumDashed">
        <color rgb="FFACA899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mediumDashed">
        <color rgb="FF919191"/>
      </left>
      <right style="dotted">
        <color rgb="FF000000"/>
      </right>
      <top style="dotted">
        <color rgb="FF000000"/>
      </top>
      <bottom/>
      <diagonal/>
    </border>
    <border>
      <left style="mediumDashed">
        <color rgb="FF919191"/>
      </left>
      <right style="dotted">
        <color rgb="FF000000"/>
      </right>
      <top/>
      <bottom/>
      <diagonal/>
    </border>
    <border>
      <left style="mediumDashed">
        <color rgb="FF919191"/>
      </left>
      <right style="dotted">
        <color rgb="FF000000"/>
      </right>
      <top/>
      <bottom style="dotted">
        <color rgb="FF000000"/>
      </bottom>
      <diagonal/>
    </border>
    <border>
      <left/>
      <right/>
      <top/>
      <bottom style="medium">
        <color rgb="FFCCCCCC"/>
      </bottom>
      <diagonal/>
    </border>
    <border>
      <left style="mediumDashed">
        <color rgb="FF00008B"/>
      </left>
      <right style="mediumDashed">
        <color rgb="FF00008B"/>
      </right>
      <top style="mediumDashed">
        <color rgb="FF00008B"/>
      </top>
      <bottom style="mediumDashed">
        <color rgb="FF00008B"/>
      </bottom>
      <diagonal/>
    </border>
    <border>
      <left style="dotted">
        <color rgb="FFA6A6A6"/>
      </left>
      <right style="dotted">
        <color rgb="FFA6A6A6"/>
      </right>
      <top style="dotted">
        <color rgb="FFA6A6A6"/>
      </top>
      <bottom style="dotted">
        <color rgb="FFA6A6A6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4">
    <xf numFmtId="0" fontId="0" fillId="0" borderId="0" xfId="0"/>
    <xf numFmtId="3" fontId="0" fillId="0" borderId="0" xfId="0" applyNumberFormat="1"/>
    <xf numFmtId="1" fontId="0" fillId="0" borderId="0" xfId="0" applyNumberFormat="1"/>
    <xf numFmtId="0" fontId="18" fillId="33" borderId="14" xfId="0" applyFont="1" applyFill="1" applyBorder="1" applyAlignment="1">
      <alignment horizontal="left" vertical="center" wrapText="1"/>
    </xf>
    <xf numFmtId="0" fontId="18" fillId="33" borderId="15" xfId="0" applyFont="1" applyFill="1" applyBorder="1" applyAlignment="1">
      <alignment horizontal="left" vertical="center" wrapText="1"/>
    </xf>
    <xf numFmtId="0" fontId="19" fillId="33" borderId="16" xfId="0" applyFont="1" applyFill="1" applyBorder="1" applyAlignment="1">
      <alignment horizontal="left" vertical="center" wrapText="1"/>
    </xf>
    <xf numFmtId="0" fontId="18" fillId="33" borderId="10" xfId="0" applyFont="1" applyFill="1" applyBorder="1" applyAlignment="1">
      <alignment horizontal="left" vertical="center" wrapText="1"/>
    </xf>
    <xf numFmtId="0" fontId="18" fillId="33" borderId="11" xfId="0" applyFont="1" applyFill="1" applyBorder="1" applyAlignment="1">
      <alignment horizontal="left" vertical="center" wrapText="1"/>
    </xf>
    <xf numFmtId="0" fontId="18" fillId="33" borderId="12" xfId="0" applyFont="1" applyFill="1" applyBorder="1" applyAlignment="1">
      <alignment horizontal="left" vertical="center" wrapText="1"/>
    </xf>
    <xf numFmtId="0" fontId="18" fillId="33" borderId="14" xfId="0" applyFont="1" applyFill="1" applyBorder="1" applyAlignment="1">
      <alignment horizontal="left" vertical="center" wrapText="1"/>
    </xf>
    <xf numFmtId="0" fontId="18" fillId="33" borderId="17" xfId="0" applyFont="1" applyFill="1" applyBorder="1" applyAlignment="1">
      <alignment horizontal="left" vertical="center" wrapText="1"/>
    </xf>
    <xf numFmtId="0" fontId="18" fillId="33" borderId="18" xfId="0" applyFont="1" applyFill="1" applyBorder="1" applyAlignment="1">
      <alignment horizontal="left" vertical="center" wrapText="1"/>
    </xf>
    <xf numFmtId="0" fontId="18" fillId="33" borderId="19" xfId="0" applyFont="1" applyFill="1" applyBorder="1" applyAlignment="1">
      <alignment horizontal="left" vertical="center" wrapText="1"/>
    </xf>
    <xf numFmtId="0" fontId="18" fillId="33" borderId="15" xfId="0" applyFont="1" applyFill="1" applyBorder="1" applyAlignment="1">
      <alignment horizontal="left" vertical="center" wrapText="1"/>
    </xf>
    <xf numFmtId="0" fontId="18" fillId="33" borderId="16" xfId="0" applyFont="1" applyFill="1" applyBorder="1" applyAlignment="1">
      <alignment horizontal="left" vertical="center" wrapText="1"/>
    </xf>
    <xf numFmtId="0" fontId="18" fillId="0" borderId="0" xfId="0" applyFont="1" applyAlignment="1">
      <alignment vertical="center" wrapText="1"/>
    </xf>
    <xf numFmtId="0" fontId="20" fillId="0" borderId="20" xfId="0" applyFont="1" applyBorder="1" applyAlignment="1">
      <alignment vertical="center" wrapText="1"/>
    </xf>
    <xf numFmtId="0" fontId="20" fillId="0" borderId="21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1" fillId="34" borderId="13" xfId="0" applyFont="1" applyFill="1" applyBorder="1" applyAlignment="1">
      <alignment horizontal="left" vertical="center" wrapText="1"/>
    </xf>
    <xf numFmtId="0" fontId="21" fillId="34" borderId="22" xfId="0" applyFont="1" applyFill="1" applyBorder="1" applyAlignment="1">
      <alignment horizontal="left" vertical="center" wrapText="1"/>
    </xf>
    <xf numFmtId="2" fontId="0" fillId="0" borderId="0" xfId="0" applyNumberFormat="1"/>
    <xf numFmtId="2" fontId="20" fillId="0" borderId="13" xfId="0" applyNumberFormat="1" applyFont="1" applyBorder="1" applyAlignment="1">
      <alignment horizontal="left" vertical="center" wrapText="1"/>
    </xf>
    <xf numFmtId="2" fontId="21" fillId="34" borderId="13" xfId="0" applyNumberFormat="1" applyFont="1" applyFill="1" applyBorder="1" applyAlignment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2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3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4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5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6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7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activeX/activeX8.xml><?xml version="1.0" encoding="utf-8"?>
<ax:ocx xmlns:ax="http://schemas.microsoft.com/office/2006/activeX" xmlns:r="http://schemas.openxmlformats.org/officeDocument/2006/relationships" ax:classid="{5512D116-5CC6-11CF-8D67-00AA00BDCE1D}" ax:persistence="persistStream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Acres, Planted and Harvested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Acreage!$S$1</c:f>
              <c:strCache>
                <c:ptCount val="1"/>
                <c:pt idx="0">
                  <c:v>CORN - ACRES PLANTED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Acreage!$B$2:$B$17</c:f>
              <c:numCache>
                <c:formatCode>0</c:formatCode>
                <c:ptCount val="1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</c:numCache>
            </c:numRef>
          </c:xVal>
          <c:yVal>
            <c:numRef>
              <c:f>Acreage!$S$2:$S$17</c:f>
              <c:numCache>
                <c:formatCode>#,##0</c:formatCode>
                <c:ptCount val="16"/>
                <c:pt idx="0">
                  <c:v>88897000</c:v>
                </c:pt>
                <c:pt idx="1">
                  <c:v>90597000</c:v>
                </c:pt>
                <c:pt idx="2">
                  <c:v>95365000</c:v>
                </c:pt>
                <c:pt idx="3">
                  <c:v>97291000</c:v>
                </c:pt>
                <c:pt idx="4">
                  <c:v>91936000</c:v>
                </c:pt>
                <c:pt idx="5">
                  <c:v>88192000</c:v>
                </c:pt>
                <c:pt idx="6">
                  <c:v>86382000</c:v>
                </c:pt>
                <c:pt idx="7">
                  <c:v>85982000</c:v>
                </c:pt>
                <c:pt idx="8">
                  <c:v>93527000</c:v>
                </c:pt>
                <c:pt idx="9">
                  <c:v>78327000</c:v>
                </c:pt>
                <c:pt idx="10">
                  <c:v>81779000</c:v>
                </c:pt>
                <c:pt idx="11">
                  <c:v>80929000</c:v>
                </c:pt>
                <c:pt idx="12">
                  <c:v>78603000</c:v>
                </c:pt>
                <c:pt idx="13">
                  <c:v>78894000</c:v>
                </c:pt>
                <c:pt idx="14">
                  <c:v>75702000</c:v>
                </c:pt>
                <c:pt idx="15">
                  <c:v>79551000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Acreage!$U$1</c:f>
              <c:strCache>
                <c:ptCount val="1"/>
                <c:pt idx="0">
                  <c:v>CORN- ACRES HARVESTED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Acreage!$B$2:$B$17</c:f>
              <c:numCache>
                <c:formatCode>0</c:formatCode>
                <c:ptCount val="1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</c:numCache>
            </c:numRef>
          </c:xVal>
          <c:yVal>
            <c:numRef>
              <c:f>Acreage!$U$2:$U$17</c:f>
              <c:numCache>
                <c:formatCode>#,##0</c:formatCode>
                <c:ptCount val="16"/>
                <c:pt idx="0">
                  <c:v>81101000</c:v>
                </c:pt>
                <c:pt idx="1">
                  <c:v>83136000</c:v>
                </c:pt>
                <c:pt idx="2">
                  <c:v>87451000</c:v>
                </c:pt>
                <c:pt idx="3">
                  <c:v>87365000</c:v>
                </c:pt>
                <c:pt idx="4">
                  <c:v>83879000</c:v>
                </c:pt>
                <c:pt idx="5">
                  <c:v>81446000</c:v>
                </c:pt>
                <c:pt idx="6">
                  <c:v>79490000</c:v>
                </c:pt>
                <c:pt idx="7">
                  <c:v>78570000</c:v>
                </c:pt>
                <c:pt idx="8">
                  <c:v>86520000</c:v>
                </c:pt>
                <c:pt idx="9">
                  <c:v>70638000</c:v>
                </c:pt>
                <c:pt idx="10">
                  <c:v>75117000</c:v>
                </c:pt>
                <c:pt idx="11">
                  <c:v>73631000</c:v>
                </c:pt>
                <c:pt idx="12">
                  <c:v>70944000</c:v>
                </c:pt>
                <c:pt idx="13">
                  <c:v>69330000</c:v>
                </c:pt>
                <c:pt idx="14">
                  <c:v>68768000</c:v>
                </c:pt>
                <c:pt idx="15">
                  <c:v>72440000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0714880"/>
        <c:axId val="1500713792"/>
      </c:scatterChart>
      <c:scatterChart>
        <c:scatterStyle val="lineMarker"/>
        <c:varyColors val="0"/>
        <c:ser>
          <c:idx val="2"/>
          <c:order val="2"/>
          <c:tx>
            <c:strRef>
              <c:f>Acreage!$V$1</c:f>
              <c:strCache>
                <c:ptCount val="1"/>
                <c:pt idx="0">
                  <c:v>Difference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Acreage!$B$2:$B$17</c:f>
              <c:numCache>
                <c:formatCode>0</c:formatCode>
                <c:ptCount val="1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</c:numCache>
            </c:numRef>
          </c:xVal>
          <c:yVal>
            <c:numRef>
              <c:f>Acreage!$V$2:$V$17</c:f>
              <c:numCache>
                <c:formatCode>#,##0</c:formatCode>
                <c:ptCount val="16"/>
                <c:pt idx="0">
                  <c:v>7796000</c:v>
                </c:pt>
                <c:pt idx="1">
                  <c:v>7461000</c:v>
                </c:pt>
                <c:pt idx="2">
                  <c:v>7914000</c:v>
                </c:pt>
                <c:pt idx="3">
                  <c:v>9926000</c:v>
                </c:pt>
                <c:pt idx="4">
                  <c:v>8057000</c:v>
                </c:pt>
                <c:pt idx="5">
                  <c:v>6746000</c:v>
                </c:pt>
                <c:pt idx="6">
                  <c:v>6892000</c:v>
                </c:pt>
                <c:pt idx="7">
                  <c:v>7412000</c:v>
                </c:pt>
                <c:pt idx="8">
                  <c:v>7007000</c:v>
                </c:pt>
                <c:pt idx="9">
                  <c:v>7689000</c:v>
                </c:pt>
                <c:pt idx="10">
                  <c:v>6662000</c:v>
                </c:pt>
                <c:pt idx="11">
                  <c:v>7298000</c:v>
                </c:pt>
                <c:pt idx="12">
                  <c:v>7659000</c:v>
                </c:pt>
                <c:pt idx="13">
                  <c:v>9564000</c:v>
                </c:pt>
                <c:pt idx="14">
                  <c:v>6934000</c:v>
                </c:pt>
                <c:pt idx="15">
                  <c:v>7111000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843552"/>
        <c:axId val="1897844640"/>
      </c:scatterChart>
      <c:valAx>
        <c:axId val="1500714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713792"/>
        <c:crosses val="autoZero"/>
        <c:crossBetween val="midCat"/>
      </c:valAx>
      <c:valAx>
        <c:axId val="1500713792"/>
        <c:scaling>
          <c:orientation val="minMax"/>
          <c:min val="6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0714880"/>
        <c:crosses val="autoZero"/>
        <c:crossBetween val="midCat"/>
      </c:valAx>
      <c:valAx>
        <c:axId val="1897844640"/>
        <c:scaling>
          <c:orientation val="minMax"/>
          <c:max val="40000000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843552"/>
        <c:crosses val="max"/>
        <c:crossBetween val="midCat"/>
      </c:valAx>
      <c:valAx>
        <c:axId val="189784355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897844640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Planted</a:t>
            </a:r>
            <a:r>
              <a:rPr lang="en-US" baseline="0"/>
              <a:t> Acres and Corn/Soybeans Price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838225743254485"/>
          <c:y val="0.13325666528526037"/>
          <c:w val="0.71592730356558199"/>
          <c:h val="0.53622409863240783"/>
        </c:manualLayout>
      </c:layout>
      <c:scatterChart>
        <c:scatterStyle val="lineMarker"/>
        <c:varyColors val="0"/>
        <c:ser>
          <c:idx val="0"/>
          <c:order val="0"/>
          <c:tx>
            <c:strRef>
              <c:f>Acreage!$S$1</c:f>
              <c:strCache>
                <c:ptCount val="1"/>
                <c:pt idx="0">
                  <c:v>CORN - ACRES PLANTED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Acreage!$B$2:$B$17</c:f>
              <c:numCache>
                <c:formatCode>0</c:formatCode>
                <c:ptCount val="1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</c:numCache>
            </c:numRef>
          </c:xVal>
          <c:yVal>
            <c:numRef>
              <c:f>Acreage!$S$2:$S$17</c:f>
              <c:numCache>
                <c:formatCode>#,##0</c:formatCode>
                <c:ptCount val="16"/>
                <c:pt idx="0">
                  <c:v>88897000</c:v>
                </c:pt>
                <c:pt idx="1">
                  <c:v>90597000</c:v>
                </c:pt>
                <c:pt idx="2">
                  <c:v>95365000</c:v>
                </c:pt>
                <c:pt idx="3">
                  <c:v>97291000</c:v>
                </c:pt>
                <c:pt idx="4">
                  <c:v>91936000</c:v>
                </c:pt>
                <c:pt idx="5">
                  <c:v>88192000</c:v>
                </c:pt>
                <c:pt idx="6">
                  <c:v>86382000</c:v>
                </c:pt>
                <c:pt idx="7">
                  <c:v>85982000</c:v>
                </c:pt>
                <c:pt idx="8">
                  <c:v>93527000</c:v>
                </c:pt>
                <c:pt idx="9">
                  <c:v>78327000</c:v>
                </c:pt>
                <c:pt idx="10">
                  <c:v>81779000</c:v>
                </c:pt>
                <c:pt idx="11">
                  <c:v>80929000</c:v>
                </c:pt>
                <c:pt idx="12">
                  <c:v>78603000</c:v>
                </c:pt>
                <c:pt idx="13">
                  <c:v>78894000</c:v>
                </c:pt>
                <c:pt idx="14">
                  <c:v>75702000</c:v>
                </c:pt>
                <c:pt idx="15">
                  <c:v>79551000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7829952"/>
        <c:axId val="1897842464"/>
      </c:scatterChart>
      <c:scatterChart>
        <c:scatterStyle val="lineMarker"/>
        <c:varyColors val="0"/>
        <c:ser>
          <c:idx val="1"/>
          <c:order val="1"/>
          <c:tx>
            <c:strRef>
              <c:f>Acreage!$Y$1</c:f>
              <c:strCache>
                <c:ptCount val="1"/>
                <c:pt idx="0">
                  <c:v>Corn/Soybean Price Ratio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Acreage!$B$2:$B$17</c:f>
              <c:numCache>
                <c:formatCode>0</c:formatCode>
                <c:ptCount val="16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  <c:pt idx="5">
                  <c:v>2010</c:v>
                </c:pt>
                <c:pt idx="6">
                  <c:v>2009</c:v>
                </c:pt>
                <c:pt idx="7">
                  <c:v>2008</c:v>
                </c:pt>
                <c:pt idx="8">
                  <c:v>2007</c:v>
                </c:pt>
                <c:pt idx="9">
                  <c:v>2006</c:v>
                </c:pt>
                <c:pt idx="10">
                  <c:v>2005</c:v>
                </c:pt>
                <c:pt idx="11">
                  <c:v>2004</c:v>
                </c:pt>
                <c:pt idx="12">
                  <c:v>2003</c:v>
                </c:pt>
                <c:pt idx="13">
                  <c:v>2002</c:v>
                </c:pt>
                <c:pt idx="14">
                  <c:v>2001</c:v>
                </c:pt>
                <c:pt idx="15">
                  <c:v>2000</c:v>
                </c:pt>
              </c:numCache>
            </c:numRef>
          </c:xVal>
          <c:yVal>
            <c:numRef>
              <c:f>Acreage!$Y$2:$Y$17</c:f>
              <c:numCache>
                <c:formatCode>General</c:formatCode>
                <c:ptCount val="16"/>
                <c:pt idx="1">
                  <c:v>0.32880000000000004</c:v>
                </c:pt>
                <c:pt idx="2">
                  <c:v>0.43617021276595747</c:v>
                </c:pt>
                <c:pt idx="3">
                  <c:v>0.47642857142857142</c:v>
                </c:pt>
                <c:pt idx="4">
                  <c:v>0.48159999999999997</c:v>
                </c:pt>
                <c:pt idx="5">
                  <c:v>0.38415245737211634</c:v>
                </c:pt>
                <c:pt idx="6">
                  <c:v>0.37128712871287128</c:v>
                </c:pt>
                <c:pt idx="7">
                  <c:v>0.4230088495575221</c:v>
                </c:pt>
                <c:pt idx="8">
                  <c:v>0.43798449612403101</c:v>
                </c:pt>
                <c:pt idx="9">
                  <c:v>0.4035398230088495</c:v>
                </c:pt>
                <c:pt idx="10">
                  <c:v>0.32941176470588235</c:v>
                </c:pt>
                <c:pt idx="11">
                  <c:v>0.32671957671957674</c:v>
                </c:pt>
                <c:pt idx="12">
                  <c:v>0.37335526315789475</c:v>
                </c:pt>
                <c:pt idx="13">
                  <c:v>0.43204868154158216</c:v>
                </c:pt>
                <c:pt idx="14">
                  <c:v>0.42663656884875845</c:v>
                </c:pt>
                <c:pt idx="15">
                  <c:v>0.39323467230443976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358272"/>
        <c:axId val="2010349568"/>
      </c:scatterChart>
      <c:valAx>
        <c:axId val="1897829952"/>
        <c:scaling>
          <c:orientation val="minMax"/>
          <c:max val="2016"/>
          <c:min val="1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842464"/>
        <c:crosses val="autoZero"/>
        <c:crossBetween val="midCat"/>
      </c:valAx>
      <c:valAx>
        <c:axId val="189784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Acres</a:t>
                </a:r>
                <a:r>
                  <a:rPr lang="en-US" baseline="0"/>
                  <a:t> Planted to Corn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7829952"/>
        <c:crosses val="autoZero"/>
        <c:crossBetween val="midCat"/>
      </c:valAx>
      <c:valAx>
        <c:axId val="2010349568"/>
        <c:scaling>
          <c:orientation val="minMax"/>
          <c:max val="1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Corn/Soybean Price</a:t>
                </a:r>
                <a:r>
                  <a:rPr lang="en-US" baseline="0"/>
                  <a:t> Ratio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0358272"/>
        <c:crosses val="max"/>
        <c:crossBetween val="midCat"/>
      </c:valAx>
      <c:valAx>
        <c:axId val="201035827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010349568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02174344771322"/>
          <c:y val="0.79166234977206795"/>
          <c:w val="0.71491554353251852"/>
          <c:h val="0.166675300455864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5</xdr:row>
      <xdr:rowOff>76199</xdr:rowOff>
    </xdr:from>
    <xdr:to>
      <xdr:col>18</xdr:col>
      <xdr:colOff>819150</xdr:colOff>
      <xdr:row>32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1104900</xdr:colOff>
      <xdr:row>5</xdr:row>
      <xdr:rowOff>57150</xdr:rowOff>
    </xdr:from>
    <xdr:to>
      <xdr:col>33</xdr:col>
      <xdr:colOff>295275</xdr:colOff>
      <xdr:row>33</xdr:row>
      <xdr:rowOff>19050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0</xdr:col>
          <xdr:colOff>257175</xdr:colOff>
          <xdr:row>4</xdr:row>
          <xdr:rowOff>47625</xdr:rowOff>
        </xdr:to>
        <xdr:sp macro="" textlink="">
          <xdr:nvSpPr>
            <xdr:cNvPr id="2049" name="Control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257175</xdr:colOff>
          <xdr:row>4</xdr:row>
          <xdr:rowOff>76200</xdr:rowOff>
        </xdr:to>
        <xdr:sp macro="" textlink="">
          <xdr:nvSpPr>
            <xdr:cNvPr id="2050" name="Control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0</xdr:col>
          <xdr:colOff>257175</xdr:colOff>
          <xdr:row>24</xdr:row>
          <xdr:rowOff>38100</xdr:rowOff>
        </xdr:to>
        <xdr:sp macro="" textlink="">
          <xdr:nvSpPr>
            <xdr:cNvPr id="2051" name="Control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1</xdr:col>
          <xdr:colOff>257175</xdr:colOff>
          <xdr:row>24</xdr:row>
          <xdr:rowOff>66675</xdr:rowOff>
        </xdr:to>
        <xdr:sp macro="" textlink="">
          <xdr:nvSpPr>
            <xdr:cNvPr id="2052" name="Control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</xdr:row>
          <xdr:rowOff>0</xdr:rowOff>
        </xdr:from>
        <xdr:to>
          <xdr:col>13</xdr:col>
          <xdr:colOff>257175</xdr:colOff>
          <xdr:row>4</xdr:row>
          <xdr:rowOff>47625</xdr:rowOff>
        </xdr:to>
        <xdr:sp macro="" textlink="">
          <xdr:nvSpPr>
            <xdr:cNvPr id="2057" name="Control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</xdr:row>
          <xdr:rowOff>0</xdr:rowOff>
        </xdr:from>
        <xdr:to>
          <xdr:col>14</xdr:col>
          <xdr:colOff>257175</xdr:colOff>
          <xdr:row>4</xdr:row>
          <xdr:rowOff>76200</xdr:rowOff>
        </xdr:to>
        <xdr:sp macro="" textlink="">
          <xdr:nvSpPr>
            <xdr:cNvPr id="2058" name="Control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13</xdr:col>
          <xdr:colOff>257175</xdr:colOff>
          <xdr:row>24</xdr:row>
          <xdr:rowOff>38100</xdr:rowOff>
        </xdr:to>
        <xdr:sp macro="" textlink="">
          <xdr:nvSpPr>
            <xdr:cNvPr id="2059" name="Control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23</xdr:row>
          <xdr:rowOff>0</xdr:rowOff>
        </xdr:from>
        <xdr:to>
          <xdr:col>14</xdr:col>
          <xdr:colOff>257175</xdr:colOff>
          <xdr:row>24</xdr:row>
          <xdr:rowOff>66675</xdr:rowOff>
        </xdr:to>
        <xdr:sp macro="" textlink="">
          <xdr:nvSpPr>
            <xdr:cNvPr id="2060" name="Control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6.xml"/><Relationship Id="rId5" Type="http://schemas.openxmlformats.org/officeDocument/2006/relationships/image" Target="../media/image1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51"/>
  <sheetViews>
    <sheetView tabSelected="1" topLeftCell="I1" workbookViewId="0">
      <selection activeCell="AA39" sqref="AA39"/>
    </sheetView>
  </sheetViews>
  <sheetFormatPr defaultRowHeight="15" x14ac:dyDescent="0.25"/>
  <cols>
    <col min="2" max="2" width="9.140625" style="2"/>
    <col min="19" max="19" width="17.28515625" customWidth="1"/>
    <col min="21" max="21" width="15.7109375" customWidth="1"/>
    <col min="23" max="23" width="9.140625" style="21"/>
  </cols>
  <sheetData>
    <row r="1" spans="1:25" x14ac:dyDescent="0.25">
      <c r="A1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26</v>
      </c>
      <c r="T1" t="s">
        <v>18</v>
      </c>
      <c r="U1" t="s">
        <v>27</v>
      </c>
      <c r="V1" t="s">
        <v>28</v>
      </c>
      <c r="W1" s="21" t="s">
        <v>34</v>
      </c>
      <c r="X1" s="21" t="s">
        <v>37</v>
      </c>
      <c r="Y1" t="s">
        <v>38</v>
      </c>
    </row>
    <row r="2" spans="1:25" x14ac:dyDescent="0.25">
      <c r="A2" t="s">
        <v>19</v>
      </c>
      <c r="B2" s="2">
        <v>2015</v>
      </c>
      <c r="C2" t="s">
        <v>20</v>
      </c>
      <c r="E2" t="s">
        <v>21</v>
      </c>
      <c r="F2" t="s">
        <v>22</v>
      </c>
      <c r="N2">
        <v>0</v>
      </c>
      <c r="P2" t="s">
        <v>23</v>
      </c>
      <c r="Q2" t="s">
        <v>24</v>
      </c>
      <c r="R2" t="s">
        <v>25</v>
      </c>
      <c r="S2" s="1">
        <v>88897000</v>
      </c>
      <c r="U2" s="1">
        <v>81101000</v>
      </c>
      <c r="V2" s="1">
        <f>S2-U2</f>
        <v>7796000</v>
      </c>
    </row>
    <row r="3" spans="1:25" x14ac:dyDescent="0.25">
      <c r="A3" t="s">
        <v>19</v>
      </c>
      <c r="B3" s="2">
        <v>2014</v>
      </c>
      <c r="C3" t="s">
        <v>20</v>
      </c>
      <c r="E3" t="s">
        <v>21</v>
      </c>
      <c r="F3" t="s">
        <v>22</v>
      </c>
      <c r="N3">
        <v>0</v>
      </c>
      <c r="P3" t="s">
        <v>23</v>
      </c>
      <c r="Q3" t="s">
        <v>24</v>
      </c>
      <c r="R3" t="s">
        <v>25</v>
      </c>
      <c r="S3" s="1">
        <v>90597000</v>
      </c>
      <c r="U3" s="1">
        <v>83136000</v>
      </c>
      <c r="V3" s="1">
        <f t="shared" ref="V3:V66" si="0">S3-U3</f>
        <v>7461000</v>
      </c>
      <c r="W3" s="22">
        <v>4.1100000000000003</v>
      </c>
      <c r="X3" s="18">
        <v>12.5</v>
      </c>
      <c r="Y3">
        <f>W3/X3</f>
        <v>0.32880000000000004</v>
      </c>
    </row>
    <row r="4" spans="1:25" x14ac:dyDescent="0.25">
      <c r="A4" t="s">
        <v>19</v>
      </c>
      <c r="B4" s="2">
        <v>2013</v>
      </c>
      <c r="C4" t="s">
        <v>20</v>
      </c>
      <c r="E4" t="s">
        <v>21</v>
      </c>
      <c r="F4" t="s">
        <v>22</v>
      </c>
      <c r="N4">
        <v>0</v>
      </c>
      <c r="P4" t="s">
        <v>23</v>
      </c>
      <c r="Q4" t="s">
        <v>24</v>
      </c>
      <c r="R4" t="s">
        <v>25</v>
      </c>
      <c r="S4" s="1">
        <v>95365000</v>
      </c>
      <c r="U4" s="1">
        <v>87451000</v>
      </c>
      <c r="V4" s="1">
        <f t="shared" si="0"/>
        <v>7914000</v>
      </c>
      <c r="W4" s="22">
        <v>6.15</v>
      </c>
      <c r="X4" s="18">
        <v>14.1</v>
      </c>
      <c r="Y4">
        <f t="shared" ref="Y4:Y17" si="1">W4/X4</f>
        <v>0.43617021276595747</v>
      </c>
    </row>
    <row r="5" spans="1:25" x14ac:dyDescent="0.25">
      <c r="A5" t="s">
        <v>19</v>
      </c>
      <c r="B5" s="2">
        <v>2012</v>
      </c>
      <c r="C5" t="s">
        <v>20</v>
      </c>
      <c r="E5" t="s">
        <v>21</v>
      </c>
      <c r="F5" t="s">
        <v>22</v>
      </c>
      <c r="N5">
        <v>0</v>
      </c>
      <c r="P5" t="s">
        <v>23</v>
      </c>
      <c r="Q5" t="s">
        <v>24</v>
      </c>
      <c r="R5" t="s">
        <v>25</v>
      </c>
      <c r="S5" s="1">
        <v>97291000</v>
      </c>
      <c r="U5" s="1">
        <v>87365000</v>
      </c>
      <c r="V5" s="1">
        <f t="shared" si="0"/>
        <v>9926000</v>
      </c>
      <c r="W5" s="22">
        <v>6.67</v>
      </c>
      <c r="X5" s="18">
        <v>14</v>
      </c>
      <c r="Y5">
        <f t="shared" si="1"/>
        <v>0.47642857142857142</v>
      </c>
    </row>
    <row r="6" spans="1:25" x14ac:dyDescent="0.25">
      <c r="A6" t="s">
        <v>19</v>
      </c>
      <c r="B6" s="2">
        <v>2011</v>
      </c>
      <c r="C6" t="s">
        <v>20</v>
      </c>
      <c r="E6" t="s">
        <v>21</v>
      </c>
      <c r="F6" t="s">
        <v>22</v>
      </c>
      <c r="N6">
        <v>0</v>
      </c>
      <c r="P6" t="s">
        <v>23</v>
      </c>
      <c r="Q6" t="s">
        <v>24</v>
      </c>
      <c r="R6" t="s">
        <v>25</v>
      </c>
      <c r="S6" s="1">
        <v>91936000</v>
      </c>
      <c r="U6" s="1">
        <v>83879000</v>
      </c>
      <c r="V6" s="1">
        <f t="shared" si="0"/>
        <v>8057000</v>
      </c>
      <c r="W6" s="22">
        <v>6.02</v>
      </c>
      <c r="X6" s="18">
        <v>12.5</v>
      </c>
      <c r="Y6">
        <f t="shared" si="1"/>
        <v>0.48159999999999997</v>
      </c>
    </row>
    <row r="7" spans="1:25" x14ac:dyDescent="0.25">
      <c r="A7" t="s">
        <v>19</v>
      </c>
      <c r="B7" s="2">
        <v>2010</v>
      </c>
      <c r="C7" t="s">
        <v>20</v>
      </c>
      <c r="E7" t="s">
        <v>21</v>
      </c>
      <c r="F7" t="s">
        <v>22</v>
      </c>
      <c r="N7">
        <v>0</v>
      </c>
      <c r="P7" t="s">
        <v>23</v>
      </c>
      <c r="Q7" t="s">
        <v>24</v>
      </c>
      <c r="R7" t="s">
        <v>25</v>
      </c>
      <c r="S7" s="1">
        <v>88192000</v>
      </c>
      <c r="U7" s="1">
        <v>81446000</v>
      </c>
      <c r="V7" s="1">
        <f t="shared" si="0"/>
        <v>6746000</v>
      </c>
      <c r="W7" s="22">
        <v>3.83</v>
      </c>
      <c r="X7" s="18">
        <v>9.9700000000000006</v>
      </c>
      <c r="Y7">
        <f t="shared" si="1"/>
        <v>0.38415245737211634</v>
      </c>
    </row>
    <row r="8" spans="1:25" x14ac:dyDescent="0.25">
      <c r="A8" t="s">
        <v>19</v>
      </c>
      <c r="B8" s="2">
        <v>2009</v>
      </c>
      <c r="C8" t="s">
        <v>20</v>
      </c>
      <c r="E8" t="s">
        <v>21</v>
      </c>
      <c r="F8" t="s">
        <v>22</v>
      </c>
      <c r="N8">
        <v>0</v>
      </c>
      <c r="P8" t="s">
        <v>23</v>
      </c>
      <c r="Q8" t="s">
        <v>24</v>
      </c>
      <c r="R8" t="s">
        <v>25</v>
      </c>
      <c r="S8" s="1">
        <v>86382000</v>
      </c>
      <c r="U8" s="1">
        <v>79490000</v>
      </c>
      <c r="V8" s="1">
        <f t="shared" si="0"/>
        <v>6892000</v>
      </c>
      <c r="W8" s="22">
        <v>3.75</v>
      </c>
      <c r="X8" s="18">
        <v>10.1</v>
      </c>
      <c r="Y8">
        <f t="shared" si="1"/>
        <v>0.37128712871287128</v>
      </c>
    </row>
    <row r="9" spans="1:25" x14ac:dyDescent="0.25">
      <c r="A9" t="s">
        <v>19</v>
      </c>
      <c r="B9" s="2">
        <v>2008</v>
      </c>
      <c r="C9" t="s">
        <v>20</v>
      </c>
      <c r="E9" t="s">
        <v>21</v>
      </c>
      <c r="F9" t="s">
        <v>22</v>
      </c>
      <c r="N9">
        <v>0</v>
      </c>
      <c r="P9" t="s">
        <v>23</v>
      </c>
      <c r="Q9" t="s">
        <v>24</v>
      </c>
      <c r="R9" t="s">
        <v>25</v>
      </c>
      <c r="S9" s="1">
        <v>85982000</v>
      </c>
      <c r="U9" s="1">
        <v>78570000</v>
      </c>
      <c r="V9" s="1">
        <f t="shared" si="0"/>
        <v>7412000</v>
      </c>
      <c r="W9" s="22">
        <v>4.78</v>
      </c>
      <c r="X9" s="18">
        <v>11.3</v>
      </c>
      <c r="Y9">
        <f t="shared" si="1"/>
        <v>0.4230088495575221</v>
      </c>
    </row>
    <row r="10" spans="1:25" x14ac:dyDescent="0.25">
      <c r="A10" t="s">
        <v>19</v>
      </c>
      <c r="B10" s="2">
        <v>2007</v>
      </c>
      <c r="C10" t="s">
        <v>20</v>
      </c>
      <c r="E10" t="s">
        <v>21</v>
      </c>
      <c r="F10" t="s">
        <v>22</v>
      </c>
      <c r="N10">
        <v>0</v>
      </c>
      <c r="P10" t="s">
        <v>23</v>
      </c>
      <c r="Q10" t="s">
        <v>24</v>
      </c>
      <c r="R10" t="s">
        <v>25</v>
      </c>
      <c r="S10" s="1">
        <v>93527000</v>
      </c>
      <c r="U10" s="1">
        <v>86520000</v>
      </c>
      <c r="V10" s="1">
        <f t="shared" si="0"/>
        <v>7007000</v>
      </c>
      <c r="W10" s="22">
        <v>3.39</v>
      </c>
      <c r="X10" s="18">
        <v>7.74</v>
      </c>
      <c r="Y10">
        <f t="shared" si="1"/>
        <v>0.43798449612403101</v>
      </c>
    </row>
    <row r="11" spans="1:25" x14ac:dyDescent="0.25">
      <c r="A11" t="s">
        <v>19</v>
      </c>
      <c r="B11" s="2">
        <v>2006</v>
      </c>
      <c r="C11" t="s">
        <v>20</v>
      </c>
      <c r="E11" t="s">
        <v>21</v>
      </c>
      <c r="F11" t="s">
        <v>22</v>
      </c>
      <c r="N11">
        <v>0</v>
      </c>
      <c r="P11" t="s">
        <v>23</v>
      </c>
      <c r="Q11" t="s">
        <v>24</v>
      </c>
      <c r="R11" t="s">
        <v>25</v>
      </c>
      <c r="S11" s="1">
        <v>78327000</v>
      </c>
      <c r="U11" s="1">
        <v>70638000</v>
      </c>
      <c r="V11" s="1">
        <f t="shared" si="0"/>
        <v>7689000</v>
      </c>
      <c r="W11" s="22">
        <v>2.2799999999999998</v>
      </c>
      <c r="X11" s="18">
        <v>5.65</v>
      </c>
      <c r="Y11">
        <f t="shared" si="1"/>
        <v>0.4035398230088495</v>
      </c>
    </row>
    <row r="12" spans="1:25" x14ac:dyDescent="0.25">
      <c r="A12" t="s">
        <v>19</v>
      </c>
      <c r="B12" s="2">
        <v>2005</v>
      </c>
      <c r="C12" t="s">
        <v>20</v>
      </c>
      <c r="E12" t="s">
        <v>21</v>
      </c>
      <c r="F12" t="s">
        <v>22</v>
      </c>
      <c r="N12">
        <v>0</v>
      </c>
      <c r="P12" t="s">
        <v>23</v>
      </c>
      <c r="Q12" t="s">
        <v>24</v>
      </c>
      <c r="R12" t="s">
        <v>25</v>
      </c>
      <c r="S12" s="1">
        <v>81779000</v>
      </c>
      <c r="U12" s="1">
        <v>75117000</v>
      </c>
      <c r="V12" s="1">
        <f t="shared" si="0"/>
        <v>6662000</v>
      </c>
      <c r="W12" s="22">
        <v>1.96</v>
      </c>
      <c r="X12" s="18">
        <v>5.95</v>
      </c>
      <c r="Y12">
        <f t="shared" si="1"/>
        <v>0.32941176470588235</v>
      </c>
    </row>
    <row r="13" spans="1:25" x14ac:dyDescent="0.25">
      <c r="A13" t="s">
        <v>19</v>
      </c>
      <c r="B13" s="2">
        <v>2004</v>
      </c>
      <c r="C13" t="s">
        <v>20</v>
      </c>
      <c r="E13" t="s">
        <v>21</v>
      </c>
      <c r="F13" t="s">
        <v>22</v>
      </c>
      <c r="N13">
        <v>0</v>
      </c>
      <c r="P13" t="s">
        <v>23</v>
      </c>
      <c r="Q13" t="s">
        <v>24</v>
      </c>
      <c r="R13" t="s">
        <v>25</v>
      </c>
      <c r="S13" s="1">
        <v>80929000</v>
      </c>
      <c r="U13" s="1">
        <v>73631000</v>
      </c>
      <c r="V13" s="1">
        <f t="shared" si="0"/>
        <v>7298000</v>
      </c>
      <c r="W13" s="22">
        <v>2.4700000000000002</v>
      </c>
      <c r="X13" s="18">
        <v>7.56</v>
      </c>
      <c r="Y13">
        <f t="shared" si="1"/>
        <v>0.32671957671957674</v>
      </c>
    </row>
    <row r="14" spans="1:25" x14ac:dyDescent="0.25">
      <c r="A14" t="s">
        <v>19</v>
      </c>
      <c r="B14" s="2">
        <v>2003</v>
      </c>
      <c r="C14" t="s">
        <v>20</v>
      </c>
      <c r="E14" t="s">
        <v>21</v>
      </c>
      <c r="F14" t="s">
        <v>22</v>
      </c>
      <c r="N14">
        <v>0</v>
      </c>
      <c r="P14" t="s">
        <v>23</v>
      </c>
      <c r="Q14" t="s">
        <v>24</v>
      </c>
      <c r="R14" t="s">
        <v>25</v>
      </c>
      <c r="S14" s="1">
        <v>78603000</v>
      </c>
      <c r="U14" s="1">
        <v>70944000</v>
      </c>
      <c r="V14" s="1">
        <f t="shared" si="0"/>
        <v>7659000</v>
      </c>
      <c r="W14" s="22">
        <v>2.27</v>
      </c>
      <c r="X14" s="18">
        <v>6.08</v>
      </c>
      <c r="Y14">
        <f t="shared" si="1"/>
        <v>0.37335526315789475</v>
      </c>
    </row>
    <row r="15" spans="1:25" x14ac:dyDescent="0.25">
      <c r="A15" t="s">
        <v>19</v>
      </c>
      <c r="B15" s="2">
        <v>2002</v>
      </c>
      <c r="C15" t="s">
        <v>20</v>
      </c>
      <c r="E15" t="s">
        <v>21</v>
      </c>
      <c r="F15" t="s">
        <v>22</v>
      </c>
      <c r="N15">
        <v>0</v>
      </c>
      <c r="P15" t="s">
        <v>23</v>
      </c>
      <c r="Q15" t="s">
        <v>24</v>
      </c>
      <c r="R15" t="s">
        <v>25</v>
      </c>
      <c r="S15" s="1">
        <v>78894000</v>
      </c>
      <c r="U15" s="1">
        <v>69330000</v>
      </c>
      <c r="V15" s="1">
        <f t="shared" si="0"/>
        <v>9564000</v>
      </c>
      <c r="W15" s="22">
        <v>2.13</v>
      </c>
      <c r="X15" s="18">
        <v>4.93</v>
      </c>
      <c r="Y15">
        <f t="shared" si="1"/>
        <v>0.43204868154158216</v>
      </c>
    </row>
    <row r="16" spans="1:25" x14ac:dyDescent="0.25">
      <c r="A16" t="s">
        <v>19</v>
      </c>
      <c r="B16" s="2">
        <v>2001</v>
      </c>
      <c r="C16" t="s">
        <v>20</v>
      </c>
      <c r="E16" t="s">
        <v>21</v>
      </c>
      <c r="F16" t="s">
        <v>22</v>
      </c>
      <c r="N16">
        <v>0</v>
      </c>
      <c r="P16" t="s">
        <v>23</v>
      </c>
      <c r="Q16" t="s">
        <v>24</v>
      </c>
      <c r="R16" t="s">
        <v>25</v>
      </c>
      <c r="S16" s="1">
        <v>75702000</v>
      </c>
      <c r="U16" s="1">
        <v>68768000</v>
      </c>
      <c r="V16" s="1">
        <f t="shared" si="0"/>
        <v>6934000</v>
      </c>
      <c r="W16" s="22">
        <v>1.89</v>
      </c>
      <c r="X16" s="18">
        <v>4.43</v>
      </c>
      <c r="Y16">
        <f t="shared" si="1"/>
        <v>0.42663656884875845</v>
      </c>
    </row>
    <row r="17" spans="1:25" x14ac:dyDescent="0.25">
      <c r="A17" t="s">
        <v>19</v>
      </c>
      <c r="B17" s="2">
        <v>2000</v>
      </c>
      <c r="C17" t="s">
        <v>20</v>
      </c>
      <c r="E17" t="s">
        <v>21</v>
      </c>
      <c r="F17" t="s">
        <v>22</v>
      </c>
      <c r="N17">
        <v>0</v>
      </c>
      <c r="P17" t="s">
        <v>23</v>
      </c>
      <c r="Q17" t="s">
        <v>24</v>
      </c>
      <c r="R17" t="s">
        <v>25</v>
      </c>
      <c r="S17" s="1">
        <v>79551000</v>
      </c>
      <c r="U17" s="1">
        <v>72440000</v>
      </c>
      <c r="V17" s="1">
        <f t="shared" si="0"/>
        <v>7111000</v>
      </c>
      <c r="W17" s="22">
        <v>1.86</v>
      </c>
      <c r="X17" s="19">
        <v>4.7300000000000004</v>
      </c>
      <c r="Y17">
        <f t="shared" si="1"/>
        <v>0.39323467230443976</v>
      </c>
    </row>
    <row r="18" spans="1:25" x14ac:dyDescent="0.25">
      <c r="A18" t="s">
        <v>19</v>
      </c>
      <c r="B18" s="2">
        <v>1999</v>
      </c>
      <c r="C18" t="s">
        <v>20</v>
      </c>
      <c r="E18" t="s">
        <v>21</v>
      </c>
      <c r="F18" t="s">
        <v>22</v>
      </c>
      <c r="N18">
        <v>0</v>
      </c>
      <c r="P18" t="s">
        <v>23</v>
      </c>
      <c r="Q18" t="s">
        <v>24</v>
      </c>
      <c r="R18" t="s">
        <v>25</v>
      </c>
      <c r="S18" s="1">
        <v>77386000</v>
      </c>
      <c r="U18" s="1">
        <v>70487000</v>
      </c>
      <c r="V18" s="1">
        <f t="shared" si="0"/>
        <v>6899000</v>
      </c>
      <c r="W18" s="22">
        <v>1.89</v>
      </c>
    </row>
    <row r="19" spans="1:25" x14ac:dyDescent="0.25">
      <c r="A19" t="s">
        <v>19</v>
      </c>
      <c r="B19" s="2">
        <v>1998</v>
      </c>
      <c r="C19" t="s">
        <v>20</v>
      </c>
      <c r="E19" t="s">
        <v>21</v>
      </c>
      <c r="F19" t="s">
        <v>22</v>
      </c>
      <c r="N19">
        <v>0</v>
      </c>
      <c r="P19" t="s">
        <v>23</v>
      </c>
      <c r="Q19" t="s">
        <v>24</v>
      </c>
      <c r="R19" t="s">
        <v>25</v>
      </c>
      <c r="S19" s="1">
        <v>80165000</v>
      </c>
      <c r="U19" s="1">
        <v>72589000</v>
      </c>
      <c r="V19" s="1">
        <f t="shared" si="0"/>
        <v>7576000</v>
      </c>
      <c r="W19" s="22">
        <v>2.2000000000000002</v>
      </c>
    </row>
    <row r="20" spans="1:25" x14ac:dyDescent="0.25">
      <c r="A20" t="s">
        <v>19</v>
      </c>
      <c r="B20" s="2">
        <v>1997</v>
      </c>
      <c r="C20" t="s">
        <v>20</v>
      </c>
      <c r="E20" t="s">
        <v>21</v>
      </c>
      <c r="F20" t="s">
        <v>22</v>
      </c>
      <c r="N20">
        <v>0</v>
      </c>
      <c r="P20" t="s">
        <v>23</v>
      </c>
      <c r="Q20" t="s">
        <v>24</v>
      </c>
      <c r="R20" t="s">
        <v>25</v>
      </c>
      <c r="S20" s="1">
        <v>79537000</v>
      </c>
      <c r="U20" s="1">
        <v>72671000</v>
      </c>
      <c r="V20" s="1">
        <f t="shared" si="0"/>
        <v>6866000</v>
      </c>
      <c r="W20" s="22">
        <v>2.6</v>
      </c>
    </row>
    <row r="21" spans="1:25" x14ac:dyDescent="0.25">
      <c r="A21" t="s">
        <v>19</v>
      </c>
      <c r="B21" s="2">
        <v>1996</v>
      </c>
      <c r="C21" t="s">
        <v>20</v>
      </c>
      <c r="E21" t="s">
        <v>21</v>
      </c>
      <c r="F21" t="s">
        <v>22</v>
      </c>
      <c r="N21">
        <v>0</v>
      </c>
      <c r="P21" t="s">
        <v>23</v>
      </c>
      <c r="Q21" t="s">
        <v>24</v>
      </c>
      <c r="R21" t="s">
        <v>25</v>
      </c>
      <c r="S21" s="1">
        <v>79229000</v>
      </c>
      <c r="U21" s="1">
        <v>72644000</v>
      </c>
      <c r="V21" s="1">
        <f t="shared" si="0"/>
        <v>6585000</v>
      </c>
      <c r="W21" s="23">
        <v>3.55</v>
      </c>
    </row>
    <row r="22" spans="1:25" x14ac:dyDescent="0.25">
      <c r="A22" t="s">
        <v>19</v>
      </c>
      <c r="B22" s="2">
        <v>1995</v>
      </c>
      <c r="C22" t="s">
        <v>20</v>
      </c>
      <c r="E22" t="s">
        <v>21</v>
      </c>
      <c r="F22" t="s">
        <v>22</v>
      </c>
      <c r="N22">
        <v>0</v>
      </c>
      <c r="P22" t="s">
        <v>23</v>
      </c>
      <c r="Q22" t="s">
        <v>24</v>
      </c>
      <c r="R22" t="s">
        <v>25</v>
      </c>
      <c r="S22" s="1">
        <v>71479000</v>
      </c>
      <c r="U22" s="1">
        <v>65210000</v>
      </c>
      <c r="V22" s="1">
        <f t="shared" si="0"/>
        <v>6269000</v>
      </c>
    </row>
    <row r="23" spans="1:25" x14ac:dyDescent="0.25">
      <c r="A23" t="s">
        <v>19</v>
      </c>
      <c r="B23" s="2">
        <v>1994</v>
      </c>
      <c r="C23" t="s">
        <v>20</v>
      </c>
      <c r="E23" t="s">
        <v>21</v>
      </c>
      <c r="F23" t="s">
        <v>22</v>
      </c>
      <c r="N23">
        <v>0</v>
      </c>
      <c r="P23" t="s">
        <v>23</v>
      </c>
      <c r="Q23" t="s">
        <v>24</v>
      </c>
      <c r="R23" t="s">
        <v>25</v>
      </c>
      <c r="S23" s="1">
        <v>78921000</v>
      </c>
      <c r="U23" s="1">
        <v>72514000</v>
      </c>
      <c r="V23" s="1">
        <f t="shared" si="0"/>
        <v>6407000</v>
      </c>
    </row>
    <row r="24" spans="1:25" x14ac:dyDescent="0.25">
      <c r="A24" t="s">
        <v>19</v>
      </c>
      <c r="B24" s="2">
        <v>1993</v>
      </c>
      <c r="C24" t="s">
        <v>20</v>
      </c>
      <c r="E24" t="s">
        <v>21</v>
      </c>
      <c r="F24" t="s">
        <v>22</v>
      </c>
      <c r="N24">
        <v>0</v>
      </c>
      <c r="P24" t="s">
        <v>23</v>
      </c>
      <c r="Q24" t="s">
        <v>24</v>
      </c>
      <c r="R24" t="s">
        <v>25</v>
      </c>
      <c r="S24" s="1">
        <v>73239000</v>
      </c>
      <c r="U24" s="1">
        <v>62933000</v>
      </c>
      <c r="V24" s="1">
        <f t="shared" si="0"/>
        <v>10306000</v>
      </c>
    </row>
    <row r="25" spans="1:25" x14ac:dyDescent="0.25">
      <c r="A25" t="s">
        <v>19</v>
      </c>
      <c r="B25" s="2">
        <v>1992</v>
      </c>
      <c r="C25" t="s">
        <v>20</v>
      </c>
      <c r="E25" t="s">
        <v>21</v>
      </c>
      <c r="F25" t="s">
        <v>22</v>
      </c>
      <c r="N25">
        <v>0</v>
      </c>
      <c r="P25" t="s">
        <v>23</v>
      </c>
      <c r="Q25" t="s">
        <v>24</v>
      </c>
      <c r="R25" t="s">
        <v>25</v>
      </c>
      <c r="S25" s="1">
        <v>79311000</v>
      </c>
      <c r="U25" s="1">
        <v>72077000</v>
      </c>
      <c r="V25" s="1">
        <f t="shared" si="0"/>
        <v>7234000</v>
      </c>
    </row>
    <row r="26" spans="1:25" x14ac:dyDescent="0.25">
      <c r="A26" t="s">
        <v>19</v>
      </c>
      <c r="B26" s="2">
        <v>1991</v>
      </c>
      <c r="C26" t="s">
        <v>20</v>
      </c>
      <c r="E26" t="s">
        <v>21</v>
      </c>
      <c r="F26" t="s">
        <v>22</v>
      </c>
      <c r="N26">
        <v>0</v>
      </c>
      <c r="P26" t="s">
        <v>23</v>
      </c>
      <c r="Q26" t="s">
        <v>24</v>
      </c>
      <c r="R26" t="s">
        <v>25</v>
      </c>
      <c r="S26" s="1">
        <v>75957000</v>
      </c>
      <c r="U26" s="1">
        <v>68822000</v>
      </c>
      <c r="V26" s="1">
        <f t="shared" si="0"/>
        <v>7135000</v>
      </c>
    </row>
    <row r="27" spans="1:25" x14ac:dyDescent="0.25">
      <c r="A27" t="s">
        <v>19</v>
      </c>
      <c r="B27" s="2">
        <v>1990</v>
      </c>
      <c r="C27" t="s">
        <v>20</v>
      </c>
      <c r="E27" t="s">
        <v>21</v>
      </c>
      <c r="F27" t="s">
        <v>22</v>
      </c>
      <c r="N27">
        <v>0</v>
      </c>
      <c r="P27" t="s">
        <v>23</v>
      </c>
      <c r="Q27" t="s">
        <v>24</v>
      </c>
      <c r="R27" t="s">
        <v>25</v>
      </c>
      <c r="S27" s="1">
        <v>74166000</v>
      </c>
      <c r="U27" s="1">
        <v>66952000</v>
      </c>
      <c r="V27" s="1">
        <f t="shared" si="0"/>
        <v>7214000</v>
      </c>
    </row>
    <row r="28" spans="1:25" x14ac:dyDescent="0.25">
      <c r="A28" t="s">
        <v>19</v>
      </c>
      <c r="B28" s="2">
        <v>1989</v>
      </c>
      <c r="C28" t="s">
        <v>20</v>
      </c>
      <c r="E28" t="s">
        <v>21</v>
      </c>
      <c r="F28" t="s">
        <v>22</v>
      </c>
      <c r="N28">
        <v>0</v>
      </c>
      <c r="P28" t="s">
        <v>23</v>
      </c>
      <c r="Q28" t="s">
        <v>24</v>
      </c>
      <c r="R28" t="s">
        <v>25</v>
      </c>
      <c r="S28" s="1">
        <v>72322000</v>
      </c>
      <c r="U28" s="1">
        <v>64783000</v>
      </c>
      <c r="V28" s="1">
        <f t="shared" si="0"/>
        <v>7539000</v>
      </c>
    </row>
    <row r="29" spans="1:25" x14ac:dyDescent="0.25">
      <c r="A29" t="s">
        <v>19</v>
      </c>
      <c r="B29" s="2">
        <v>1988</v>
      </c>
      <c r="C29" t="s">
        <v>20</v>
      </c>
      <c r="E29" t="s">
        <v>21</v>
      </c>
      <c r="F29" t="s">
        <v>22</v>
      </c>
      <c r="N29">
        <v>0</v>
      </c>
      <c r="P29" t="s">
        <v>23</v>
      </c>
      <c r="Q29" t="s">
        <v>24</v>
      </c>
      <c r="R29" t="s">
        <v>25</v>
      </c>
      <c r="S29" s="1">
        <v>67717000</v>
      </c>
      <c r="U29" s="1">
        <v>58250000</v>
      </c>
      <c r="V29" s="1">
        <f t="shared" si="0"/>
        <v>9467000</v>
      </c>
    </row>
    <row r="30" spans="1:25" x14ac:dyDescent="0.25">
      <c r="A30" t="s">
        <v>19</v>
      </c>
      <c r="B30" s="2">
        <v>1987</v>
      </c>
      <c r="C30" t="s">
        <v>20</v>
      </c>
      <c r="E30" t="s">
        <v>21</v>
      </c>
      <c r="F30" t="s">
        <v>22</v>
      </c>
      <c r="N30">
        <v>0</v>
      </c>
      <c r="P30" t="s">
        <v>23</v>
      </c>
      <c r="Q30" t="s">
        <v>24</v>
      </c>
      <c r="R30" t="s">
        <v>25</v>
      </c>
      <c r="S30" s="1">
        <v>66200000</v>
      </c>
      <c r="U30" s="1">
        <v>59505000</v>
      </c>
      <c r="V30" s="1">
        <f t="shared" si="0"/>
        <v>6695000</v>
      </c>
    </row>
    <row r="31" spans="1:25" x14ac:dyDescent="0.25">
      <c r="A31" t="s">
        <v>19</v>
      </c>
      <c r="B31" s="2">
        <v>1986</v>
      </c>
      <c r="C31" t="s">
        <v>20</v>
      </c>
      <c r="E31" t="s">
        <v>21</v>
      </c>
      <c r="F31" t="s">
        <v>22</v>
      </c>
      <c r="N31">
        <v>0</v>
      </c>
      <c r="P31" t="s">
        <v>23</v>
      </c>
      <c r="Q31" t="s">
        <v>24</v>
      </c>
      <c r="R31" t="s">
        <v>25</v>
      </c>
      <c r="S31" s="1">
        <v>76580000</v>
      </c>
      <c r="U31" s="1">
        <v>68907000</v>
      </c>
      <c r="V31" s="1">
        <f t="shared" si="0"/>
        <v>7673000</v>
      </c>
    </row>
    <row r="32" spans="1:25" x14ac:dyDescent="0.25">
      <c r="A32" t="s">
        <v>19</v>
      </c>
      <c r="B32" s="2">
        <v>1985</v>
      </c>
      <c r="C32" t="s">
        <v>20</v>
      </c>
      <c r="E32" t="s">
        <v>21</v>
      </c>
      <c r="F32" t="s">
        <v>22</v>
      </c>
      <c r="N32">
        <v>0</v>
      </c>
      <c r="P32" t="s">
        <v>23</v>
      </c>
      <c r="Q32" t="s">
        <v>24</v>
      </c>
      <c r="R32" t="s">
        <v>25</v>
      </c>
      <c r="S32" s="1">
        <v>83398000</v>
      </c>
      <c r="U32" s="1">
        <v>75209000</v>
      </c>
      <c r="V32" s="1">
        <f t="shared" si="0"/>
        <v>8189000</v>
      </c>
    </row>
    <row r="33" spans="1:22" x14ac:dyDescent="0.25">
      <c r="A33" t="s">
        <v>19</v>
      </c>
      <c r="B33" s="2">
        <v>1984</v>
      </c>
      <c r="C33" t="s">
        <v>20</v>
      </c>
      <c r="E33" t="s">
        <v>21</v>
      </c>
      <c r="F33" t="s">
        <v>22</v>
      </c>
      <c r="N33">
        <v>0</v>
      </c>
      <c r="P33" t="s">
        <v>23</v>
      </c>
      <c r="Q33" t="s">
        <v>24</v>
      </c>
      <c r="R33" t="s">
        <v>25</v>
      </c>
      <c r="S33" s="1">
        <v>80517000</v>
      </c>
      <c r="U33" s="1">
        <v>71897000</v>
      </c>
      <c r="V33" s="1">
        <f t="shared" si="0"/>
        <v>8620000</v>
      </c>
    </row>
    <row r="34" spans="1:22" x14ac:dyDescent="0.25">
      <c r="A34" t="s">
        <v>19</v>
      </c>
      <c r="B34" s="2">
        <v>1983</v>
      </c>
      <c r="C34" t="s">
        <v>20</v>
      </c>
      <c r="E34" t="s">
        <v>21</v>
      </c>
      <c r="F34" t="s">
        <v>22</v>
      </c>
      <c r="N34">
        <v>0</v>
      </c>
      <c r="P34" t="s">
        <v>23</v>
      </c>
      <c r="Q34" t="s">
        <v>24</v>
      </c>
      <c r="R34" t="s">
        <v>25</v>
      </c>
      <c r="S34" s="1">
        <v>60207000</v>
      </c>
      <c r="U34" s="1">
        <v>51479000</v>
      </c>
      <c r="V34" s="1">
        <f t="shared" si="0"/>
        <v>8728000</v>
      </c>
    </row>
    <row r="35" spans="1:22" x14ac:dyDescent="0.25">
      <c r="A35" t="s">
        <v>19</v>
      </c>
      <c r="B35" s="2">
        <v>1982</v>
      </c>
      <c r="C35" t="s">
        <v>20</v>
      </c>
      <c r="E35" t="s">
        <v>21</v>
      </c>
      <c r="F35" t="s">
        <v>22</v>
      </c>
      <c r="N35">
        <v>0</v>
      </c>
      <c r="P35" t="s">
        <v>23</v>
      </c>
      <c r="Q35" t="s">
        <v>24</v>
      </c>
      <c r="R35" t="s">
        <v>25</v>
      </c>
      <c r="S35" s="1">
        <v>81857000</v>
      </c>
      <c r="U35" s="1">
        <v>72719000</v>
      </c>
      <c r="V35" s="1">
        <f t="shared" si="0"/>
        <v>9138000</v>
      </c>
    </row>
    <row r="36" spans="1:22" x14ac:dyDescent="0.25">
      <c r="A36" t="s">
        <v>19</v>
      </c>
      <c r="B36" s="2">
        <v>1981</v>
      </c>
      <c r="C36" t="s">
        <v>20</v>
      </c>
      <c r="E36" t="s">
        <v>21</v>
      </c>
      <c r="F36" t="s">
        <v>22</v>
      </c>
      <c r="N36">
        <v>0</v>
      </c>
      <c r="P36" t="s">
        <v>23</v>
      </c>
      <c r="Q36" t="s">
        <v>24</v>
      </c>
      <c r="R36" t="s">
        <v>25</v>
      </c>
      <c r="S36" s="1">
        <v>84097000</v>
      </c>
      <c r="U36" s="1">
        <v>74524000</v>
      </c>
      <c r="V36" s="1">
        <f t="shared" si="0"/>
        <v>9573000</v>
      </c>
    </row>
    <row r="37" spans="1:22" x14ac:dyDescent="0.25">
      <c r="A37" t="s">
        <v>19</v>
      </c>
      <c r="B37" s="2">
        <v>1980</v>
      </c>
      <c r="C37" t="s">
        <v>20</v>
      </c>
      <c r="E37" t="s">
        <v>21</v>
      </c>
      <c r="F37" t="s">
        <v>22</v>
      </c>
      <c r="N37">
        <v>0</v>
      </c>
      <c r="P37" t="s">
        <v>23</v>
      </c>
      <c r="Q37" t="s">
        <v>24</v>
      </c>
      <c r="R37" t="s">
        <v>25</v>
      </c>
      <c r="S37" s="1">
        <v>84043000</v>
      </c>
      <c r="U37" s="1">
        <v>72961000</v>
      </c>
      <c r="V37" s="1">
        <f t="shared" si="0"/>
        <v>11082000</v>
      </c>
    </row>
    <row r="38" spans="1:22" x14ac:dyDescent="0.25">
      <c r="A38" t="s">
        <v>19</v>
      </c>
      <c r="B38" s="2">
        <v>1979</v>
      </c>
      <c r="C38" t="s">
        <v>20</v>
      </c>
      <c r="E38" t="s">
        <v>21</v>
      </c>
      <c r="F38" t="s">
        <v>22</v>
      </c>
      <c r="N38">
        <v>0</v>
      </c>
      <c r="P38" t="s">
        <v>23</v>
      </c>
      <c r="Q38" t="s">
        <v>24</v>
      </c>
      <c r="R38" t="s">
        <v>25</v>
      </c>
      <c r="S38" s="1">
        <v>81394000</v>
      </c>
      <c r="U38" s="1">
        <v>72400000</v>
      </c>
      <c r="V38" s="1">
        <f t="shared" si="0"/>
        <v>8994000</v>
      </c>
    </row>
    <row r="39" spans="1:22" x14ac:dyDescent="0.25">
      <c r="A39" t="s">
        <v>19</v>
      </c>
      <c r="B39" s="2">
        <v>1978</v>
      </c>
      <c r="C39" t="s">
        <v>20</v>
      </c>
      <c r="E39" t="s">
        <v>21</v>
      </c>
      <c r="F39" t="s">
        <v>22</v>
      </c>
      <c r="N39">
        <v>0</v>
      </c>
      <c r="P39" t="s">
        <v>23</v>
      </c>
      <c r="Q39" t="s">
        <v>24</v>
      </c>
      <c r="R39" t="s">
        <v>25</v>
      </c>
      <c r="S39" s="1">
        <v>81675000</v>
      </c>
      <c r="U39" s="1">
        <v>71930000</v>
      </c>
      <c r="V39" s="1">
        <f t="shared" si="0"/>
        <v>9745000</v>
      </c>
    </row>
    <row r="40" spans="1:22" x14ac:dyDescent="0.25">
      <c r="A40" t="s">
        <v>19</v>
      </c>
      <c r="B40" s="2">
        <v>1977</v>
      </c>
      <c r="C40" t="s">
        <v>20</v>
      </c>
      <c r="E40" t="s">
        <v>21</v>
      </c>
      <c r="F40" t="s">
        <v>22</v>
      </c>
      <c r="N40">
        <v>0</v>
      </c>
      <c r="P40" t="s">
        <v>23</v>
      </c>
      <c r="Q40" t="s">
        <v>24</v>
      </c>
      <c r="R40" t="s">
        <v>25</v>
      </c>
      <c r="S40" s="1">
        <v>84328000</v>
      </c>
      <c r="U40" s="1">
        <v>71614000</v>
      </c>
      <c r="V40" s="1">
        <f t="shared" si="0"/>
        <v>12714000</v>
      </c>
    </row>
    <row r="41" spans="1:22" x14ac:dyDescent="0.25">
      <c r="A41" t="s">
        <v>19</v>
      </c>
      <c r="B41" s="2">
        <v>1976</v>
      </c>
      <c r="C41" t="s">
        <v>20</v>
      </c>
      <c r="E41" t="s">
        <v>21</v>
      </c>
      <c r="F41" t="s">
        <v>22</v>
      </c>
      <c r="N41">
        <v>0</v>
      </c>
      <c r="P41" t="s">
        <v>23</v>
      </c>
      <c r="Q41" t="s">
        <v>24</v>
      </c>
      <c r="R41" t="s">
        <v>25</v>
      </c>
      <c r="S41" s="1">
        <v>84588000</v>
      </c>
      <c r="U41" s="1">
        <v>71506000</v>
      </c>
      <c r="V41" s="1">
        <f t="shared" si="0"/>
        <v>13082000</v>
      </c>
    </row>
    <row r="42" spans="1:22" x14ac:dyDescent="0.25">
      <c r="A42" t="s">
        <v>19</v>
      </c>
      <c r="B42" s="2">
        <v>1975</v>
      </c>
      <c r="C42" t="s">
        <v>20</v>
      </c>
      <c r="E42" t="s">
        <v>21</v>
      </c>
      <c r="F42" t="s">
        <v>22</v>
      </c>
      <c r="N42">
        <v>0</v>
      </c>
      <c r="P42" t="s">
        <v>23</v>
      </c>
      <c r="Q42" t="s">
        <v>24</v>
      </c>
      <c r="R42" t="s">
        <v>25</v>
      </c>
      <c r="S42" s="1">
        <v>78719000</v>
      </c>
      <c r="U42" s="1">
        <v>67625000</v>
      </c>
      <c r="V42" s="1">
        <f t="shared" si="0"/>
        <v>11094000</v>
      </c>
    </row>
    <row r="43" spans="1:22" x14ac:dyDescent="0.25">
      <c r="A43" t="s">
        <v>19</v>
      </c>
      <c r="B43" s="2">
        <v>1974</v>
      </c>
      <c r="C43" t="s">
        <v>20</v>
      </c>
      <c r="E43" t="s">
        <v>21</v>
      </c>
      <c r="F43" t="s">
        <v>22</v>
      </c>
      <c r="N43">
        <v>0</v>
      </c>
      <c r="P43" t="s">
        <v>23</v>
      </c>
      <c r="Q43" t="s">
        <v>24</v>
      </c>
      <c r="R43" t="s">
        <v>25</v>
      </c>
      <c r="S43" s="1">
        <v>77935000</v>
      </c>
      <c r="U43" s="1">
        <v>65405000</v>
      </c>
      <c r="V43" s="1">
        <f t="shared" si="0"/>
        <v>12530000</v>
      </c>
    </row>
    <row r="44" spans="1:22" x14ac:dyDescent="0.25">
      <c r="A44" t="s">
        <v>19</v>
      </c>
      <c r="B44" s="2">
        <v>1973</v>
      </c>
      <c r="C44" t="s">
        <v>20</v>
      </c>
      <c r="E44" t="s">
        <v>21</v>
      </c>
      <c r="F44" t="s">
        <v>22</v>
      </c>
      <c r="N44">
        <v>0</v>
      </c>
      <c r="P44" t="s">
        <v>23</v>
      </c>
      <c r="Q44" t="s">
        <v>24</v>
      </c>
      <c r="R44" t="s">
        <v>25</v>
      </c>
      <c r="S44" s="1">
        <v>72253000</v>
      </c>
      <c r="U44" s="1">
        <v>62143000</v>
      </c>
      <c r="V44" s="1">
        <f t="shared" si="0"/>
        <v>10110000</v>
      </c>
    </row>
    <row r="45" spans="1:22" x14ac:dyDescent="0.25">
      <c r="A45" t="s">
        <v>19</v>
      </c>
      <c r="B45" s="2">
        <v>1972</v>
      </c>
      <c r="C45" t="s">
        <v>20</v>
      </c>
      <c r="E45" t="s">
        <v>21</v>
      </c>
      <c r="F45" t="s">
        <v>22</v>
      </c>
      <c r="N45">
        <v>0</v>
      </c>
      <c r="P45" t="s">
        <v>23</v>
      </c>
      <c r="Q45" t="s">
        <v>24</v>
      </c>
      <c r="R45" t="s">
        <v>25</v>
      </c>
      <c r="S45" s="1">
        <v>67126000</v>
      </c>
      <c r="U45" s="1">
        <v>57513000</v>
      </c>
      <c r="V45" s="1">
        <f t="shared" si="0"/>
        <v>9613000</v>
      </c>
    </row>
    <row r="46" spans="1:22" x14ac:dyDescent="0.25">
      <c r="A46" t="s">
        <v>19</v>
      </c>
      <c r="B46" s="2">
        <v>1971</v>
      </c>
      <c r="C46" t="s">
        <v>20</v>
      </c>
      <c r="E46" t="s">
        <v>21</v>
      </c>
      <c r="F46" t="s">
        <v>22</v>
      </c>
      <c r="N46">
        <v>0</v>
      </c>
      <c r="P46" t="s">
        <v>23</v>
      </c>
      <c r="Q46" t="s">
        <v>24</v>
      </c>
      <c r="R46" t="s">
        <v>25</v>
      </c>
      <c r="S46" s="1">
        <v>74179000</v>
      </c>
      <c r="U46" s="1">
        <v>64123000</v>
      </c>
      <c r="V46" s="1">
        <f t="shared" si="0"/>
        <v>10056000</v>
      </c>
    </row>
    <row r="47" spans="1:22" x14ac:dyDescent="0.25">
      <c r="A47" t="s">
        <v>19</v>
      </c>
      <c r="B47" s="2">
        <v>1970</v>
      </c>
      <c r="C47" t="s">
        <v>20</v>
      </c>
      <c r="E47" t="s">
        <v>21</v>
      </c>
      <c r="F47" t="s">
        <v>22</v>
      </c>
      <c r="N47">
        <v>0</v>
      </c>
      <c r="P47" t="s">
        <v>23</v>
      </c>
      <c r="Q47" t="s">
        <v>24</v>
      </c>
      <c r="R47" t="s">
        <v>25</v>
      </c>
      <c r="S47" s="1">
        <v>66863000</v>
      </c>
      <c r="U47" s="1">
        <v>57358000</v>
      </c>
      <c r="V47" s="1">
        <f t="shared" si="0"/>
        <v>9505000</v>
      </c>
    </row>
    <row r="48" spans="1:22" x14ac:dyDescent="0.25">
      <c r="A48" t="s">
        <v>19</v>
      </c>
      <c r="B48" s="2">
        <v>1969</v>
      </c>
      <c r="C48" t="s">
        <v>20</v>
      </c>
      <c r="E48" t="s">
        <v>21</v>
      </c>
      <c r="F48" t="s">
        <v>22</v>
      </c>
      <c r="N48">
        <v>0</v>
      </c>
      <c r="P48" t="s">
        <v>23</v>
      </c>
      <c r="Q48" t="s">
        <v>24</v>
      </c>
      <c r="R48" t="s">
        <v>25</v>
      </c>
      <c r="S48" s="1">
        <v>64264000</v>
      </c>
      <c r="U48" s="1">
        <v>54574000</v>
      </c>
      <c r="V48" s="1">
        <f t="shared" si="0"/>
        <v>9690000</v>
      </c>
    </row>
    <row r="49" spans="1:22" x14ac:dyDescent="0.25">
      <c r="A49" t="s">
        <v>19</v>
      </c>
      <c r="B49" s="2">
        <v>1968</v>
      </c>
      <c r="C49" t="s">
        <v>20</v>
      </c>
      <c r="E49" t="s">
        <v>21</v>
      </c>
      <c r="F49" t="s">
        <v>22</v>
      </c>
      <c r="N49">
        <v>0</v>
      </c>
      <c r="P49" t="s">
        <v>23</v>
      </c>
      <c r="Q49" t="s">
        <v>24</v>
      </c>
      <c r="R49" t="s">
        <v>25</v>
      </c>
      <c r="S49" s="1">
        <v>65126000</v>
      </c>
      <c r="U49" s="1">
        <v>55980000</v>
      </c>
      <c r="V49" s="1">
        <f t="shared" si="0"/>
        <v>9146000</v>
      </c>
    </row>
    <row r="50" spans="1:22" x14ac:dyDescent="0.25">
      <c r="A50" t="s">
        <v>19</v>
      </c>
      <c r="B50" s="2">
        <v>1967</v>
      </c>
      <c r="C50" t="s">
        <v>20</v>
      </c>
      <c r="E50" t="s">
        <v>21</v>
      </c>
      <c r="F50" t="s">
        <v>22</v>
      </c>
      <c r="N50">
        <v>0</v>
      </c>
      <c r="P50" t="s">
        <v>23</v>
      </c>
      <c r="Q50" t="s">
        <v>24</v>
      </c>
      <c r="R50" t="s">
        <v>25</v>
      </c>
      <c r="S50" s="1">
        <v>71156000</v>
      </c>
      <c r="U50" s="1">
        <v>60694000</v>
      </c>
      <c r="V50" s="1">
        <f t="shared" si="0"/>
        <v>10462000</v>
      </c>
    </row>
    <row r="51" spans="1:22" x14ac:dyDescent="0.25">
      <c r="A51" t="s">
        <v>19</v>
      </c>
      <c r="B51" s="2">
        <v>1966</v>
      </c>
      <c r="C51" t="s">
        <v>20</v>
      </c>
      <c r="E51" t="s">
        <v>21</v>
      </c>
      <c r="F51" t="s">
        <v>22</v>
      </c>
      <c r="N51">
        <v>0</v>
      </c>
      <c r="P51" t="s">
        <v>23</v>
      </c>
      <c r="Q51" t="s">
        <v>24</v>
      </c>
      <c r="R51" t="s">
        <v>25</v>
      </c>
      <c r="S51" s="1">
        <v>66347000</v>
      </c>
      <c r="U51" s="1">
        <v>57002000</v>
      </c>
      <c r="V51" s="1">
        <f t="shared" si="0"/>
        <v>9345000</v>
      </c>
    </row>
    <row r="52" spans="1:22" x14ac:dyDescent="0.25">
      <c r="A52" t="s">
        <v>19</v>
      </c>
      <c r="B52" s="2">
        <v>1965</v>
      </c>
      <c r="C52" t="s">
        <v>20</v>
      </c>
      <c r="E52" t="s">
        <v>21</v>
      </c>
      <c r="F52" t="s">
        <v>22</v>
      </c>
      <c r="N52">
        <v>0</v>
      </c>
      <c r="P52" t="s">
        <v>23</v>
      </c>
      <c r="Q52" t="s">
        <v>24</v>
      </c>
      <c r="R52" t="s">
        <v>25</v>
      </c>
      <c r="S52" s="1">
        <v>65171000</v>
      </c>
      <c r="U52" s="1">
        <v>55392000</v>
      </c>
      <c r="V52" s="1">
        <f t="shared" si="0"/>
        <v>9779000</v>
      </c>
    </row>
    <row r="53" spans="1:22" x14ac:dyDescent="0.25">
      <c r="A53" t="s">
        <v>19</v>
      </c>
      <c r="B53" s="2">
        <v>1964</v>
      </c>
      <c r="C53" t="s">
        <v>20</v>
      </c>
      <c r="E53" t="s">
        <v>21</v>
      </c>
      <c r="F53" t="s">
        <v>22</v>
      </c>
      <c r="N53">
        <v>0</v>
      </c>
      <c r="P53" t="s">
        <v>23</v>
      </c>
      <c r="Q53" t="s">
        <v>24</v>
      </c>
      <c r="R53" t="s">
        <v>25</v>
      </c>
      <c r="S53" s="1">
        <v>65823000</v>
      </c>
      <c r="U53" s="1">
        <v>55369000</v>
      </c>
      <c r="V53" s="1">
        <f t="shared" si="0"/>
        <v>10454000</v>
      </c>
    </row>
    <row r="54" spans="1:22" x14ac:dyDescent="0.25">
      <c r="A54" t="s">
        <v>19</v>
      </c>
      <c r="B54" s="2">
        <v>1963</v>
      </c>
      <c r="C54" t="s">
        <v>20</v>
      </c>
      <c r="E54" t="s">
        <v>21</v>
      </c>
      <c r="F54" t="s">
        <v>22</v>
      </c>
      <c r="N54">
        <v>0</v>
      </c>
      <c r="P54" t="s">
        <v>23</v>
      </c>
      <c r="Q54" t="s">
        <v>24</v>
      </c>
      <c r="R54" t="s">
        <v>25</v>
      </c>
      <c r="S54" s="1">
        <v>68771000</v>
      </c>
      <c r="U54" s="1">
        <v>59227000</v>
      </c>
      <c r="V54" s="1">
        <f t="shared" si="0"/>
        <v>9544000</v>
      </c>
    </row>
    <row r="55" spans="1:22" x14ac:dyDescent="0.25">
      <c r="A55" t="s">
        <v>19</v>
      </c>
      <c r="B55" s="2">
        <v>1962</v>
      </c>
      <c r="C55" t="s">
        <v>20</v>
      </c>
      <c r="E55" t="s">
        <v>21</v>
      </c>
      <c r="F55" t="s">
        <v>22</v>
      </c>
      <c r="N55">
        <v>0</v>
      </c>
      <c r="P55" t="s">
        <v>23</v>
      </c>
      <c r="Q55" t="s">
        <v>24</v>
      </c>
      <c r="R55" t="s">
        <v>25</v>
      </c>
      <c r="S55" s="1">
        <v>65017000</v>
      </c>
      <c r="U55" s="1">
        <v>55726000</v>
      </c>
      <c r="V55" s="1">
        <f t="shared" si="0"/>
        <v>9291000</v>
      </c>
    </row>
    <row r="56" spans="1:22" x14ac:dyDescent="0.25">
      <c r="A56" t="s">
        <v>19</v>
      </c>
      <c r="B56" s="2">
        <v>1961</v>
      </c>
      <c r="C56" t="s">
        <v>20</v>
      </c>
      <c r="E56" t="s">
        <v>21</v>
      </c>
      <c r="F56" t="s">
        <v>22</v>
      </c>
      <c r="N56">
        <v>0</v>
      </c>
      <c r="P56" t="s">
        <v>23</v>
      </c>
      <c r="Q56" t="s">
        <v>24</v>
      </c>
      <c r="R56" t="s">
        <v>25</v>
      </c>
      <c r="S56" s="1">
        <v>65919000</v>
      </c>
      <c r="U56" s="1">
        <v>57634000</v>
      </c>
      <c r="V56" s="1">
        <f t="shared" si="0"/>
        <v>8285000</v>
      </c>
    </row>
    <row r="57" spans="1:22" x14ac:dyDescent="0.25">
      <c r="A57" t="s">
        <v>19</v>
      </c>
      <c r="B57" s="2">
        <v>1960</v>
      </c>
      <c r="C57" t="s">
        <v>20</v>
      </c>
      <c r="E57" t="s">
        <v>21</v>
      </c>
      <c r="F57" t="s">
        <v>22</v>
      </c>
      <c r="N57">
        <v>0</v>
      </c>
      <c r="P57" t="s">
        <v>23</v>
      </c>
      <c r="Q57" t="s">
        <v>24</v>
      </c>
      <c r="R57" t="s">
        <v>25</v>
      </c>
      <c r="S57" s="1">
        <v>81425000</v>
      </c>
      <c r="U57" s="1">
        <v>71422000</v>
      </c>
      <c r="V57" s="1">
        <f t="shared" si="0"/>
        <v>10003000</v>
      </c>
    </row>
    <row r="58" spans="1:22" x14ac:dyDescent="0.25">
      <c r="A58" t="s">
        <v>19</v>
      </c>
      <c r="B58" s="2">
        <v>1959</v>
      </c>
      <c r="C58" t="s">
        <v>20</v>
      </c>
      <c r="E58" t="s">
        <v>21</v>
      </c>
      <c r="F58" t="s">
        <v>22</v>
      </c>
      <c r="N58">
        <v>0</v>
      </c>
      <c r="P58" t="s">
        <v>23</v>
      </c>
      <c r="Q58" t="s">
        <v>24</v>
      </c>
      <c r="R58" t="s">
        <v>25</v>
      </c>
      <c r="S58" s="1">
        <v>82742000</v>
      </c>
      <c r="U58" s="1">
        <v>72091000</v>
      </c>
      <c r="V58" s="1">
        <f t="shared" si="0"/>
        <v>10651000</v>
      </c>
    </row>
    <row r="59" spans="1:22" x14ac:dyDescent="0.25">
      <c r="A59" t="s">
        <v>19</v>
      </c>
      <c r="B59" s="2">
        <v>1958</v>
      </c>
      <c r="C59" t="s">
        <v>20</v>
      </c>
      <c r="E59" t="s">
        <v>21</v>
      </c>
      <c r="F59" t="s">
        <v>22</v>
      </c>
      <c r="N59">
        <v>0</v>
      </c>
      <c r="P59" t="s">
        <v>23</v>
      </c>
      <c r="Q59" t="s">
        <v>24</v>
      </c>
      <c r="R59" t="s">
        <v>25</v>
      </c>
      <c r="S59" s="1">
        <v>73351000</v>
      </c>
      <c r="U59" s="1">
        <v>63549000</v>
      </c>
      <c r="V59" s="1">
        <f t="shared" si="0"/>
        <v>9802000</v>
      </c>
    </row>
    <row r="60" spans="1:22" x14ac:dyDescent="0.25">
      <c r="A60" t="s">
        <v>19</v>
      </c>
      <c r="B60" s="2">
        <v>1957</v>
      </c>
      <c r="C60" t="s">
        <v>20</v>
      </c>
      <c r="E60" t="s">
        <v>21</v>
      </c>
      <c r="F60" t="s">
        <v>22</v>
      </c>
      <c r="N60">
        <v>0</v>
      </c>
      <c r="P60" t="s">
        <v>23</v>
      </c>
      <c r="Q60" t="s">
        <v>24</v>
      </c>
      <c r="R60" t="s">
        <v>25</v>
      </c>
      <c r="S60" s="1">
        <v>73180000</v>
      </c>
      <c r="U60" s="1">
        <v>63065000</v>
      </c>
      <c r="V60" s="1">
        <f t="shared" si="0"/>
        <v>10115000</v>
      </c>
    </row>
    <row r="61" spans="1:22" x14ac:dyDescent="0.25">
      <c r="A61" t="s">
        <v>19</v>
      </c>
      <c r="B61" s="2">
        <v>1956</v>
      </c>
      <c r="C61" t="s">
        <v>20</v>
      </c>
      <c r="E61" t="s">
        <v>21</v>
      </c>
      <c r="F61" t="s">
        <v>22</v>
      </c>
      <c r="N61">
        <v>0</v>
      </c>
      <c r="P61" t="s">
        <v>23</v>
      </c>
      <c r="Q61" t="s">
        <v>24</v>
      </c>
      <c r="R61" t="s">
        <v>25</v>
      </c>
      <c r="S61" s="1">
        <v>77828000</v>
      </c>
      <c r="U61" s="1">
        <v>64877000</v>
      </c>
      <c r="V61" s="1">
        <f t="shared" si="0"/>
        <v>12951000</v>
      </c>
    </row>
    <row r="62" spans="1:22" x14ac:dyDescent="0.25">
      <c r="A62" t="s">
        <v>19</v>
      </c>
      <c r="B62" s="2">
        <v>1955</v>
      </c>
      <c r="C62" t="s">
        <v>20</v>
      </c>
      <c r="E62" t="s">
        <v>21</v>
      </c>
      <c r="F62" t="s">
        <v>22</v>
      </c>
      <c r="N62">
        <v>0</v>
      </c>
      <c r="P62" t="s">
        <v>23</v>
      </c>
      <c r="Q62" t="s">
        <v>24</v>
      </c>
      <c r="R62" t="s">
        <v>25</v>
      </c>
      <c r="S62" s="1">
        <v>80932000</v>
      </c>
      <c r="U62" s="1">
        <v>68462000</v>
      </c>
      <c r="V62" s="1">
        <f t="shared" si="0"/>
        <v>12470000</v>
      </c>
    </row>
    <row r="63" spans="1:22" x14ac:dyDescent="0.25">
      <c r="A63" t="s">
        <v>19</v>
      </c>
      <c r="B63" s="2">
        <v>1954</v>
      </c>
      <c r="C63" t="s">
        <v>20</v>
      </c>
      <c r="E63" t="s">
        <v>21</v>
      </c>
      <c r="F63" t="s">
        <v>22</v>
      </c>
      <c r="N63">
        <v>0</v>
      </c>
      <c r="P63" t="s">
        <v>23</v>
      </c>
      <c r="Q63" t="s">
        <v>24</v>
      </c>
      <c r="R63" t="s">
        <v>25</v>
      </c>
      <c r="S63" s="1">
        <v>82185000</v>
      </c>
      <c r="U63" s="1">
        <v>68668000</v>
      </c>
      <c r="V63" s="1">
        <f t="shared" si="0"/>
        <v>13517000</v>
      </c>
    </row>
    <row r="64" spans="1:22" x14ac:dyDescent="0.25">
      <c r="A64" t="s">
        <v>19</v>
      </c>
      <c r="B64" s="2">
        <v>1953</v>
      </c>
      <c r="C64" t="s">
        <v>20</v>
      </c>
      <c r="E64" t="s">
        <v>21</v>
      </c>
      <c r="F64" t="s">
        <v>22</v>
      </c>
      <c r="N64">
        <v>0</v>
      </c>
      <c r="P64" t="s">
        <v>23</v>
      </c>
      <c r="Q64" t="s">
        <v>24</v>
      </c>
      <c r="R64" t="s">
        <v>25</v>
      </c>
      <c r="S64" s="1">
        <v>81574000</v>
      </c>
      <c r="U64" s="1">
        <v>70738000</v>
      </c>
      <c r="V64" s="1">
        <f t="shared" si="0"/>
        <v>10836000</v>
      </c>
    </row>
    <row r="65" spans="1:22" x14ac:dyDescent="0.25">
      <c r="A65" t="s">
        <v>19</v>
      </c>
      <c r="B65" s="2">
        <v>1952</v>
      </c>
      <c r="C65" t="s">
        <v>20</v>
      </c>
      <c r="E65" t="s">
        <v>21</v>
      </c>
      <c r="F65" t="s">
        <v>22</v>
      </c>
      <c r="N65">
        <v>0</v>
      </c>
      <c r="P65" t="s">
        <v>23</v>
      </c>
      <c r="Q65" t="s">
        <v>24</v>
      </c>
      <c r="R65" t="s">
        <v>25</v>
      </c>
      <c r="S65" s="1">
        <v>82230000</v>
      </c>
      <c r="U65" s="1">
        <v>71353000</v>
      </c>
      <c r="V65" s="1">
        <f t="shared" si="0"/>
        <v>10877000</v>
      </c>
    </row>
    <row r="66" spans="1:22" x14ac:dyDescent="0.25">
      <c r="A66" t="s">
        <v>19</v>
      </c>
      <c r="B66" s="2">
        <v>1951</v>
      </c>
      <c r="C66" t="s">
        <v>20</v>
      </c>
      <c r="E66" t="s">
        <v>21</v>
      </c>
      <c r="F66" t="s">
        <v>22</v>
      </c>
      <c r="N66">
        <v>0</v>
      </c>
      <c r="P66" t="s">
        <v>23</v>
      </c>
      <c r="Q66" t="s">
        <v>24</v>
      </c>
      <c r="R66" t="s">
        <v>25</v>
      </c>
      <c r="S66" s="1">
        <v>83275000</v>
      </c>
      <c r="U66" s="1">
        <v>71191000</v>
      </c>
      <c r="V66" s="1">
        <f t="shared" si="0"/>
        <v>12084000</v>
      </c>
    </row>
    <row r="67" spans="1:22" x14ac:dyDescent="0.25">
      <c r="A67" t="s">
        <v>19</v>
      </c>
      <c r="B67" s="2">
        <v>1950</v>
      </c>
      <c r="C67" t="s">
        <v>20</v>
      </c>
      <c r="E67" t="s">
        <v>21</v>
      </c>
      <c r="F67" t="s">
        <v>22</v>
      </c>
      <c r="N67">
        <v>0</v>
      </c>
      <c r="P67" t="s">
        <v>23</v>
      </c>
      <c r="Q67" t="s">
        <v>24</v>
      </c>
      <c r="R67" t="s">
        <v>25</v>
      </c>
      <c r="S67" s="1">
        <v>82859000</v>
      </c>
      <c r="U67" s="1">
        <v>72398000</v>
      </c>
      <c r="V67" s="1">
        <f t="shared" ref="V67:V130" si="2">S67-U67</f>
        <v>10461000</v>
      </c>
    </row>
    <row r="68" spans="1:22" x14ac:dyDescent="0.25">
      <c r="A68" t="s">
        <v>19</v>
      </c>
      <c r="B68" s="2">
        <v>1949</v>
      </c>
      <c r="C68" t="s">
        <v>20</v>
      </c>
      <c r="E68" t="s">
        <v>21</v>
      </c>
      <c r="F68" t="s">
        <v>22</v>
      </c>
      <c r="N68">
        <v>0</v>
      </c>
      <c r="P68" t="s">
        <v>23</v>
      </c>
      <c r="Q68" t="s">
        <v>24</v>
      </c>
      <c r="R68" t="s">
        <v>25</v>
      </c>
      <c r="S68" s="1">
        <v>86738000</v>
      </c>
      <c r="U68" s="1">
        <v>77106000</v>
      </c>
      <c r="V68" s="1">
        <f t="shared" si="2"/>
        <v>9632000</v>
      </c>
    </row>
    <row r="69" spans="1:22" x14ac:dyDescent="0.25">
      <c r="A69" t="s">
        <v>19</v>
      </c>
      <c r="B69" s="2">
        <v>1948</v>
      </c>
      <c r="C69" t="s">
        <v>20</v>
      </c>
      <c r="E69" t="s">
        <v>21</v>
      </c>
      <c r="F69" t="s">
        <v>22</v>
      </c>
      <c r="N69">
        <v>0</v>
      </c>
      <c r="P69" t="s">
        <v>23</v>
      </c>
      <c r="Q69" t="s">
        <v>24</v>
      </c>
      <c r="R69" t="s">
        <v>25</v>
      </c>
      <c r="S69" s="1">
        <v>85522000</v>
      </c>
      <c r="U69" s="1">
        <v>76840000</v>
      </c>
      <c r="V69" s="1">
        <f t="shared" si="2"/>
        <v>8682000</v>
      </c>
    </row>
    <row r="70" spans="1:22" x14ac:dyDescent="0.25">
      <c r="A70" t="s">
        <v>19</v>
      </c>
      <c r="B70" s="2">
        <v>1947</v>
      </c>
      <c r="C70" t="s">
        <v>20</v>
      </c>
      <c r="E70" t="s">
        <v>21</v>
      </c>
      <c r="F70" t="s">
        <v>22</v>
      </c>
      <c r="N70">
        <v>0</v>
      </c>
      <c r="P70" t="s">
        <v>23</v>
      </c>
      <c r="Q70" t="s">
        <v>24</v>
      </c>
      <c r="R70" t="s">
        <v>25</v>
      </c>
      <c r="S70" s="1">
        <v>85038000</v>
      </c>
      <c r="U70" s="1">
        <v>73802000</v>
      </c>
      <c r="V70" s="1">
        <f t="shared" si="2"/>
        <v>11236000</v>
      </c>
    </row>
    <row r="71" spans="1:22" x14ac:dyDescent="0.25">
      <c r="A71" t="s">
        <v>19</v>
      </c>
      <c r="B71" s="2">
        <v>1946</v>
      </c>
      <c r="C71" t="s">
        <v>20</v>
      </c>
      <c r="E71" t="s">
        <v>21</v>
      </c>
      <c r="F71" t="s">
        <v>22</v>
      </c>
      <c r="N71">
        <v>0</v>
      </c>
      <c r="P71" t="s">
        <v>23</v>
      </c>
      <c r="Q71" t="s">
        <v>24</v>
      </c>
      <c r="R71" t="s">
        <v>25</v>
      </c>
      <c r="S71" s="1">
        <v>88898000</v>
      </c>
      <c r="U71" s="1">
        <v>78410000</v>
      </c>
      <c r="V71" s="1">
        <f t="shared" si="2"/>
        <v>10488000</v>
      </c>
    </row>
    <row r="72" spans="1:22" x14ac:dyDescent="0.25">
      <c r="A72" t="s">
        <v>19</v>
      </c>
      <c r="B72" s="2">
        <v>1945</v>
      </c>
      <c r="C72" t="s">
        <v>20</v>
      </c>
      <c r="E72" t="s">
        <v>21</v>
      </c>
      <c r="F72" t="s">
        <v>22</v>
      </c>
      <c r="N72">
        <v>0</v>
      </c>
      <c r="P72" t="s">
        <v>23</v>
      </c>
      <c r="Q72" t="s">
        <v>24</v>
      </c>
      <c r="R72" t="s">
        <v>25</v>
      </c>
      <c r="S72" s="1">
        <v>89261000</v>
      </c>
      <c r="U72" s="1">
        <v>77928000</v>
      </c>
      <c r="V72" s="1">
        <f t="shared" si="2"/>
        <v>11333000</v>
      </c>
    </row>
    <row r="73" spans="1:22" x14ac:dyDescent="0.25">
      <c r="A73" t="s">
        <v>19</v>
      </c>
      <c r="B73" s="2">
        <v>1944</v>
      </c>
      <c r="C73" t="s">
        <v>20</v>
      </c>
      <c r="E73" t="s">
        <v>21</v>
      </c>
      <c r="F73" t="s">
        <v>22</v>
      </c>
      <c r="N73">
        <v>0</v>
      </c>
      <c r="P73" t="s">
        <v>23</v>
      </c>
      <c r="Q73" t="s">
        <v>24</v>
      </c>
      <c r="R73" t="s">
        <v>25</v>
      </c>
      <c r="S73" s="1">
        <v>95475000</v>
      </c>
      <c r="U73" s="1">
        <v>85002000</v>
      </c>
      <c r="V73" s="1">
        <f t="shared" si="2"/>
        <v>10473000</v>
      </c>
    </row>
    <row r="74" spans="1:22" x14ac:dyDescent="0.25">
      <c r="A74" t="s">
        <v>19</v>
      </c>
      <c r="B74" s="2">
        <v>1943</v>
      </c>
      <c r="C74" t="s">
        <v>20</v>
      </c>
      <c r="E74" t="s">
        <v>21</v>
      </c>
      <c r="F74" t="s">
        <v>22</v>
      </c>
      <c r="N74">
        <v>0</v>
      </c>
      <c r="P74" t="s">
        <v>23</v>
      </c>
      <c r="Q74" t="s">
        <v>24</v>
      </c>
      <c r="R74" t="s">
        <v>25</v>
      </c>
      <c r="S74" s="1">
        <v>94341000</v>
      </c>
      <c r="U74" s="1">
        <v>81906000</v>
      </c>
      <c r="V74" s="1">
        <f t="shared" si="2"/>
        <v>12435000</v>
      </c>
    </row>
    <row r="75" spans="1:22" x14ac:dyDescent="0.25">
      <c r="A75" t="s">
        <v>19</v>
      </c>
      <c r="B75" s="2">
        <v>1942</v>
      </c>
      <c r="C75" t="s">
        <v>20</v>
      </c>
      <c r="E75" t="s">
        <v>21</v>
      </c>
      <c r="F75" t="s">
        <v>22</v>
      </c>
      <c r="N75">
        <v>0</v>
      </c>
      <c r="P75" t="s">
        <v>23</v>
      </c>
      <c r="Q75" t="s">
        <v>24</v>
      </c>
      <c r="R75" t="s">
        <v>25</v>
      </c>
      <c r="S75" s="1">
        <v>88818000</v>
      </c>
      <c r="U75" s="1">
        <v>79213000</v>
      </c>
      <c r="V75" s="1">
        <f t="shared" si="2"/>
        <v>9605000</v>
      </c>
    </row>
    <row r="76" spans="1:22" x14ac:dyDescent="0.25">
      <c r="A76" t="s">
        <v>19</v>
      </c>
      <c r="B76" s="2">
        <v>1941</v>
      </c>
      <c r="C76" t="s">
        <v>20</v>
      </c>
      <c r="E76" t="s">
        <v>21</v>
      </c>
      <c r="F76" t="s">
        <v>22</v>
      </c>
      <c r="N76">
        <v>0</v>
      </c>
      <c r="P76" t="s">
        <v>23</v>
      </c>
      <c r="Q76" t="s">
        <v>24</v>
      </c>
      <c r="R76" t="s">
        <v>25</v>
      </c>
      <c r="S76" s="1">
        <v>86837000</v>
      </c>
      <c r="U76" s="1">
        <v>77404000</v>
      </c>
      <c r="V76" s="1">
        <f t="shared" si="2"/>
        <v>9433000</v>
      </c>
    </row>
    <row r="77" spans="1:22" x14ac:dyDescent="0.25">
      <c r="A77" t="s">
        <v>19</v>
      </c>
      <c r="B77" s="2">
        <v>1940</v>
      </c>
      <c r="C77" t="s">
        <v>20</v>
      </c>
      <c r="E77" t="s">
        <v>21</v>
      </c>
      <c r="F77" t="s">
        <v>22</v>
      </c>
      <c r="N77">
        <v>0</v>
      </c>
      <c r="P77" t="s">
        <v>23</v>
      </c>
      <c r="Q77" t="s">
        <v>24</v>
      </c>
      <c r="R77" t="s">
        <v>25</v>
      </c>
      <c r="S77" s="1">
        <v>88692000</v>
      </c>
      <c r="U77" s="1">
        <v>76443000</v>
      </c>
      <c r="V77" s="1">
        <f t="shared" si="2"/>
        <v>12249000</v>
      </c>
    </row>
    <row r="78" spans="1:22" x14ac:dyDescent="0.25">
      <c r="A78" t="s">
        <v>19</v>
      </c>
      <c r="B78" s="2">
        <v>1939</v>
      </c>
      <c r="C78" t="s">
        <v>20</v>
      </c>
      <c r="E78" t="s">
        <v>21</v>
      </c>
      <c r="F78" t="s">
        <v>22</v>
      </c>
      <c r="N78">
        <v>0</v>
      </c>
      <c r="P78" t="s">
        <v>23</v>
      </c>
      <c r="Q78" t="s">
        <v>24</v>
      </c>
      <c r="R78" t="s">
        <v>25</v>
      </c>
      <c r="S78" s="1">
        <v>91639000</v>
      </c>
      <c r="U78" s="1">
        <v>78307000</v>
      </c>
      <c r="V78" s="1">
        <f t="shared" si="2"/>
        <v>13332000</v>
      </c>
    </row>
    <row r="79" spans="1:22" x14ac:dyDescent="0.25">
      <c r="A79" t="s">
        <v>19</v>
      </c>
      <c r="B79" s="2">
        <v>1938</v>
      </c>
      <c r="C79" t="s">
        <v>20</v>
      </c>
      <c r="E79" t="s">
        <v>21</v>
      </c>
      <c r="F79" t="s">
        <v>22</v>
      </c>
      <c r="N79">
        <v>0</v>
      </c>
      <c r="P79" t="s">
        <v>23</v>
      </c>
      <c r="Q79" t="s">
        <v>24</v>
      </c>
      <c r="R79" t="s">
        <v>25</v>
      </c>
      <c r="S79" s="1">
        <v>94473000</v>
      </c>
      <c r="U79" s="1">
        <v>82788000</v>
      </c>
      <c r="V79" s="1">
        <f t="shared" si="2"/>
        <v>11685000</v>
      </c>
    </row>
    <row r="80" spans="1:22" x14ac:dyDescent="0.25">
      <c r="A80" t="s">
        <v>19</v>
      </c>
      <c r="B80" s="2">
        <v>1937</v>
      </c>
      <c r="C80" t="s">
        <v>20</v>
      </c>
      <c r="E80" t="s">
        <v>21</v>
      </c>
      <c r="F80" t="s">
        <v>22</v>
      </c>
      <c r="N80">
        <v>0</v>
      </c>
      <c r="P80" t="s">
        <v>23</v>
      </c>
      <c r="Q80" t="s">
        <v>24</v>
      </c>
      <c r="R80" t="s">
        <v>25</v>
      </c>
      <c r="S80" s="1">
        <v>97174000</v>
      </c>
      <c r="U80" s="1">
        <v>81222000</v>
      </c>
      <c r="V80" s="1">
        <f t="shared" si="2"/>
        <v>15952000</v>
      </c>
    </row>
    <row r="81" spans="1:22" x14ac:dyDescent="0.25">
      <c r="A81" t="s">
        <v>19</v>
      </c>
      <c r="B81" s="2">
        <v>1936</v>
      </c>
      <c r="C81" t="s">
        <v>20</v>
      </c>
      <c r="E81" t="s">
        <v>21</v>
      </c>
      <c r="F81" t="s">
        <v>22</v>
      </c>
      <c r="N81">
        <v>0</v>
      </c>
      <c r="P81" t="s">
        <v>23</v>
      </c>
      <c r="Q81" t="s">
        <v>24</v>
      </c>
      <c r="R81" t="s">
        <v>25</v>
      </c>
      <c r="S81" s="1">
        <v>101959000</v>
      </c>
      <c r="U81" s="1">
        <v>67833000</v>
      </c>
      <c r="V81" s="1">
        <f t="shared" si="2"/>
        <v>34126000</v>
      </c>
    </row>
    <row r="82" spans="1:22" x14ac:dyDescent="0.25">
      <c r="A82" t="s">
        <v>19</v>
      </c>
      <c r="B82" s="2">
        <v>1935</v>
      </c>
      <c r="C82" t="s">
        <v>20</v>
      </c>
      <c r="E82" t="s">
        <v>21</v>
      </c>
      <c r="F82" t="s">
        <v>22</v>
      </c>
      <c r="N82">
        <v>0</v>
      </c>
      <c r="P82" t="s">
        <v>23</v>
      </c>
      <c r="Q82" t="s">
        <v>24</v>
      </c>
      <c r="R82" t="s">
        <v>25</v>
      </c>
      <c r="S82" s="1">
        <v>99974000</v>
      </c>
      <c r="U82" s="1">
        <v>82551000</v>
      </c>
      <c r="V82" s="1">
        <f t="shared" si="2"/>
        <v>17423000</v>
      </c>
    </row>
    <row r="83" spans="1:22" x14ac:dyDescent="0.25">
      <c r="A83" t="s">
        <v>19</v>
      </c>
      <c r="B83" s="2">
        <v>1934</v>
      </c>
      <c r="C83" t="s">
        <v>20</v>
      </c>
      <c r="E83" t="s">
        <v>21</v>
      </c>
      <c r="F83" t="s">
        <v>22</v>
      </c>
      <c r="N83">
        <v>0</v>
      </c>
      <c r="P83" t="s">
        <v>23</v>
      </c>
      <c r="Q83" t="s">
        <v>24</v>
      </c>
      <c r="R83" t="s">
        <v>25</v>
      </c>
      <c r="S83" s="1">
        <v>100563000</v>
      </c>
      <c r="U83" s="1">
        <v>61245000</v>
      </c>
      <c r="V83" s="1">
        <f t="shared" si="2"/>
        <v>39318000</v>
      </c>
    </row>
    <row r="84" spans="1:22" x14ac:dyDescent="0.25">
      <c r="A84" t="s">
        <v>19</v>
      </c>
      <c r="B84" s="2">
        <v>1933</v>
      </c>
      <c r="C84" t="s">
        <v>20</v>
      </c>
      <c r="E84" t="s">
        <v>21</v>
      </c>
      <c r="F84" t="s">
        <v>22</v>
      </c>
      <c r="N84">
        <v>0</v>
      </c>
      <c r="P84" t="s">
        <v>23</v>
      </c>
      <c r="Q84" t="s">
        <v>24</v>
      </c>
      <c r="R84" t="s">
        <v>25</v>
      </c>
      <c r="S84" s="1">
        <v>109830000</v>
      </c>
      <c r="U84" s="1">
        <v>92130000</v>
      </c>
      <c r="V84" s="1">
        <f t="shared" si="2"/>
        <v>17700000</v>
      </c>
    </row>
    <row r="85" spans="1:22" x14ac:dyDescent="0.25">
      <c r="A85" t="s">
        <v>19</v>
      </c>
      <c r="B85" s="2">
        <v>1932</v>
      </c>
      <c r="C85" t="s">
        <v>20</v>
      </c>
      <c r="E85" t="s">
        <v>21</v>
      </c>
      <c r="F85" t="s">
        <v>22</v>
      </c>
      <c r="N85">
        <v>0</v>
      </c>
      <c r="P85" t="s">
        <v>23</v>
      </c>
      <c r="Q85" t="s">
        <v>24</v>
      </c>
      <c r="R85" t="s">
        <v>25</v>
      </c>
      <c r="S85" s="1">
        <v>113024000</v>
      </c>
      <c r="U85" s="1">
        <v>97213000</v>
      </c>
      <c r="V85" s="1">
        <f t="shared" si="2"/>
        <v>15811000</v>
      </c>
    </row>
    <row r="86" spans="1:22" x14ac:dyDescent="0.25">
      <c r="A86" t="s">
        <v>19</v>
      </c>
      <c r="B86" s="2">
        <v>1931</v>
      </c>
      <c r="C86" t="s">
        <v>20</v>
      </c>
      <c r="E86" t="s">
        <v>21</v>
      </c>
      <c r="F86" t="s">
        <v>22</v>
      </c>
      <c r="N86">
        <v>0</v>
      </c>
      <c r="P86" t="s">
        <v>23</v>
      </c>
      <c r="Q86" t="s">
        <v>24</v>
      </c>
      <c r="R86" t="s">
        <v>25</v>
      </c>
      <c r="S86" s="1">
        <v>109364000</v>
      </c>
      <c r="U86" s="1">
        <v>91131000</v>
      </c>
      <c r="V86" s="1">
        <f t="shared" si="2"/>
        <v>18233000</v>
      </c>
    </row>
    <row r="87" spans="1:22" x14ac:dyDescent="0.25">
      <c r="A87" t="s">
        <v>19</v>
      </c>
      <c r="B87" s="2">
        <v>1930</v>
      </c>
      <c r="C87" t="s">
        <v>20</v>
      </c>
      <c r="E87" t="s">
        <v>21</v>
      </c>
      <c r="F87" t="s">
        <v>22</v>
      </c>
      <c r="N87">
        <v>0</v>
      </c>
      <c r="P87" t="s">
        <v>23</v>
      </c>
      <c r="Q87" t="s">
        <v>24</v>
      </c>
      <c r="R87" t="s">
        <v>25</v>
      </c>
      <c r="S87" s="1">
        <v>103915000</v>
      </c>
      <c r="U87" s="1">
        <v>85525000</v>
      </c>
      <c r="V87" s="1">
        <f t="shared" si="2"/>
        <v>18390000</v>
      </c>
    </row>
    <row r="88" spans="1:22" x14ac:dyDescent="0.25">
      <c r="A88" t="s">
        <v>19</v>
      </c>
      <c r="B88" s="2">
        <v>1929</v>
      </c>
      <c r="C88" t="s">
        <v>20</v>
      </c>
      <c r="E88" t="s">
        <v>21</v>
      </c>
      <c r="F88" t="s">
        <v>22</v>
      </c>
      <c r="N88">
        <v>0</v>
      </c>
      <c r="P88" t="s">
        <v>23</v>
      </c>
      <c r="Q88" t="s">
        <v>24</v>
      </c>
      <c r="R88" t="s">
        <v>25</v>
      </c>
      <c r="S88" s="1">
        <v>99130000</v>
      </c>
      <c r="U88" s="1">
        <v>83194000</v>
      </c>
      <c r="V88" s="1">
        <f t="shared" si="2"/>
        <v>15936000</v>
      </c>
    </row>
    <row r="89" spans="1:22" x14ac:dyDescent="0.25">
      <c r="A89" t="s">
        <v>19</v>
      </c>
      <c r="B89" s="2">
        <v>1928</v>
      </c>
      <c r="C89" t="s">
        <v>20</v>
      </c>
      <c r="E89" t="s">
        <v>21</v>
      </c>
      <c r="F89" t="s">
        <v>22</v>
      </c>
      <c r="N89">
        <v>0</v>
      </c>
      <c r="P89" t="s">
        <v>23</v>
      </c>
      <c r="Q89" t="s">
        <v>24</v>
      </c>
      <c r="R89" t="s">
        <v>25</v>
      </c>
      <c r="S89" s="1">
        <v>100399000</v>
      </c>
      <c r="U89" s="1">
        <v>85832000</v>
      </c>
      <c r="V89" s="1">
        <f t="shared" si="2"/>
        <v>14567000</v>
      </c>
    </row>
    <row r="90" spans="1:22" x14ac:dyDescent="0.25">
      <c r="A90" t="s">
        <v>19</v>
      </c>
      <c r="B90" s="2">
        <v>1927</v>
      </c>
      <c r="C90" t="s">
        <v>20</v>
      </c>
      <c r="E90" t="s">
        <v>21</v>
      </c>
      <c r="F90" t="s">
        <v>22</v>
      </c>
      <c r="N90">
        <v>0</v>
      </c>
      <c r="P90" t="s">
        <v>23</v>
      </c>
      <c r="Q90" t="s">
        <v>24</v>
      </c>
      <c r="R90" t="s">
        <v>25</v>
      </c>
      <c r="S90" s="1">
        <v>98460000</v>
      </c>
      <c r="U90" s="1">
        <v>83915000</v>
      </c>
      <c r="V90" s="1">
        <f t="shared" si="2"/>
        <v>14545000</v>
      </c>
    </row>
    <row r="91" spans="1:22" x14ac:dyDescent="0.25">
      <c r="A91" t="s">
        <v>19</v>
      </c>
      <c r="B91" s="2">
        <v>1926</v>
      </c>
      <c r="C91" t="s">
        <v>20</v>
      </c>
      <c r="E91" t="s">
        <v>21</v>
      </c>
      <c r="F91" t="s">
        <v>22</v>
      </c>
      <c r="N91">
        <v>0</v>
      </c>
      <c r="P91" t="s">
        <v>23</v>
      </c>
      <c r="Q91" t="s">
        <v>24</v>
      </c>
      <c r="R91" t="s">
        <v>25</v>
      </c>
      <c r="S91" s="1">
        <v>99660000</v>
      </c>
      <c r="U91" s="1">
        <v>83275000</v>
      </c>
      <c r="V91" s="1">
        <f t="shared" si="2"/>
        <v>16385000</v>
      </c>
    </row>
    <row r="92" spans="1:22" x14ac:dyDescent="0.25">
      <c r="A92" t="s">
        <v>19</v>
      </c>
      <c r="B92" s="2">
        <v>1925</v>
      </c>
      <c r="C92" t="s">
        <v>20</v>
      </c>
      <c r="E92" t="s">
        <v>21</v>
      </c>
      <c r="F92" t="s">
        <v>22</v>
      </c>
      <c r="N92">
        <v>0</v>
      </c>
      <c r="P92" t="s">
        <v>23</v>
      </c>
      <c r="Q92" t="s">
        <v>24</v>
      </c>
      <c r="R92" t="s">
        <v>25</v>
      </c>
      <c r="U92" s="1">
        <v>86825000</v>
      </c>
      <c r="V92" s="1">
        <f t="shared" si="2"/>
        <v>-86825000</v>
      </c>
    </row>
    <row r="93" spans="1:22" x14ac:dyDescent="0.25">
      <c r="A93" t="s">
        <v>19</v>
      </c>
      <c r="B93" s="2">
        <v>1924</v>
      </c>
      <c r="C93" t="s">
        <v>20</v>
      </c>
      <c r="E93" t="s">
        <v>21</v>
      </c>
      <c r="F93" t="s">
        <v>22</v>
      </c>
      <c r="N93">
        <v>0</v>
      </c>
      <c r="P93" t="s">
        <v>23</v>
      </c>
      <c r="Q93" t="s">
        <v>24</v>
      </c>
      <c r="R93" t="s">
        <v>25</v>
      </c>
      <c r="U93" s="1">
        <v>84119000</v>
      </c>
      <c r="V93" s="1">
        <f t="shared" si="2"/>
        <v>-84119000</v>
      </c>
    </row>
    <row r="94" spans="1:22" x14ac:dyDescent="0.25">
      <c r="A94" t="s">
        <v>19</v>
      </c>
      <c r="B94" s="2">
        <v>1923</v>
      </c>
      <c r="C94" t="s">
        <v>20</v>
      </c>
      <c r="E94" t="s">
        <v>21</v>
      </c>
      <c r="F94" t="s">
        <v>22</v>
      </c>
      <c r="N94">
        <v>0</v>
      </c>
      <c r="P94" t="s">
        <v>23</v>
      </c>
      <c r="Q94" t="s">
        <v>24</v>
      </c>
      <c r="R94" t="s">
        <v>25</v>
      </c>
      <c r="U94" s="1">
        <v>87493000</v>
      </c>
      <c r="V94" s="1">
        <f t="shared" si="2"/>
        <v>-87493000</v>
      </c>
    </row>
    <row r="95" spans="1:22" x14ac:dyDescent="0.25">
      <c r="A95" t="s">
        <v>19</v>
      </c>
      <c r="B95" s="2">
        <v>1922</v>
      </c>
      <c r="C95" t="s">
        <v>20</v>
      </c>
      <c r="E95" t="s">
        <v>21</v>
      </c>
      <c r="F95" t="s">
        <v>22</v>
      </c>
      <c r="N95">
        <v>0</v>
      </c>
      <c r="P95" t="s">
        <v>23</v>
      </c>
      <c r="Q95" t="s">
        <v>24</v>
      </c>
      <c r="R95" t="s">
        <v>25</v>
      </c>
      <c r="U95" s="1">
        <v>84858000</v>
      </c>
      <c r="V95" s="1">
        <f t="shared" si="2"/>
        <v>-84858000</v>
      </c>
    </row>
    <row r="96" spans="1:22" x14ac:dyDescent="0.25">
      <c r="A96" t="s">
        <v>19</v>
      </c>
      <c r="B96" s="2">
        <v>1921</v>
      </c>
      <c r="C96" t="s">
        <v>20</v>
      </c>
      <c r="E96" t="s">
        <v>21</v>
      </c>
      <c r="F96" t="s">
        <v>22</v>
      </c>
      <c r="N96">
        <v>0</v>
      </c>
      <c r="P96" t="s">
        <v>23</v>
      </c>
      <c r="Q96" t="s">
        <v>24</v>
      </c>
      <c r="R96" t="s">
        <v>25</v>
      </c>
      <c r="U96" s="1">
        <v>91939000</v>
      </c>
      <c r="V96" s="1">
        <f t="shared" si="2"/>
        <v>-91939000</v>
      </c>
    </row>
    <row r="97" spans="1:22" x14ac:dyDescent="0.25">
      <c r="A97" t="s">
        <v>19</v>
      </c>
      <c r="B97" s="2">
        <v>1920</v>
      </c>
      <c r="C97" t="s">
        <v>20</v>
      </c>
      <c r="E97" t="s">
        <v>21</v>
      </c>
      <c r="F97" t="s">
        <v>22</v>
      </c>
      <c r="N97">
        <v>0</v>
      </c>
      <c r="P97" t="s">
        <v>23</v>
      </c>
      <c r="Q97" t="s">
        <v>24</v>
      </c>
      <c r="R97" t="s">
        <v>25</v>
      </c>
      <c r="U97" s="1">
        <v>90149000</v>
      </c>
      <c r="V97" s="1">
        <f t="shared" si="2"/>
        <v>-90149000</v>
      </c>
    </row>
    <row r="98" spans="1:22" x14ac:dyDescent="0.25">
      <c r="A98" t="s">
        <v>19</v>
      </c>
      <c r="B98" s="2">
        <v>1919</v>
      </c>
      <c r="C98" t="s">
        <v>20</v>
      </c>
      <c r="E98" t="s">
        <v>21</v>
      </c>
      <c r="F98" t="s">
        <v>22</v>
      </c>
      <c r="N98">
        <v>0</v>
      </c>
      <c r="P98" t="s">
        <v>23</v>
      </c>
      <c r="Q98" t="s">
        <v>24</v>
      </c>
      <c r="R98" t="s">
        <v>25</v>
      </c>
      <c r="U98" s="1">
        <v>87487000</v>
      </c>
      <c r="V98" s="1">
        <f t="shared" si="2"/>
        <v>-87487000</v>
      </c>
    </row>
    <row r="99" spans="1:22" x14ac:dyDescent="0.25">
      <c r="A99" t="s">
        <v>19</v>
      </c>
      <c r="B99" s="2">
        <v>1918</v>
      </c>
      <c r="C99" t="s">
        <v>20</v>
      </c>
      <c r="E99" t="s">
        <v>21</v>
      </c>
      <c r="F99" t="s">
        <v>22</v>
      </c>
      <c r="N99">
        <v>0</v>
      </c>
      <c r="P99" t="s">
        <v>23</v>
      </c>
      <c r="Q99" t="s">
        <v>24</v>
      </c>
      <c r="R99" t="s">
        <v>25</v>
      </c>
      <c r="U99" s="1">
        <v>102195000</v>
      </c>
      <c r="V99" s="1">
        <f t="shared" si="2"/>
        <v>-102195000</v>
      </c>
    </row>
    <row r="100" spans="1:22" x14ac:dyDescent="0.25">
      <c r="A100" t="s">
        <v>19</v>
      </c>
      <c r="B100" s="2">
        <v>1917</v>
      </c>
      <c r="C100" t="s">
        <v>20</v>
      </c>
      <c r="E100" t="s">
        <v>21</v>
      </c>
      <c r="F100" t="s">
        <v>22</v>
      </c>
      <c r="N100">
        <v>0</v>
      </c>
      <c r="P100" t="s">
        <v>23</v>
      </c>
      <c r="Q100" t="s">
        <v>24</v>
      </c>
      <c r="R100" t="s">
        <v>25</v>
      </c>
      <c r="U100" s="1">
        <v>110893000</v>
      </c>
      <c r="V100" s="1">
        <f t="shared" si="2"/>
        <v>-110893000</v>
      </c>
    </row>
    <row r="101" spans="1:22" x14ac:dyDescent="0.25">
      <c r="A101" t="s">
        <v>19</v>
      </c>
      <c r="B101" s="2">
        <v>1916</v>
      </c>
      <c r="C101" t="s">
        <v>20</v>
      </c>
      <c r="E101" t="s">
        <v>21</v>
      </c>
      <c r="F101" t="s">
        <v>22</v>
      </c>
      <c r="N101">
        <v>0</v>
      </c>
      <c r="P101" t="s">
        <v>23</v>
      </c>
      <c r="Q101" t="s">
        <v>24</v>
      </c>
      <c r="R101" t="s">
        <v>25</v>
      </c>
      <c r="U101" s="1">
        <v>100561000</v>
      </c>
      <c r="V101" s="1">
        <f t="shared" si="2"/>
        <v>-100561000</v>
      </c>
    </row>
    <row r="102" spans="1:22" x14ac:dyDescent="0.25">
      <c r="A102" t="s">
        <v>19</v>
      </c>
      <c r="B102" s="2">
        <v>1915</v>
      </c>
      <c r="C102" t="s">
        <v>20</v>
      </c>
      <c r="E102" t="s">
        <v>21</v>
      </c>
      <c r="F102" t="s">
        <v>22</v>
      </c>
      <c r="N102">
        <v>0</v>
      </c>
      <c r="P102" t="s">
        <v>23</v>
      </c>
      <c r="Q102" t="s">
        <v>24</v>
      </c>
      <c r="R102" t="s">
        <v>25</v>
      </c>
      <c r="U102" s="1">
        <v>100623000</v>
      </c>
      <c r="V102" s="1">
        <f t="shared" si="2"/>
        <v>-100623000</v>
      </c>
    </row>
    <row r="103" spans="1:22" x14ac:dyDescent="0.25">
      <c r="A103" t="s">
        <v>19</v>
      </c>
      <c r="B103" s="2">
        <v>1914</v>
      </c>
      <c r="C103" t="s">
        <v>20</v>
      </c>
      <c r="E103" t="s">
        <v>21</v>
      </c>
      <c r="F103" t="s">
        <v>22</v>
      </c>
      <c r="N103">
        <v>0</v>
      </c>
      <c r="P103" t="s">
        <v>23</v>
      </c>
      <c r="Q103" t="s">
        <v>24</v>
      </c>
      <c r="R103" t="s">
        <v>25</v>
      </c>
      <c r="U103" s="1">
        <v>97796000</v>
      </c>
      <c r="V103" s="1">
        <f t="shared" si="2"/>
        <v>-97796000</v>
      </c>
    </row>
    <row r="104" spans="1:22" x14ac:dyDescent="0.25">
      <c r="A104" t="s">
        <v>19</v>
      </c>
      <c r="B104" s="2">
        <v>1913</v>
      </c>
      <c r="C104" t="s">
        <v>20</v>
      </c>
      <c r="E104" t="s">
        <v>21</v>
      </c>
      <c r="F104" t="s">
        <v>22</v>
      </c>
      <c r="N104">
        <v>0</v>
      </c>
      <c r="P104" t="s">
        <v>23</v>
      </c>
      <c r="Q104" t="s">
        <v>24</v>
      </c>
      <c r="R104" t="s">
        <v>25</v>
      </c>
      <c r="U104" s="1">
        <v>100206000</v>
      </c>
      <c r="V104" s="1">
        <f t="shared" si="2"/>
        <v>-100206000</v>
      </c>
    </row>
    <row r="105" spans="1:22" x14ac:dyDescent="0.25">
      <c r="A105" t="s">
        <v>19</v>
      </c>
      <c r="B105" s="2">
        <v>1912</v>
      </c>
      <c r="C105" t="s">
        <v>20</v>
      </c>
      <c r="E105" t="s">
        <v>21</v>
      </c>
      <c r="F105" t="s">
        <v>22</v>
      </c>
      <c r="N105">
        <v>0</v>
      </c>
      <c r="P105" t="s">
        <v>23</v>
      </c>
      <c r="Q105" t="s">
        <v>24</v>
      </c>
      <c r="R105" t="s">
        <v>25</v>
      </c>
      <c r="U105" s="1">
        <v>101451000</v>
      </c>
      <c r="V105" s="1">
        <f t="shared" si="2"/>
        <v>-101451000</v>
      </c>
    </row>
    <row r="106" spans="1:22" x14ac:dyDescent="0.25">
      <c r="A106" t="s">
        <v>19</v>
      </c>
      <c r="B106" s="2">
        <v>1911</v>
      </c>
      <c r="C106" t="s">
        <v>20</v>
      </c>
      <c r="E106" t="s">
        <v>21</v>
      </c>
      <c r="F106" t="s">
        <v>22</v>
      </c>
      <c r="N106">
        <v>0</v>
      </c>
      <c r="P106" t="s">
        <v>23</v>
      </c>
      <c r="Q106" t="s">
        <v>24</v>
      </c>
      <c r="R106" t="s">
        <v>25</v>
      </c>
      <c r="U106" s="1">
        <v>101393000</v>
      </c>
      <c r="V106" s="1">
        <f t="shared" si="2"/>
        <v>-101393000</v>
      </c>
    </row>
    <row r="107" spans="1:22" x14ac:dyDescent="0.25">
      <c r="A107" t="s">
        <v>19</v>
      </c>
      <c r="B107" s="2">
        <v>1910</v>
      </c>
      <c r="C107" t="s">
        <v>20</v>
      </c>
      <c r="E107" t="s">
        <v>21</v>
      </c>
      <c r="F107" t="s">
        <v>22</v>
      </c>
      <c r="N107">
        <v>0</v>
      </c>
      <c r="P107" t="s">
        <v>23</v>
      </c>
      <c r="Q107" t="s">
        <v>24</v>
      </c>
      <c r="R107" t="s">
        <v>25</v>
      </c>
      <c r="U107" s="1">
        <v>102267000</v>
      </c>
      <c r="V107" s="1">
        <f t="shared" si="2"/>
        <v>-102267000</v>
      </c>
    </row>
    <row r="108" spans="1:22" x14ac:dyDescent="0.25">
      <c r="A108" t="s">
        <v>19</v>
      </c>
      <c r="B108" s="2">
        <v>1909</v>
      </c>
      <c r="C108" t="s">
        <v>20</v>
      </c>
      <c r="E108" t="s">
        <v>21</v>
      </c>
      <c r="F108" t="s">
        <v>22</v>
      </c>
      <c r="N108">
        <v>0</v>
      </c>
      <c r="P108" t="s">
        <v>23</v>
      </c>
      <c r="Q108" t="s">
        <v>24</v>
      </c>
      <c r="R108" t="s">
        <v>25</v>
      </c>
      <c r="U108" s="1">
        <v>100200000</v>
      </c>
      <c r="V108" s="1">
        <f t="shared" si="2"/>
        <v>-100200000</v>
      </c>
    </row>
    <row r="109" spans="1:22" x14ac:dyDescent="0.25">
      <c r="A109" t="s">
        <v>19</v>
      </c>
      <c r="B109" s="2">
        <v>1908</v>
      </c>
      <c r="C109" t="s">
        <v>20</v>
      </c>
      <c r="E109" t="s">
        <v>21</v>
      </c>
      <c r="F109" t="s">
        <v>22</v>
      </c>
      <c r="N109">
        <v>0</v>
      </c>
      <c r="P109" t="s">
        <v>23</v>
      </c>
      <c r="Q109" t="s">
        <v>24</v>
      </c>
      <c r="R109" t="s">
        <v>25</v>
      </c>
      <c r="U109" s="1">
        <v>95285000</v>
      </c>
      <c r="V109" s="1">
        <f t="shared" si="2"/>
        <v>-95285000</v>
      </c>
    </row>
    <row r="110" spans="1:22" x14ac:dyDescent="0.25">
      <c r="A110" t="s">
        <v>19</v>
      </c>
      <c r="B110" s="2">
        <v>1907</v>
      </c>
      <c r="C110" t="s">
        <v>20</v>
      </c>
      <c r="E110" t="s">
        <v>21</v>
      </c>
      <c r="F110" t="s">
        <v>22</v>
      </c>
      <c r="N110">
        <v>0</v>
      </c>
      <c r="P110" t="s">
        <v>23</v>
      </c>
      <c r="Q110" t="s">
        <v>24</v>
      </c>
      <c r="R110" t="s">
        <v>25</v>
      </c>
      <c r="U110" s="1">
        <v>96094000</v>
      </c>
      <c r="V110" s="1">
        <f t="shared" si="2"/>
        <v>-96094000</v>
      </c>
    </row>
    <row r="111" spans="1:22" x14ac:dyDescent="0.25">
      <c r="A111" t="s">
        <v>19</v>
      </c>
      <c r="B111" s="2">
        <v>1906</v>
      </c>
      <c r="C111" t="s">
        <v>20</v>
      </c>
      <c r="E111" t="s">
        <v>21</v>
      </c>
      <c r="F111" t="s">
        <v>22</v>
      </c>
      <c r="N111">
        <v>0</v>
      </c>
      <c r="P111" t="s">
        <v>23</v>
      </c>
      <c r="Q111" t="s">
        <v>24</v>
      </c>
      <c r="R111" t="s">
        <v>25</v>
      </c>
      <c r="U111" s="1">
        <v>95624000</v>
      </c>
      <c r="V111" s="1">
        <f t="shared" si="2"/>
        <v>-95624000</v>
      </c>
    </row>
    <row r="112" spans="1:22" x14ac:dyDescent="0.25">
      <c r="A112" t="s">
        <v>19</v>
      </c>
      <c r="B112" s="2">
        <v>1905</v>
      </c>
      <c r="C112" t="s">
        <v>20</v>
      </c>
      <c r="E112" t="s">
        <v>21</v>
      </c>
      <c r="F112" t="s">
        <v>22</v>
      </c>
      <c r="N112">
        <v>0</v>
      </c>
      <c r="P112" t="s">
        <v>23</v>
      </c>
      <c r="Q112" t="s">
        <v>24</v>
      </c>
      <c r="R112" t="s">
        <v>25</v>
      </c>
      <c r="U112" s="1">
        <v>95746000</v>
      </c>
      <c r="V112" s="1">
        <f t="shared" si="2"/>
        <v>-95746000</v>
      </c>
    </row>
    <row r="113" spans="1:22" x14ac:dyDescent="0.25">
      <c r="A113" t="s">
        <v>19</v>
      </c>
      <c r="B113" s="2">
        <v>1904</v>
      </c>
      <c r="C113" t="s">
        <v>20</v>
      </c>
      <c r="E113" t="s">
        <v>21</v>
      </c>
      <c r="F113" t="s">
        <v>22</v>
      </c>
      <c r="N113">
        <v>0</v>
      </c>
      <c r="P113" t="s">
        <v>23</v>
      </c>
      <c r="Q113" t="s">
        <v>24</v>
      </c>
      <c r="R113" t="s">
        <v>25</v>
      </c>
      <c r="U113" s="1">
        <v>95228000</v>
      </c>
      <c r="V113" s="1">
        <f t="shared" si="2"/>
        <v>-95228000</v>
      </c>
    </row>
    <row r="114" spans="1:22" x14ac:dyDescent="0.25">
      <c r="A114" t="s">
        <v>19</v>
      </c>
      <c r="B114" s="2">
        <v>1903</v>
      </c>
      <c r="C114" t="s">
        <v>20</v>
      </c>
      <c r="E114" t="s">
        <v>21</v>
      </c>
      <c r="F114" t="s">
        <v>22</v>
      </c>
      <c r="N114">
        <v>0</v>
      </c>
      <c r="P114" t="s">
        <v>23</v>
      </c>
      <c r="Q114" t="s">
        <v>24</v>
      </c>
      <c r="R114" t="s">
        <v>25</v>
      </c>
      <c r="U114" s="1">
        <v>93555000</v>
      </c>
      <c r="V114" s="1">
        <f t="shared" si="2"/>
        <v>-93555000</v>
      </c>
    </row>
    <row r="115" spans="1:22" x14ac:dyDescent="0.25">
      <c r="A115" t="s">
        <v>19</v>
      </c>
      <c r="B115" s="2">
        <v>1902</v>
      </c>
      <c r="C115" t="s">
        <v>20</v>
      </c>
      <c r="E115" t="s">
        <v>21</v>
      </c>
      <c r="F115" t="s">
        <v>22</v>
      </c>
      <c r="N115">
        <v>0</v>
      </c>
      <c r="P115" t="s">
        <v>23</v>
      </c>
      <c r="Q115" t="s">
        <v>24</v>
      </c>
      <c r="R115" t="s">
        <v>25</v>
      </c>
      <c r="U115" s="1">
        <v>97177000</v>
      </c>
      <c r="V115" s="1">
        <f t="shared" si="2"/>
        <v>-97177000</v>
      </c>
    </row>
    <row r="116" spans="1:22" x14ac:dyDescent="0.25">
      <c r="A116" t="s">
        <v>19</v>
      </c>
      <c r="B116" s="2">
        <v>1901</v>
      </c>
      <c r="C116" t="s">
        <v>20</v>
      </c>
      <c r="E116" t="s">
        <v>21</v>
      </c>
      <c r="F116" t="s">
        <v>22</v>
      </c>
      <c r="N116">
        <v>0</v>
      </c>
      <c r="P116" t="s">
        <v>23</v>
      </c>
      <c r="Q116" t="s">
        <v>24</v>
      </c>
      <c r="R116" t="s">
        <v>25</v>
      </c>
      <c r="U116" s="1">
        <v>94422000</v>
      </c>
      <c r="V116" s="1">
        <f t="shared" si="2"/>
        <v>-94422000</v>
      </c>
    </row>
    <row r="117" spans="1:22" x14ac:dyDescent="0.25">
      <c r="A117" t="s">
        <v>19</v>
      </c>
      <c r="B117" s="2">
        <v>1900</v>
      </c>
      <c r="C117" t="s">
        <v>20</v>
      </c>
      <c r="E117" t="s">
        <v>21</v>
      </c>
      <c r="F117" t="s">
        <v>22</v>
      </c>
      <c r="N117">
        <v>0</v>
      </c>
      <c r="P117" t="s">
        <v>23</v>
      </c>
      <c r="Q117" t="s">
        <v>24</v>
      </c>
      <c r="R117" t="s">
        <v>25</v>
      </c>
      <c r="U117" s="1">
        <v>94852000</v>
      </c>
      <c r="V117" s="1">
        <f t="shared" si="2"/>
        <v>-94852000</v>
      </c>
    </row>
    <row r="118" spans="1:22" x14ac:dyDescent="0.25">
      <c r="A118" t="s">
        <v>19</v>
      </c>
      <c r="B118" s="2">
        <v>1899</v>
      </c>
      <c r="C118" t="s">
        <v>20</v>
      </c>
      <c r="E118" t="s">
        <v>21</v>
      </c>
      <c r="F118" t="s">
        <v>22</v>
      </c>
      <c r="N118">
        <v>0</v>
      </c>
      <c r="P118" t="s">
        <v>23</v>
      </c>
      <c r="Q118" t="s">
        <v>24</v>
      </c>
      <c r="R118" t="s">
        <v>25</v>
      </c>
      <c r="U118" s="1">
        <v>94591000</v>
      </c>
      <c r="V118" s="1">
        <f t="shared" si="2"/>
        <v>-94591000</v>
      </c>
    </row>
    <row r="119" spans="1:22" x14ac:dyDescent="0.25">
      <c r="A119" t="s">
        <v>19</v>
      </c>
      <c r="B119" s="2">
        <v>1898</v>
      </c>
      <c r="C119" t="s">
        <v>20</v>
      </c>
      <c r="E119" t="s">
        <v>21</v>
      </c>
      <c r="F119" t="s">
        <v>22</v>
      </c>
      <c r="N119">
        <v>0</v>
      </c>
      <c r="P119" t="s">
        <v>23</v>
      </c>
      <c r="Q119" t="s">
        <v>24</v>
      </c>
      <c r="R119" t="s">
        <v>25</v>
      </c>
      <c r="U119" s="1">
        <v>87784000</v>
      </c>
      <c r="V119" s="1">
        <f t="shared" si="2"/>
        <v>-87784000</v>
      </c>
    </row>
    <row r="120" spans="1:22" x14ac:dyDescent="0.25">
      <c r="A120" t="s">
        <v>19</v>
      </c>
      <c r="B120" s="2">
        <v>1897</v>
      </c>
      <c r="C120" t="s">
        <v>20</v>
      </c>
      <c r="E120" t="s">
        <v>21</v>
      </c>
      <c r="F120" t="s">
        <v>22</v>
      </c>
      <c r="N120">
        <v>0</v>
      </c>
      <c r="P120" t="s">
        <v>23</v>
      </c>
      <c r="Q120" t="s">
        <v>24</v>
      </c>
      <c r="R120" t="s">
        <v>25</v>
      </c>
      <c r="U120" s="1">
        <v>89965000</v>
      </c>
      <c r="V120" s="1">
        <f t="shared" si="2"/>
        <v>-89965000</v>
      </c>
    </row>
    <row r="121" spans="1:22" x14ac:dyDescent="0.25">
      <c r="A121" t="s">
        <v>19</v>
      </c>
      <c r="B121" s="2">
        <v>1896</v>
      </c>
      <c r="C121" t="s">
        <v>20</v>
      </c>
      <c r="E121" t="s">
        <v>21</v>
      </c>
      <c r="F121" t="s">
        <v>22</v>
      </c>
      <c r="N121">
        <v>0</v>
      </c>
      <c r="P121" t="s">
        <v>23</v>
      </c>
      <c r="Q121" t="s">
        <v>24</v>
      </c>
      <c r="R121" t="s">
        <v>25</v>
      </c>
      <c r="U121" s="1">
        <v>89074000</v>
      </c>
      <c r="V121" s="1">
        <f t="shared" si="2"/>
        <v>-89074000</v>
      </c>
    </row>
    <row r="122" spans="1:22" x14ac:dyDescent="0.25">
      <c r="A122" t="s">
        <v>19</v>
      </c>
      <c r="B122" s="2">
        <v>1895</v>
      </c>
      <c r="C122" t="s">
        <v>20</v>
      </c>
      <c r="E122" t="s">
        <v>21</v>
      </c>
      <c r="F122" t="s">
        <v>22</v>
      </c>
      <c r="N122">
        <v>0</v>
      </c>
      <c r="P122" t="s">
        <v>23</v>
      </c>
      <c r="Q122" t="s">
        <v>24</v>
      </c>
      <c r="R122" t="s">
        <v>25</v>
      </c>
      <c r="U122" s="1">
        <v>90479000</v>
      </c>
      <c r="V122" s="1">
        <f t="shared" si="2"/>
        <v>-90479000</v>
      </c>
    </row>
    <row r="123" spans="1:22" x14ac:dyDescent="0.25">
      <c r="A123" t="s">
        <v>19</v>
      </c>
      <c r="B123" s="2">
        <v>1894</v>
      </c>
      <c r="C123" t="s">
        <v>20</v>
      </c>
      <c r="E123" t="s">
        <v>21</v>
      </c>
      <c r="F123" t="s">
        <v>22</v>
      </c>
      <c r="N123">
        <v>0</v>
      </c>
      <c r="P123" t="s">
        <v>23</v>
      </c>
      <c r="Q123" t="s">
        <v>24</v>
      </c>
      <c r="R123" t="s">
        <v>25</v>
      </c>
      <c r="U123" s="1">
        <v>80069000</v>
      </c>
      <c r="V123" s="1">
        <f t="shared" si="2"/>
        <v>-80069000</v>
      </c>
    </row>
    <row r="124" spans="1:22" x14ac:dyDescent="0.25">
      <c r="A124" t="s">
        <v>19</v>
      </c>
      <c r="B124" s="2">
        <v>1893</v>
      </c>
      <c r="C124" t="s">
        <v>20</v>
      </c>
      <c r="E124" t="s">
        <v>21</v>
      </c>
      <c r="F124" t="s">
        <v>22</v>
      </c>
      <c r="N124">
        <v>0</v>
      </c>
      <c r="P124" t="s">
        <v>23</v>
      </c>
      <c r="Q124" t="s">
        <v>24</v>
      </c>
      <c r="R124" t="s">
        <v>25</v>
      </c>
      <c r="U124" s="1">
        <v>79832000</v>
      </c>
      <c r="V124" s="1">
        <f t="shared" si="2"/>
        <v>-79832000</v>
      </c>
    </row>
    <row r="125" spans="1:22" x14ac:dyDescent="0.25">
      <c r="A125" t="s">
        <v>19</v>
      </c>
      <c r="B125" s="2">
        <v>1892</v>
      </c>
      <c r="C125" t="s">
        <v>20</v>
      </c>
      <c r="E125" t="s">
        <v>21</v>
      </c>
      <c r="F125" t="s">
        <v>22</v>
      </c>
      <c r="N125">
        <v>0</v>
      </c>
      <c r="P125" t="s">
        <v>23</v>
      </c>
      <c r="Q125" t="s">
        <v>24</v>
      </c>
      <c r="R125" t="s">
        <v>25</v>
      </c>
      <c r="U125" s="1">
        <v>76914000</v>
      </c>
      <c r="V125" s="1">
        <f t="shared" si="2"/>
        <v>-76914000</v>
      </c>
    </row>
    <row r="126" spans="1:22" x14ac:dyDescent="0.25">
      <c r="A126" t="s">
        <v>19</v>
      </c>
      <c r="B126" s="2">
        <v>1891</v>
      </c>
      <c r="C126" t="s">
        <v>20</v>
      </c>
      <c r="E126" t="s">
        <v>21</v>
      </c>
      <c r="F126" t="s">
        <v>22</v>
      </c>
      <c r="N126">
        <v>0</v>
      </c>
      <c r="P126" t="s">
        <v>23</v>
      </c>
      <c r="Q126" t="s">
        <v>24</v>
      </c>
      <c r="R126" t="s">
        <v>25</v>
      </c>
      <c r="U126" s="1">
        <v>78855000</v>
      </c>
      <c r="V126" s="1">
        <f t="shared" si="2"/>
        <v>-78855000</v>
      </c>
    </row>
    <row r="127" spans="1:22" x14ac:dyDescent="0.25">
      <c r="A127" t="s">
        <v>19</v>
      </c>
      <c r="B127" s="2">
        <v>1890</v>
      </c>
      <c r="C127" t="s">
        <v>20</v>
      </c>
      <c r="E127" t="s">
        <v>21</v>
      </c>
      <c r="F127" t="s">
        <v>22</v>
      </c>
      <c r="N127">
        <v>0</v>
      </c>
      <c r="P127" t="s">
        <v>23</v>
      </c>
      <c r="Q127" t="s">
        <v>24</v>
      </c>
      <c r="R127" t="s">
        <v>25</v>
      </c>
      <c r="U127" s="1">
        <v>74785000</v>
      </c>
      <c r="V127" s="1">
        <f t="shared" si="2"/>
        <v>-74785000</v>
      </c>
    </row>
    <row r="128" spans="1:22" x14ac:dyDescent="0.25">
      <c r="A128" t="s">
        <v>19</v>
      </c>
      <c r="B128" s="2">
        <v>1889</v>
      </c>
      <c r="C128" t="s">
        <v>20</v>
      </c>
      <c r="E128" t="s">
        <v>21</v>
      </c>
      <c r="F128" t="s">
        <v>22</v>
      </c>
      <c r="N128">
        <v>0</v>
      </c>
      <c r="P128" t="s">
        <v>23</v>
      </c>
      <c r="Q128" t="s">
        <v>24</v>
      </c>
      <c r="R128" t="s">
        <v>25</v>
      </c>
      <c r="U128" s="1">
        <v>77656000</v>
      </c>
      <c r="V128" s="1">
        <f t="shared" si="2"/>
        <v>-77656000</v>
      </c>
    </row>
    <row r="129" spans="1:22" x14ac:dyDescent="0.25">
      <c r="A129" t="s">
        <v>19</v>
      </c>
      <c r="B129" s="2">
        <v>1888</v>
      </c>
      <c r="C129" t="s">
        <v>20</v>
      </c>
      <c r="E129" t="s">
        <v>21</v>
      </c>
      <c r="F129" t="s">
        <v>22</v>
      </c>
      <c r="N129">
        <v>0</v>
      </c>
      <c r="P129" t="s">
        <v>23</v>
      </c>
      <c r="Q129" t="s">
        <v>24</v>
      </c>
      <c r="R129" t="s">
        <v>25</v>
      </c>
      <c r="U129" s="1">
        <v>77474000</v>
      </c>
      <c r="V129" s="1">
        <f t="shared" si="2"/>
        <v>-77474000</v>
      </c>
    </row>
    <row r="130" spans="1:22" x14ac:dyDescent="0.25">
      <c r="A130" t="s">
        <v>19</v>
      </c>
      <c r="B130" s="2">
        <v>1887</v>
      </c>
      <c r="C130" t="s">
        <v>20</v>
      </c>
      <c r="E130" t="s">
        <v>21</v>
      </c>
      <c r="F130" t="s">
        <v>22</v>
      </c>
      <c r="N130">
        <v>0</v>
      </c>
      <c r="P130" t="s">
        <v>23</v>
      </c>
      <c r="Q130" t="s">
        <v>24</v>
      </c>
      <c r="R130" t="s">
        <v>25</v>
      </c>
      <c r="U130" s="1">
        <v>73296000</v>
      </c>
      <c r="V130" s="1">
        <f t="shared" si="2"/>
        <v>-73296000</v>
      </c>
    </row>
    <row r="131" spans="1:22" x14ac:dyDescent="0.25">
      <c r="A131" t="s">
        <v>19</v>
      </c>
      <c r="B131" s="2">
        <v>1886</v>
      </c>
      <c r="C131" t="s">
        <v>20</v>
      </c>
      <c r="E131" t="s">
        <v>21</v>
      </c>
      <c r="F131" t="s">
        <v>22</v>
      </c>
      <c r="N131">
        <v>0</v>
      </c>
      <c r="P131" t="s">
        <v>23</v>
      </c>
      <c r="Q131" t="s">
        <v>24</v>
      </c>
      <c r="R131" t="s">
        <v>25</v>
      </c>
      <c r="U131" s="1">
        <v>73911000</v>
      </c>
      <c r="V131" s="1">
        <f t="shared" ref="V131:V151" si="3">S131-U131</f>
        <v>-73911000</v>
      </c>
    </row>
    <row r="132" spans="1:22" x14ac:dyDescent="0.25">
      <c r="A132" t="s">
        <v>19</v>
      </c>
      <c r="B132" s="2">
        <v>1885</v>
      </c>
      <c r="C132" t="s">
        <v>20</v>
      </c>
      <c r="E132" t="s">
        <v>21</v>
      </c>
      <c r="F132" t="s">
        <v>22</v>
      </c>
      <c r="N132">
        <v>0</v>
      </c>
      <c r="P132" t="s">
        <v>23</v>
      </c>
      <c r="Q132" t="s">
        <v>24</v>
      </c>
      <c r="R132" t="s">
        <v>25</v>
      </c>
      <c r="U132" s="1">
        <v>71854000</v>
      </c>
      <c r="V132" s="1">
        <f t="shared" si="3"/>
        <v>-71854000</v>
      </c>
    </row>
    <row r="133" spans="1:22" x14ac:dyDescent="0.25">
      <c r="A133" t="s">
        <v>19</v>
      </c>
      <c r="B133" s="2">
        <v>1884</v>
      </c>
      <c r="C133" t="s">
        <v>20</v>
      </c>
      <c r="E133" t="s">
        <v>21</v>
      </c>
      <c r="F133" t="s">
        <v>22</v>
      </c>
      <c r="N133">
        <v>0</v>
      </c>
      <c r="P133" t="s">
        <v>23</v>
      </c>
      <c r="Q133" t="s">
        <v>24</v>
      </c>
      <c r="R133" t="s">
        <v>25</v>
      </c>
      <c r="U133" s="1">
        <v>68834000</v>
      </c>
      <c r="V133" s="1">
        <f t="shared" si="3"/>
        <v>-68834000</v>
      </c>
    </row>
    <row r="134" spans="1:22" x14ac:dyDescent="0.25">
      <c r="A134" t="s">
        <v>19</v>
      </c>
      <c r="B134" s="2">
        <v>1883</v>
      </c>
      <c r="C134" t="s">
        <v>20</v>
      </c>
      <c r="E134" t="s">
        <v>21</v>
      </c>
      <c r="F134" t="s">
        <v>22</v>
      </c>
      <c r="N134">
        <v>0</v>
      </c>
      <c r="P134" t="s">
        <v>23</v>
      </c>
      <c r="Q134" t="s">
        <v>24</v>
      </c>
      <c r="R134" t="s">
        <v>25</v>
      </c>
      <c r="U134" s="1">
        <v>68168000</v>
      </c>
      <c r="V134" s="1">
        <f t="shared" si="3"/>
        <v>-68168000</v>
      </c>
    </row>
    <row r="135" spans="1:22" x14ac:dyDescent="0.25">
      <c r="A135" t="s">
        <v>19</v>
      </c>
      <c r="B135" s="2">
        <v>1882</v>
      </c>
      <c r="C135" t="s">
        <v>20</v>
      </c>
      <c r="E135" t="s">
        <v>21</v>
      </c>
      <c r="F135" t="s">
        <v>22</v>
      </c>
      <c r="N135">
        <v>0</v>
      </c>
      <c r="P135" t="s">
        <v>23</v>
      </c>
      <c r="Q135" t="s">
        <v>24</v>
      </c>
      <c r="R135" t="s">
        <v>25</v>
      </c>
      <c r="U135" s="1">
        <v>66157000</v>
      </c>
      <c r="V135" s="1">
        <f t="shared" si="3"/>
        <v>-66157000</v>
      </c>
    </row>
    <row r="136" spans="1:22" x14ac:dyDescent="0.25">
      <c r="A136" t="s">
        <v>19</v>
      </c>
      <c r="B136" s="2">
        <v>1881</v>
      </c>
      <c r="C136" t="s">
        <v>20</v>
      </c>
      <c r="E136" t="s">
        <v>21</v>
      </c>
      <c r="F136" t="s">
        <v>22</v>
      </c>
      <c r="N136">
        <v>0</v>
      </c>
      <c r="P136" t="s">
        <v>23</v>
      </c>
      <c r="Q136" t="s">
        <v>24</v>
      </c>
      <c r="R136" t="s">
        <v>25</v>
      </c>
      <c r="U136" s="1">
        <v>63026000</v>
      </c>
      <c r="V136" s="1">
        <f t="shared" si="3"/>
        <v>-63026000</v>
      </c>
    </row>
    <row r="137" spans="1:22" x14ac:dyDescent="0.25">
      <c r="A137" t="s">
        <v>19</v>
      </c>
      <c r="B137" s="2">
        <v>1880</v>
      </c>
      <c r="C137" t="s">
        <v>20</v>
      </c>
      <c r="E137" t="s">
        <v>21</v>
      </c>
      <c r="F137" t="s">
        <v>22</v>
      </c>
      <c r="N137">
        <v>0</v>
      </c>
      <c r="P137" t="s">
        <v>23</v>
      </c>
      <c r="Q137" t="s">
        <v>24</v>
      </c>
      <c r="R137" t="s">
        <v>25</v>
      </c>
      <c r="U137" s="1">
        <v>62545000</v>
      </c>
      <c r="V137" s="1">
        <f t="shared" si="3"/>
        <v>-62545000</v>
      </c>
    </row>
    <row r="138" spans="1:22" x14ac:dyDescent="0.25">
      <c r="A138" t="s">
        <v>19</v>
      </c>
      <c r="B138" s="2">
        <v>1879</v>
      </c>
      <c r="C138" t="s">
        <v>20</v>
      </c>
      <c r="E138" t="s">
        <v>21</v>
      </c>
      <c r="F138" t="s">
        <v>22</v>
      </c>
      <c r="N138">
        <v>0</v>
      </c>
      <c r="P138" t="s">
        <v>23</v>
      </c>
      <c r="Q138" t="s">
        <v>24</v>
      </c>
      <c r="R138" t="s">
        <v>25</v>
      </c>
      <c r="U138" s="1">
        <v>62229000</v>
      </c>
      <c r="V138" s="1">
        <f t="shared" si="3"/>
        <v>-62229000</v>
      </c>
    </row>
    <row r="139" spans="1:22" x14ac:dyDescent="0.25">
      <c r="A139" t="s">
        <v>19</v>
      </c>
      <c r="B139" s="2">
        <v>1878</v>
      </c>
      <c r="C139" t="s">
        <v>20</v>
      </c>
      <c r="E139" t="s">
        <v>21</v>
      </c>
      <c r="F139" t="s">
        <v>22</v>
      </c>
      <c r="N139">
        <v>0</v>
      </c>
      <c r="P139" t="s">
        <v>23</v>
      </c>
      <c r="Q139" t="s">
        <v>24</v>
      </c>
      <c r="R139" t="s">
        <v>25</v>
      </c>
      <c r="U139" s="1">
        <v>59659000</v>
      </c>
      <c r="V139" s="1">
        <f t="shared" si="3"/>
        <v>-59659000</v>
      </c>
    </row>
    <row r="140" spans="1:22" x14ac:dyDescent="0.25">
      <c r="A140" t="s">
        <v>19</v>
      </c>
      <c r="B140" s="2">
        <v>1877</v>
      </c>
      <c r="C140" t="s">
        <v>20</v>
      </c>
      <c r="E140" t="s">
        <v>21</v>
      </c>
      <c r="F140" t="s">
        <v>22</v>
      </c>
      <c r="N140">
        <v>0</v>
      </c>
      <c r="P140" t="s">
        <v>23</v>
      </c>
      <c r="Q140" t="s">
        <v>24</v>
      </c>
      <c r="R140" t="s">
        <v>25</v>
      </c>
      <c r="U140" s="1">
        <v>58799000</v>
      </c>
      <c r="V140" s="1">
        <f t="shared" si="3"/>
        <v>-58799000</v>
      </c>
    </row>
    <row r="141" spans="1:22" x14ac:dyDescent="0.25">
      <c r="A141" t="s">
        <v>19</v>
      </c>
      <c r="B141" s="2">
        <v>1876</v>
      </c>
      <c r="C141" t="s">
        <v>20</v>
      </c>
      <c r="E141" t="s">
        <v>21</v>
      </c>
      <c r="F141" t="s">
        <v>22</v>
      </c>
      <c r="N141">
        <v>0</v>
      </c>
      <c r="P141" t="s">
        <v>23</v>
      </c>
      <c r="Q141" t="s">
        <v>24</v>
      </c>
      <c r="R141" t="s">
        <v>25</v>
      </c>
      <c r="U141" s="1">
        <v>55277000</v>
      </c>
      <c r="V141" s="1">
        <f t="shared" si="3"/>
        <v>-55277000</v>
      </c>
    </row>
    <row r="142" spans="1:22" x14ac:dyDescent="0.25">
      <c r="A142" t="s">
        <v>19</v>
      </c>
      <c r="B142" s="2">
        <v>1875</v>
      </c>
      <c r="C142" t="s">
        <v>20</v>
      </c>
      <c r="E142" t="s">
        <v>21</v>
      </c>
      <c r="F142" t="s">
        <v>22</v>
      </c>
      <c r="N142">
        <v>0</v>
      </c>
      <c r="P142" t="s">
        <v>23</v>
      </c>
      <c r="Q142" t="s">
        <v>24</v>
      </c>
      <c r="R142" t="s">
        <v>25</v>
      </c>
      <c r="U142" s="1">
        <v>52446000</v>
      </c>
      <c r="V142" s="1">
        <f t="shared" si="3"/>
        <v>-52446000</v>
      </c>
    </row>
    <row r="143" spans="1:22" x14ac:dyDescent="0.25">
      <c r="A143" t="s">
        <v>19</v>
      </c>
      <c r="B143" s="2">
        <v>1874</v>
      </c>
      <c r="C143" t="s">
        <v>20</v>
      </c>
      <c r="E143" t="s">
        <v>21</v>
      </c>
      <c r="F143" t="s">
        <v>22</v>
      </c>
      <c r="N143">
        <v>0</v>
      </c>
      <c r="P143" t="s">
        <v>23</v>
      </c>
      <c r="Q143" t="s">
        <v>24</v>
      </c>
      <c r="R143" t="s">
        <v>25</v>
      </c>
      <c r="U143" s="1">
        <v>47640000</v>
      </c>
      <c r="V143" s="1">
        <f t="shared" si="3"/>
        <v>-47640000</v>
      </c>
    </row>
    <row r="144" spans="1:22" x14ac:dyDescent="0.25">
      <c r="A144" t="s">
        <v>19</v>
      </c>
      <c r="B144" s="2">
        <v>1873</v>
      </c>
      <c r="C144" t="s">
        <v>20</v>
      </c>
      <c r="E144" t="s">
        <v>21</v>
      </c>
      <c r="F144" t="s">
        <v>22</v>
      </c>
      <c r="N144">
        <v>0</v>
      </c>
      <c r="P144" t="s">
        <v>23</v>
      </c>
      <c r="Q144" t="s">
        <v>24</v>
      </c>
      <c r="R144" t="s">
        <v>25</v>
      </c>
      <c r="U144" s="1">
        <v>44084000</v>
      </c>
      <c r="V144" s="1">
        <f t="shared" si="3"/>
        <v>-44084000</v>
      </c>
    </row>
    <row r="145" spans="1:22" x14ac:dyDescent="0.25">
      <c r="A145" t="s">
        <v>19</v>
      </c>
      <c r="B145" s="2">
        <v>1872</v>
      </c>
      <c r="C145" t="s">
        <v>20</v>
      </c>
      <c r="E145" t="s">
        <v>21</v>
      </c>
      <c r="F145" t="s">
        <v>22</v>
      </c>
      <c r="N145">
        <v>0</v>
      </c>
      <c r="P145" t="s">
        <v>23</v>
      </c>
      <c r="Q145" t="s">
        <v>24</v>
      </c>
      <c r="R145" t="s">
        <v>25</v>
      </c>
      <c r="U145" s="1">
        <v>43584000</v>
      </c>
      <c r="V145" s="1">
        <f t="shared" si="3"/>
        <v>-43584000</v>
      </c>
    </row>
    <row r="146" spans="1:22" x14ac:dyDescent="0.25">
      <c r="A146" t="s">
        <v>19</v>
      </c>
      <c r="B146" s="2">
        <v>1871</v>
      </c>
      <c r="C146" t="s">
        <v>20</v>
      </c>
      <c r="E146" t="s">
        <v>21</v>
      </c>
      <c r="F146" t="s">
        <v>22</v>
      </c>
      <c r="N146">
        <v>0</v>
      </c>
      <c r="P146" t="s">
        <v>23</v>
      </c>
      <c r="Q146" t="s">
        <v>24</v>
      </c>
      <c r="R146" t="s">
        <v>25</v>
      </c>
      <c r="U146" s="1">
        <v>42002000</v>
      </c>
      <c r="V146" s="1">
        <f t="shared" si="3"/>
        <v>-42002000</v>
      </c>
    </row>
    <row r="147" spans="1:22" x14ac:dyDescent="0.25">
      <c r="A147" t="s">
        <v>19</v>
      </c>
      <c r="B147" s="2">
        <v>1870</v>
      </c>
      <c r="C147" t="s">
        <v>20</v>
      </c>
      <c r="E147" t="s">
        <v>21</v>
      </c>
      <c r="F147" t="s">
        <v>22</v>
      </c>
      <c r="N147">
        <v>0</v>
      </c>
      <c r="P147" t="s">
        <v>23</v>
      </c>
      <c r="Q147" t="s">
        <v>24</v>
      </c>
      <c r="R147" t="s">
        <v>25</v>
      </c>
      <c r="U147" s="1">
        <v>38388000</v>
      </c>
      <c r="V147" s="1">
        <f t="shared" si="3"/>
        <v>-38388000</v>
      </c>
    </row>
    <row r="148" spans="1:22" x14ac:dyDescent="0.25">
      <c r="A148" t="s">
        <v>19</v>
      </c>
      <c r="B148" s="2">
        <v>1869</v>
      </c>
      <c r="C148" t="s">
        <v>20</v>
      </c>
      <c r="E148" t="s">
        <v>21</v>
      </c>
      <c r="F148" t="s">
        <v>22</v>
      </c>
      <c r="N148">
        <v>0</v>
      </c>
      <c r="P148" t="s">
        <v>23</v>
      </c>
      <c r="Q148" t="s">
        <v>24</v>
      </c>
      <c r="R148" t="s">
        <v>25</v>
      </c>
      <c r="U148" s="1">
        <v>35833000</v>
      </c>
      <c r="V148" s="1">
        <f t="shared" si="3"/>
        <v>-35833000</v>
      </c>
    </row>
    <row r="149" spans="1:22" x14ac:dyDescent="0.25">
      <c r="A149" t="s">
        <v>19</v>
      </c>
      <c r="B149" s="2">
        <v>1868</v>
      </c>
      <c r="C149" t="s">
        <v>20</v>
      </c>
      <c r="E149" t="s">
        <v>21</v>
      </c>
      <c r="F149" t="s">
        <v>22</v>
      </c>
      <c r="N149">
        <v>0</v>
      </c>
      <c r="P149" t="s">
        <v>23</v>
      </c>
      <c r="Q149" t="s">
        <v>24</v>
      </c>
      <c r="R149" t="s">
        <v>25</v>
      </c>
      <c r="U149" s="1">
        <v>35116000</v>
      </c>
      <c r="V149" s="1">
        <f t="shared" si="3"/>
        <v>-35116000</v>
      </c>
    </row>
    <row r="150" spans="1:22" x14ac:dyDescent="0.25">
      <c r="A150" t="s">
        <v>19</v>
      </c>
      <c r="B150" s="2">
        <v>1867</v>
      </c>
      <c r="C150" t="s">
        <v>20</v>
      </c>
      <c r="E150" t="s">
        <v>21</v>
      </c>
      <c r="F150" t="s">
        <v>22</v>
      </c>
      <c r="N150">
        <v>0</v>
      </c>
      <c r="P150" t="s">
        <v>23</v>
      </c>
      <c r="Q150" t="s">
        <v>24</v>
      </c>
      <c r="R150" t="s">
        <v>25</v>
      </c>
      <c r="U150" s="1">
        <v>32116000</v>
      </c>
      <c r="V150" s="1">
        <f t="shared" si="3"/>
        <v>-32116000</v>
      </c>
    </row>
    <row r="151" spans="1:22" x14ac:dyDescent="0.25">
      <c r="A151" t="s">
        <v>19</v>
      </c>
      <c r="B151" s="2">
        <v>1866</v>
      </c>
      <c r="C151" t="s">
        <v>20</v>
      </c>
      <c r="E151" t="s">
        <v>21</v>
      </c>
      <c r="F151" t="s">
        <v>22</v>
      </c>
      <c r="N151">
        <v>0</v>
      </c>
      <c r="P151" t="s">
        <v>23</v>
      </c>
      <c r="Q151" t="s">
        <v>24</v>
      </c>
      <c r="R151" t="s">
        <v>25</v>
      </c>
      <c r="U151" s="1">
        <v>30017000</v>
      </c>
      <c r="V151" s="1">
        <f t="shared" si="3"/>
        <v>-30017000</v>
      </c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"/>
  <sheetViews>
    <sheetView topLeftCell="A13" workbookViewId="0">
      <selection activeCell="X25" sqref="X25:X39"/>
    </sheetView>
  </sheetViews>
  <sheetFormatPr defaultRowHeight="15" x14ac:dyDescent="0.25"/>
  <sheetData>
    <row r="1" spans="1:25" ht="67.5" x14ac:dyDescent="0.25">
      <c r="A1" s="6" t="s">
        <v>0</v>
      </c>
      <c r="B1" s="10" t="s">
        <v>1</v>
      </c>
      <c r="C1" s="9" t="s">
        <v>2</v>
      </c>
      <c r="D1" s="9" t="s">
        <v>4</v>
      </c>
      <c r="E1" s="9" t="s">
        <v>5</v>
      </c>
      <c r="F1" s="9" t="s">
        <v>6</v>
      </c>
      <c r="G1" s="9" t="s">
        <v>13</v>
      </c>
      <c r="H1" s="9" t="s">
        <v>15</v>
      </c>
      <c r="I1" s="9" t="s">
        <v>16</v>
      </c>
      <c r="J1" s="9" t="s">
        <v>17</v>
      </c>
      <c r="K1" s="3" t="s">
        <v>29</v>
      </c>
      <c r="L1" s="3" t="s">
        <v>29</v>
      </c>
      <c r="N1" s="6" t="s">
        <v>0</v>
      </c>
      <c r="O1" s="10" t="s">
        <v>1</v>
      </c>
      <c r="P1" s="9" t="s">
        <v>2</v>
      </c>
      <c r="Q1" s="9" t="s">
        <v>4</v>
      </c>
      <c r="R1" s="9" t="s">
        <v>5</v>
      </c>
      <c r="S1" s="9" t="s">
        <v>6</v>
      </c>
      <c r="T1" s="9" t="s">
        <v>13</v>
      </c>
      <c r="U1" s="9" t="s">
        <v>15</v>
      </c>
      <c r="V1" s="9" t="s">
        <v>16</v>
      </c>
      <c r="W1" s="9" t="s">
        <v>17</v>
      </c>
      <c r="X1" s="3" t="s">
        <v>35</v>
      </c>
      <c r="Y1" s="3" t="s">
        <v>35</v>
      </c>
    </row>
    <row r="2" spans="1:25" x14ac:dyDescent="0.25">
      <c r="A2" s="7"/>
      <c r="B2" s="11"/>
      <c r="C2" s="13"/>
      <c r="D2" s="13"/>
      <c r="E2" s="13"/>
      <c r="F2" s="13"/>
      <c r="G2" s="13"/>
      <c r="H2" s="13"/>
      <c r="I2" s="13"/>
      <c r="J2" s="13"/>
      <c r="K2" s="4" t="s">
        <v>30</v>
      </c>
      <c r="L2" s="4" t="s">
        <v>30</v>
      </c>
      <c r="N2" s="7"/>
      <c r="O2" s="11"/>
      <c r="P2" s="13"/>
      <c r="Q2" s="13"/>
      <c r="R2" s="13"/>
      <c r="S2" s="13"/>
      <c r="T2" s="13"/>
      <c r="U2" s="13"/>
      <c r="V2" s="13"/>
      <c r="W2" s="13"/>
      <c r="X2" s="4" t="s">
        <v>30</v>
      </c>
      <c r="Y2" s="4" t="s">
        <v>30</v>
      </c>
    </row>
    <row r="3" spans="1:25" ht="15.75" thickBot="1" x14ac:dyDescent="0.3">
      <c r="A3" s="8"/>
      <c r="B3" s="12"/>
      <c r="C3" s="14"/>
      <c r="D3" s="14"/>
      <c r="E3" s="14"/>
      <c r="F3" s="14"/>
      <c r="G3" s="14"/>
      <c r="H3" s="14"/>
      <c r="I3" s="14"/>
      <c r="J3" s="14"/>
      <c r="K3" s="5" t="s">
        <v>31</v>
      </c>
      <c r="L3" s="5" t="s">
        <v>32</v>
      </c>
      <c r="N3" s="8"/>
      <c r="O3" s="12"/>
      <c r="P3" s="14"/>
      <c r="Q3" s="14"/>
      <c r="R3" s="14"/>
      <c r="S3" s="14"/>
      <c r="T3" s="14"/>
      <c r="U3" s="14"/>
      <c r="V3" s="14"/>
      <c r="W3" s="14"/>
      <c r="X3" s="5" t="s">
        <v>31</v>
      </c>
      <c r="Y3" s="5" t="s">
        <v>32</v>
      </c>
    </row>
    <row r="4" spans="1:25" x14ac:dyDescent="0.25">
      <c r="A4" s="15"/>
      <c r="N4" s="15"/>
    </row>
    <row r="5" spans="1:25" ht="15.75" thickBot="1" x14ac:dyDescent="0.3">
      <c r="A5" s="16"/>
      <c r="N5" s="16"/>
    </row>
    <row r="6" spans="1:25" ht="15.75" thickBot="1" x14ac:dyDescent="0.3">
      <c r="A6" s="16"/>
      <c r="N6" s="16"/>
    </row>
    <row r="7" spans="1:25" ht="15.75" thickBot="1" x14ac:dyDescent="0.3">
      <c r="A7" s="16"/>
      <c r="N7" s="16"/>
    </row>
    <row r="8" spans="1:25" ht="15.75" thickBot="1" x14ac:dyDescent="0.3">
      <c r="A8" s="16"/>
      <c r="N8" s="16"/>
    </row>
    <row r="9" spans="1:25" ht="15.75" thickBot="1" x14ac:dyDescent="0.3">
      <c r="A9" s="16"/>
      <c r="N9" s="16"/>
    </row>
    <row r="10" spans="1:25" ht="15.75" thickBot="1" x14ac:dyDescent="0.3">
      <c r="A10" s="16"/>
      <c r="N10" s="16"/>
    </row>
    <row r="11" spans="1:25" ht="15.75" thickBot="1" x14ac:dyDescent="0.3">
      <c r="A11" s="16"/>
      <c r="N11" s="16"/>
    </row>
    <row r="12" spans="1:25" ht="15.75" thickBot="1" x14ac:dyDescent="0.3">
      <c r="A12" s="16"/>
      <c r="N12" s="16"/>
    </row>
    <row r="13" spans="1:25" ht="15.75" thickBot="1" x14ac:dyDescent="0.3">
      <c r="A13" s="16"/>
      <c r="N13" s="16"/>
    </row>
    <row r="14" spans="1:25" ht="15.75" thickBot="1" x14ac:dyDescent="0.3">
      <c r="A14" s="16"/>
      <c r="N14" s="16"/>
    </row>
    <row r="15" spans="1:25" ht="15.75" thickBot="1" x14ac:dyDescent="0.3">
      <c r="A15" s="16"/>
      <c r="N15" s="16"/>
    </row>
    <row r="16" spans="1:25" ht="15.75" thickBot="1" x14ac:dyDescent="0.3">
      <c r="A16" s="16"/>
      <c r="N16" s="16"/>
    </row>
    <row r="17" spans="1:25" ht="15.75" thickBot="1" x14ac:dyDescent="0.3">
      <c r="A17" s="16"/>
      <c r="N17" s="16"/>
    </row>
    <row r="18" spans="1:25" ht="15.75" thickBot="1" x14ac:dyDescent="0.3">
      <c r="A18" s="16"/>
      <c r="N18" s="16"/>
    </row>
    <row r="19" spans="1:25" ht="15.75" thickBot="1" x14ac:dyDescent="0.3">
      <c r="A19" s="16"/>
      <c r="N19" s="16"/>
    </row>
    <row r="20" spans="1:25" ht="15.75" thickBot="1" x14ac:dyDescent="0.3">
      <c r="A20" s="16"/>
      <c r="N20" s="16"/>
    </row>
    <row r="21" spans="1:25" ht="15.75" thickBot="1" x14ac:dyDescent="0.3">
      <c r="A21" s="16"/>
      <c r="N21" s="16"/>
    </row>
    <row r="22" spans="1:25" ht="15.75" thickBot="1" x14ac:dyDescent="0.3">
      <c r="A22" s="16"/>
      <c r="N22" s="16"/>
    </row>
    <row r="23" spans="1:25" ht="15.75" thickBot="1" x14ac:dyDescent="0.3">
      <c r="A23" s="16"/>
      <c r="N23" s="16"/>
    </row>
    <row r="24" spans="1:25" ht="15.75" thickBot="1" x14ac:dyDescent="0.3">
      <c r="A24" s="15"/>
      <c r="N24" s="15"/>
    </row>
    <row r="25" spans="1:25" ht="23.25" thickBot="1" x14ac:dyDescent="0.3">
      <c r="A25" s="17" t="s">
        <v>19</v>
      </c>
      <c r="B25" s="18">
        <v>2014</v>
      </c>
      <c r="C25" s="18" t="s">
        <v>20</v>
      </c>
      <c r="D25" s="18" t="s">
        <v>21</v>
      </c>
      <c r="E25" s="18" t="s">
        <v>22</v>
      </c>
      <c r="F25" s="18" t="s">
        <v>33</v>
      </c>
      <c r="G25" s="18">
        <v>0</v>
      </c>
      <c r="H25" s="18" t="s">
        <v>23</v>
      </c>
      <c r="I25" s="18" t="s">
        <v>24</v>
      </c>
      <c r="J25" s="18" t="s">
        <v>25</v>
      </c>
      <c r="K25" s="18">
        <v>4.1100000000000003</v>
      </c>
      <c r="L25" s="18" t="s">
        <v>33</v>
      </c>
      <c r="N25" s="18" t="s">
        <v>19</v>
      </c>
      <c r="O25" s="17">
        <v>2014</v>
      </c>
      <c r="P25" s="18" t="s">
        <v>20</v>
      </c>
      <c r="Q25" s="18" t="s">
        <v>21</v>
      </c>
      <c r="R25" s="18" t="s">
        <v>22</v>
      </c>
      <c r="S25" s="18" t="s">
        <v>33</v>
      </c>
      <c r="T25" s="18">
        <v>0</v>
      </c>
      <c r="U25" s="18" t="s">
        <v>36</v>
      </c>
      <c r="V25" s="18" t="s">
        <v>24</v>
      </c>
      <c r="W25" s="18" t="s">
        <v>25</v>
      </c>
      <c r="X25" s="18">
        <v>12.5</v>
      </c>
      <c r="Y25" s="18" t="s">
        <v>33</v>
      </c>
    </row>
    <row r="26" spans="1:25" ht="22.5" x14ac:dyDescent="0.25">
      <c r="A26" s="18" t="s">
        <v>19</v>
      </c>
      <c r="B26" s="18">
        <v>2013</v>
      </c>
      <c r="C26" s="18" t="s">
        <v>20</v>
      </c>
      <c r="D26" s="18" t="s">
        <v>21</v>
      </c>
      <c r="E26" s="18" t="s">
        <v>22</v>
      </c>
      <c r="F26" s="18" t="s">
        <v>33</v>
      </c>
      <c r="G26" s="18">
        <v>0</v>
      </c>
      <c r="H26" s="18" t="s">
        <v>23</v>
      </c>
      <c r="I26" s="18" t="s">
        <v>24</v>
      </c>
      <c r="J26" s="18" t="s">
        <v>25</v>
      </c>
      <c r="K26" s="18">
        <v>6.15</v>
      </c>
      <c r="L26" s="18" t="s">
        <v>33</v>
      </c>
      <c r="N26" s="18" t="s">
        <v>19</v>
      </c>
      <c r="O26" s="18">
        <v>2013</v>
      </c>
      <c r="P26" s="18" t="s">
        <v>20</v>
      </c>
      <c r="Q26" s="18" t="s">
        <v>21</v>
      </c>
      <c r="R26" s="18" t="s">
        <v>22</v>
      </c>
      <c r="S26" s="18" t="s">
        <v>33</v>
      </c>
      <c r="T26" s="18">
        <v>0</v>
      </c>
      <c r="U26" s="18" t="s">
        <v>36</v>
      </c>
      <c r="V26" s="18" t="s">
        <v>24</v>
      </c>
      <c r="W26" s="18" t="s">
        <v>25</v>
      </c>
      <c r="X26" s="18">
        <v>14.1</v>
      </c>
      <c r="Y26" s="18" t="s">
        <v>33</v>
      </c>
    </row>
    <row r="27" spans="1:25" ht="22.5" x14ac:dyDescent="0.25">
      <c r="A27" s="18" t="s">
        <v>19</v>
      </c>
      <c r="B27" s="18">
        <v>2012</v>
      </c>
      <c r="C27" s="18" t="s">
        <v>20</v>
      </c>
      <c r="D27" s="18" t="s">
        <v>21</v>
      </c>
      <c r="E27" s="18" t="s">
        <v>22</v>
      </c>
      <c r="F27" s="18" t="s">
        <v>33</v>
      </c>
      <c r="G27" s="18">
        <v>0</v>
      </c>
      <c r="H27" s="18" t="s">
        <v>23</v>
      </c>
      <c r="I27" s="18" t="s">
        <v>24</v>
      </c>
      <c r="J27" s="18" t="s">
        <v>25</v>
      </c>
      <c r="K27" s="18">
        <v>6.67</v>
      </c>
      <c r="L27" s="18" t="s">
        <v>33</v>
      </c>
      <c r="N27" s="18" t="s">
        <v>19</v>
      </c>
      <c r="O27" s="18">
        <v>2012</v>
      </c>
      <c r="P27" s="18" t="s">
        <v>20</v>
      </c>
      <c r="Q27" s="18" t="s">
        <v>21</v>
      </c>
      <c r="R27" s="18" t="s">
        <v>22</v>
      </c>
      <c r="S27" s="18" t="s">
        <v>33</v>
      </c>
      <c r="T27" s="18">
        <v>0</v>
      </c>
      <c r="U27" s="18" t="s">
        <v>36</v>
      </c>
      <c r="V27" s="18" t="s">
        <v>24</v>
      </c>
      <c r="W27" s="18" t="s">
        <v>25</v>
      </c>
      <c r="X27" s="18">
        <v>14</v>
      </c>
      <c r="Y27" s="18" t="s">
        <v>33</v>
      </c>
    </row>
    <row r="28" spans="1:25" ht="22.5" x14ac:dyDescent="0.25">
      <c r="A28" s="18" t="s">
        <v>19</v>
      </c>
      <c r="B28" s="18">
        <v>2011</v>
      </c>
      <c r="C28" s="18" t="s">
        <v>20</v>
      </c>
      <c r="D28" s="18" t="s">
        <v>21</v>
      </c>
      <c r="E28" s="18" t="s">
        <v>22</v>
      </c>
      <c r="F28" s="18" t="s">
        <v>33</v>
      </c>
      <c r="G28" s="18">
        <v>0</v>
      </c>
      <c r="H28" s="18" t="s">
        <v>23</v>
      </c>
      <c r="I28" s="18" t="s">
        <v>24</v>
      </c>
      <c r="J28" s="18" t="s">
        <v>25</v>
      </c>
      <c r="K28" s="18">
        <v>6.02</v>
      </c>
      <c r="L28" s="18" t="s">
        <v>33</v>
      </c>
      <c r="N28" s="18" t="s">
        <v>19</v>
      </c>
      <c r="O28" s="18">
        <v>2011</v>
      </c>
      <c r="P28" s="18" t="s">
        <v>20</v>
      </c>
      <c r="Q28" s="18" t="s">
        <v>21</v>
      </c>
      <c r="R28" s="18" t="s">
        <v>22</v>
      </c>
      <c r="S28" s="18" t="s">
        <v>33</v>
      </c>
      <c r="T28" s="18">
        <v>0</v>
      </c>
      <c r="U28" s="18" t="s">
        <v>36</v>
      </c>
      <c r="V28" s="18" t="s">
        <v>24</v>
      </c>
      <c r="W28" s="18" t="s">
        <v>25</v>
      </c>
      <c r="X28" s="18">
        <v>12.5</v>
      </c>
      <c r="Y28" s="18" t="s">
        <v>33</v>
      </c>
    </row>
    <row r="29" spans="1:25" ht="22.5" x14ac:dyDescent="0.25">
      <c r="A29" s="18" t="s">
        <v>19</v>
      </c>
      <c r="B29" s="18">
        <v>2010</v>
      </c>
      <c r="C29" s="18" t="s">
        <v>20</v>
      </c>
      <c r="D29" s="18" t="s">
        <v>21</v>
      </c>
      <c r="E29" s="18" t="s">
        <v>22</v>
      </c>
      <c r="F29" s="18" t="s">
        <v>33</v>
      </c>
      <c r="G29" s="18">
        <v>0</v>
      </c>
      <c r="H29" s="18" t="s">
        <v>23</v>
      </c>
      <c r="I29" s="18" t="s">
        <v>24</v>
      </c>
      <c r="J29" s="18" t="s">
        <v>25</v>
      </c>
      <c r="K29" s="18">
        <v>3.83</v>
      </c>
      <c r="L29" s="18" t="s">
        <v>33</v>
      </c>
      <c r="N29" s="18" t="s">
        <v>19</v>
      </c>
      <c r="O29" s="18">
        <v>2010</v>
      </c>
      <c r="P29" s="18" t="s">
        <v>20</v>
      </c>
      <c r="Q29" s="18" t="s">
        <v>21</v>
      </c>
      <c r="R29" s="18" t="s">
        <v>22</v>
      </c>
      <c r="S29" s="18" t="s">
        <v>33</v>
      </c>
      <c r="T29" s="18">
        <v>0</v>
      </c>
      <c r="U29" s="18" t="s">
        <v>36</v>
      </c>
      <c r="V29" s="18" t="s">
        <v>24</v>
      </c>
      <c r="W29" s="18" t="s">
        <v>25</v>
      </c>
      <c r="X29" s="18">
        <v>9.9700000000000006</v>
      </c>
      <c r="Y29" s="18" t="s">
        <v>33</v>
      </c>
    </row>
    <row r="30" spans="1:25" ht="22.5" x14ac:dyDescent="0.25">
      <c r="A30" s="18" t="s">
        <v>19</v>
      </c>
      <c r="B30" s="18">
        <v>2009</v>
      </c>
      <c r="C30" s="18" t="s">
        <v>20</v>
      </c>
      <c r="D30" s="18" t="s">
        <v>21</v>
      </c>
      <c r="E30" s="18" t="s">
        <v>22</v>
      </c>
      <c r="F30" s="18" t="s">
        <v>33</v>
      </c>
      <c r="G30" s="18">
        <v>0</v>
      </c>
      <c r="H30" s="18" t="s">
        <v>23</v>
      </c>
      <c r="I30" s="18" t="s">
        <v>24</v>
      </c>
      <c r="J30" s="18" t="s">
        <v>25</v>
      </c>
      <c r="K30" s="18">
        <v>3.75</v>
      </c>
      <c r="L30" s="18" t="s">
        <v>33</v>
      </c>
      <c r="N30" s="18" t="s">
        <v>19</v>
      </c>
      <c r="O30" s="18">
        <v>2009</v>
      </c>
      <c r="P30" s="18" t="s">
        <v>20</v>
      </c>
      <c r="Q30" s="18" t="s">
        <v>21</v>
      </c>
      <c r="R30" s="18" t="s">
        <v>22</v>
      </c>
      <c r="S30" s="18" t="s">
        <v>33</v>
      </c>
      <c r="T30" s="18">
        <v>0</v>
      </c>
      <c r="U30" s="18" t="s">
        <v>36</v>
      </c>
      <c r="V30" s="18" t="s">
        <v>24</v>
      </c>
      <c r="W30" s="18" t="s">
        <v>25</v>
      </c>
      <c r="X30" s="18">
        <v>10.1</v>
      </c>
      <c r="Y30" s="18" t="s">
        <v>33</v>
      </c>
    </row>
    <row r="31" spans="1:25" ht="22.5" x14ac:dyDescent="0.25">
      <c r="A31" s="18" t="s">
        <v>19</v>
      </c>
      <c r="B31" s="18">
        <v>2008</v>
      </c>
      <c r="C31" s="18" t="s">
        <v>20</v>
      </c>
      <c r="D31" s="18" t="s">
        <v>21</v>
      </c>
      <c r="E31" s="18" t="s">
        <v>22</v>
      </c>
      <c r="F31" s="18" t="s">
        <v>33</v>
      </c>
      <c r="G31" s="18">
        <v>0</v>
      </c>
      <c r="H31" s="18" t="s">
        <v>23</v>
      </c>
      <c r="I31" s="18" t="s">
        <v>24</v>
      </c>
      <c r="J31" s="18" t="s">
        <v>25</v>
      </c>
      <c r="K31" s="18">
        <v>4.78</v>
      </c>
      <c r="L31" s="18" t="s">
        <v>33</v>
      </c>
      <c r="N31" s="18" t="s">
        <v>19</v>
      </c>
      <c r="O31" s="18">
        <v>2008</v>
      </c>
      <c r="P31" s="18" t="s">
        <v>20</v>
      </c>
      <c r="Q31" s="18" t="s">
        <v>21</v>
      </c>
      <c r="R31" s="18" t="s">
        <v>22</v>
      </c>
      <c r="S31" s="18" t="s">
        <v>33</v>
      </c>
      <c r="T31" s="18">
        <v>0</v>
      </c>
      <c r="U31" s="18" t="s">
        <v>36</v>
      </c>
      <c r="V31" s="18" t="s">
        <v>24</v>
      </c>
      <c r="W31" s="18" t="s">
        <v>25</v>
      </c>
      <c r="X31" s="18">
        <v>11.3</v>
      </c>
      <c r="Y31" s="18" t="s">
        <v>33</v>
      </c>
    </row>
    <row r="32" spans="1:25" ht="22.5" x14ac:dyDescent="0.25">
      <c r="A32" s="18" t="s">
        <v>19</v>
      </c>
      <c r="B32" s="18">
        <v>2007</v>
      </c>
      <c r="C32" s="18" t="s">
        <v>20</v>
      </c>
      <c r="D32" s="18" t="s">
        <v>21</v>
      </c>
      <c r="E32" s="18" t="s">
        <v>22</v>
      </c>
      <c r="F32" s="18" t="s">
        <v>33</v>
      </c>
      <c r="G32" s="18">
        <v>0</v>
      </c>
      <c r="H32" s="18" t="s">
        <v>23</v>
      </c>
      <c r="I32" s="18" t="s">
        <v>24</v>
      </c>
      <c r="J32" s="18" t="s">
        <v>25</v>
      </c>
      <c r="K32" s="18">
        <v>3.39</v>
      </c>
      <c r="L32" s="18" t="s">
        <v>33</v>
      </c>
      <c r="N32" s="18" t="s">
        <v>19</v>
      </c>
      <c r="O32" s="18">
        <v>2007</v>
      </c>
      <c r="P32" s="18" t="s">
        <v>20</v>
      </c>
      <c r="Q32" s="18" t="s">
        <v>21</v>
      </c>
      <c r="R32" s="18" t="s">
        <v>22</v>
      </c>
      <c r="S32" s="18" t="s">
        <v>33</v>
      </c>
      <c r="T32" s="18">
        <v>0</v>
      </c>
      <c r="U32" s="18" t="s">
        <v>36</v>
      </c>
      <c r="V32" s="18" t="s">
        <v>24</v>
      </c>
      <c r="W32" s="18" t="s">
        <v>25</v>
      </c>
      <c r="X32" s="18">
        <v>7.74</v>
      </c>
      <c r="Y32" s="18" t="s">
        <v>33</v>
      </c>
    </row>
    <row r="33" spans="1:25" ht="22.5" x14ac:dyDescent="0.25">
      <c r="A33" s="18" t="s">
        <v>19</v>
      </c>
      <c r="B33" s="18">
        <v>2006</v>
      </c>
      <c r="C33" s="18" t="s">
        <v>20</v>
      </c>
      <c r="D33" s="18" t="s">
        <v>21</v>
      </c>
      <c r="E33" s="18" t="s">
        <v>22</v>
      </c>
      <c r="F33" s="18" t="s">
        <v>33</v>
      </c>
      <c r="G33" s="18">
        <v>0</v>
      </c>
      <c r="H33" s="18" t="s">
        <v>23</v>
      </c>
      <c r="I33" s="18" t="s">
        <v>24</v>
      </c>
      <c r="J33" s="18" t="s">
        <v>25</v>
      </c>
      <c r="K33" s="18">
        <v>2.2799999999999998</v>
      </c>
      <c r="L33" s="18" t="s">
        <v>33</v>
      </c>
      <c r="N33" s="18" t="s">
        <v>19</v>
      </c>
      <c r="O33" s="18">
        <v>2006</v>
      </c>
      <c r="P33" s="18" t="s">
        <v>20</v>
      </c>
      <c r="Q33" s="18" t="s">
        <v>21</v>
      </c>
      <c r="R33" s="18" t="s">
        <v>22</v>
      </c>
      <c r="S33" s="18" t="s">
        <v>33</v>
      </c>
      <c r="T33" s="18">
        <v>0</v>
      </c>
      <c r="U33" s="18" t="s">
        <v>36</v>
      </c>
      <c r="V33" s="18" t="s">
        <v>24</v>
      </c>
      <c r="W33" s="18" t="s">
        <v>25</v>
      </c>
      <c r="X33" s="18">
        <v>5.65</v>
      </c>
      <c r="Y33" s="18" t="s">
        <v>33</v>
      </c>
    </row>
    <row r="34" spans="1:25" ht="22.5" x14ac:dyDescent="0.25">
      <c r="A34" s="18" t="s">
        <v>19</v>
      </c>
      <c r="B34" s="18">
        <v>2005</v>
      </c>
      <c r="C34" s="18" t="s">
        <v>20</v>
      </c>
      <c r="D34" s="18" t="s">
        <v>21</v>
      </c>
      <c r="E34" s="18" t="s">
        <v>22</v>
      </c>
      <c r="F34" s="18" t="s">
        <v>33</v>
      </c>
      <c r="G34" s="18">
        <v>0</v>
      </c>
      <c r="H34" s="18" t="s">
        <v>23</v>
      </c>
      <c r="I34" s="18" t="s">
        <v>24</v>
      </c>
      <c r="J34" s="18" t="s">
        <v>25</v>
      </c>
      <c r="K34" s="18">
        <v>1.96</v>
      </c>
      <c r="L34" s="18" t="s">
        <v>33</v>
      </c>
      <c r="N34" s="18" t="s">
        <v>19</v>
      </c>
      <c r="O34" s="18">
        <v>2005</v>
      </c>
      <c r="P34" s="18" t="s">
        <v>20</v>
      </c>
      <c r="Q34" s="18" t="s">
        <v>21</v>
      </c>
      <c r="R34" s="18" t="s">
        <v>22</v>
      </c>
      <c r="S34" s="18" t="s">
        <v>33</v>
      </c>
      <c r="T34" s="18">
        <v>0</v>
      </c>
      <c r="U34" s="18" t="s">
        <v>36</v>
      </c>
      <c r="V34" s="18" t="s">
        <v>24</v>
      </c>
      <c r="W34" s="18" t="s">
        <v>25</v>
      </c>
      <c r="X34" s="18">
        <v>5.95</v>
      </c>
      <c r="Y34" s="18" t="s">
        <v>33</v>
      </c>
    </row>
    <row r="35" spans="1:25" ht="22.5" x14ac:dyDescent="0.25">
      <c r="A35" s="18" t="s">
        <v>19</v>
      </c>
      <c r="B35" s="18">
        <v>2004</v>
      </c>
      <c r="C35" s="18" t="s">
        <v>20</v>
      </c>
      <c r="D35" s="18" t="s">
        <v>21</v>
      </c>
      <c r="E35" s="18" t="s">
        <v>22</v>
      </c>
      <c r="F35" s="18" t="s">
        <v>33</v>
      </c>
      <c r="G35" s="18">
        <v>0</v>
      </c>
      <c r="H35" s="18" t="s">
        <v>23</v>
      </c>
      <c r="I35" s="18" t="s">
        <v>24</v>
      </c>
      <c r="J35" s="18" t="s">
        <v>25</v>
      </c>
      <c r="K35" s="18">
        <v>2.4700000000000002</v>
      </c>
      <c r="L35" s="18" t="s">
        <v>33</v>
      </c>
      <c r="N35" s="18" t="s">
        <v>19</v>
      </c>
      <c r="O35" s="18">
        <v>2004</v>
      </c>
      <c r="P35" s="18" t="s">
        <v>20</v>
      </c>
      <c r="Q35" s="18" t="s">
        <v>21</v>
      </c>
      <c r="R35" s="18" t="s">
        <v>22</v>
      </c>
      <c r="S35" s="18" t="s">
        <v>33</v>
      </c>
      <c r="T35" s="18">
        <v>0</v>
      </c>
      <c r="U35" s="18" t="s">
        <v>36</v>
      </c>
      <c r="V35" s="18" t="s">
        <v>24</v>
      </c>
      <c r="W35" s="18" t="s">
        <v>25</v>
      </c>
      <c r="X35" s="18">
        <v>7.56</v>
      </c>
      <c r="Y35" s="18" t="s">
        <v>33</v>
      </c>
    </row>
    <row r="36" spans="1:25" ht="22.5" x14ac:dyDescent="0.25">
      <c r="A36" s="18" t="s">
        <v>19</v>
      </c>
      <c r="B36" s="18">
        <v>2003</v>
      </c>
      <c r="C36" s="18" t="s">
        <v>20</v>
      </c>
      <c r="D36" s="18" t="s">
        <v>21</v>
      </c>
      <c r="E36" s="18" t="s">
        <v>22</v>
      </c>
      <c r="F36" s="18" t="s">
        <v>33</v>
      </c>
      <c r="G36" s="18">
        <v>0</v>
      </c>
      <c r="H36" s="18" t="s">
        <v>23</v>
      </c>
      <c r="I36" s="18" t="s">
        <v>24</v>
      </c>
      <c r="J36" s="18" t="s">
        <v>25</v>
      </c>
      <c r="K36" s="18">
        <v>2.27</v>
      </c>
      <c r="L36" s="18" t="s">
        <v>33</v>
      </c>
      <c r="N36" s="18" t="s">
        <v>19</v>
      </c>
      <c r="O36" s="18">
        <v>2003</v>
      </c>
      <c r="P36" s="18" t="s">
        <v>20</v>
      </c>
      <c r="Q36" s="18" t="s">
        <v>21</v>
      </c>
      <c r="R36" s="18" t="s">
        <v>22</v>
      </c>
      <c r="S36" s="18" t="s">
        <v>33</v>
      </c>
      <c r="T36" s="18">
        <v>0</v>
      </c>
      <c r="U36" s="18" t="s">
        <v>36</v>
      </c>
      <c r="V36" s="18" t="s">
        <v>24</v>
      </c>
      <c r="W36" s="18" t="s">
        <v>25</v>
      </c>
      <c r="X36" s="18">
        <v>6.08</v>
      </c>
      <c r="Y36" s="18" t="s">
        <v>33</v>
      </c>
    </row>
    <row r="37" spans="1:25" ht="22.5" x14ac:dyDescent="0.25">
      <c r="A37" s="18" t="s">
        <v>19</v>
      </c>
      <c r="B37" s="18">
        <v>2002</v>
      </c>
      <c r="C37" s="18" t="s">
        <v>20</v>
      </c>
      <c r="D37" s="18" t="s">
        <v>21</v>
      </c>
      <c r="E37" s="18" t="s">
        <v>22</v>
      </c>
      <c r="F37" s="18" t="s">
        <v>33</v>
      </c>
      <c r="G37" s="18">
        <v>0</v>
      </c>
      <c r="H37" s="18" t="s">
        <v>23</v>
      </c>
      <c r="I37" s="18" t="s">
        <v>24</v>
      </c>
      <c r="J37" s="18" t="s">
        <v>25</v>
      </c>
      <c r="K37" s="18">
        <v>2.13</v>
      </c>
      <c r="L37" s="18" t="s">
        <v>33</v>
      </c>
      <c r="N37" s="18" t="s">
        <v>19</v>
      </c>
      <c r="O37" s="18">
        <v>2002</v>
      </c>
      <c r="P37" s="18" t="s">
        <v>20</v>
      </c>
      <c r="Q37" s="18" t="s">
        <v>21</v>
      </c>
      <c r="R37" s="18" t="s">
        <v>22</v>
      </c>
      <c r="S37" s="18" t="s">
        <v>33</v>
      </c>
      <c r="T37" s="18">
        <v>0</v>
      </c>
      <c r="U37" s="18" t="s">
        <v>36</v>
      </c>
      <c r="V37" s="18" t="s">
        <v>24</v>
      </c>
      <c r="W37" s="18" t="s">
        <v>25</v>
      </c>
      <c r="X37" s="18">
        <v>4.93</v>
      </c>
      <c r="Y37" s="18" t="s">
        <v>33</v>
      </c>
    </row>
    <row r="38" spans="1:25" ht="22.5" x14ac:dyDescent="0.25">
      <c r="A38" s="18" t="s">
        <v>19</v>
      </c>
      <c r="B38" s="18">
        <v>2001</v>
      </c>
      <c r="C38" s="18" t="s">
        <v>20</v>
      </c>
      <c r="D38" s="18" t="s">
        <v>21</v>
      </c>
      <c r="E38" s="18" t="s">
        <v>22</v>
      </c>
      <c r="F38" s="18" t="s">
        <v>33</v>
      </c>
      <c r="G38" s="18">
        <v>0</v>
      </c>
      <c r="H38" s="18" t="s">
        <v>23</v>
      </c>
      <c r="I38" s="18" t="s">
        <v>24</v>
      </c>
      <c r="J38" s="18" t="s">
        <v>25</v>
      </c>
      <c r="K38" s="18">
        <v>1.89</v>
      </c>
      <c r="L38" s="18" t="s">
        <v>33</v>
      </c>
      <c r="N38" s="18" t="s">
        <v>19</v>
      </c>
      <c r="O38" s="18">
        <v>2001</v>
      </c>
      <c r="P38" s="18" t="s">
        <v>20</v>
      </c>
      <c r="Q38" s="18" t="s">
        <v>21</v>
      </c>
      <c r="R38" s="18" t="s">
        <v>22</v>
      </c>
      <c r="S38" s="18" t="s">
        <v>33</v>
      </c>
      <c r="T38" s="18">
        <v>0</v>
      </c>
      <c r="U38" s="18" t="s">
        <v>36</v>
      </c>
      <c r="V38" s="18" t="s">
        <v>24</v>
      </c>
      <c r="W38" s="18" t="s">
        <v>25</v>
      </c>
      <c r="X38" s="18">
        <v>4.43</v>
      </c>
      <c r="Y38" s="18" t="s">
        <v>33</v>
      </c>
    </row>
    <row r="39" spans="1:25" ht="22.5" x14ac:dyDescent="0.25">
      <c r="A39" s="18" t="s">
        <v>19</v>
      </c>
      <c r="B39" s="18">
        <v>2000</v>
      </c>
      <c r="C39" s="18" t="s">
        <v>20</v>
      </c>
      <c r="D39" s="18" t="s">
        <v>21</v>
      </c>
      <c r="E39" s="18" t="s">
        <v>22</v>
      </c>
      <c r="F39" s="18" t="s">
        <v>33</v>
      </c>
      <c r="G39" s="18">
        <v>0</v>
      </c>
      <c r="H39" s="18" t="s">
        <v>23</v>
      </c>
      <c r="I39" s="18" t="s">
        <v>24</v>
      </c>
      <c r="J39" s="18" t="s">
        <v>25</v>
      </c>
      <c r="K39" s="18">
        <v>1.86</v>
      </c>
      <c r="L39" s="18" t="s">
        <v>33</v>
      </c>
      <c r="N39" s="19" t="s">
        <v>19</v>
      </c>
      <c r="O39" s="19">
        <v>2000</v>
      </c>
      <c r="P39" s="19" t="s">
        <v>20</v>
      </c>
      <c r="Q39" s="19" t="s">
        <v>21</v>
      </c>
      <c r="R39" s="19" t="s">
        <v>22</v>
      </c>
      <c r="S39" s="19" t="s">
        <v>33</v>
      </c>
      <c r="T39" s="19">
        <v>0</v>
      </c>
      <c r="U39" s="19" t="s">
        <v>36</v>
      </c>
      <c r="V39" s="19" t="s">
        <v>24</v>
      </c>
      <c r="W39" s="19" t="s">
        <v>25</v>
      </c>
      <c r="X39" s="19">
        <v>4.7300000000000004</v>
      </c>
      <c r="Y39" s="20" t="s">
        <v>33</v>
      </c>
    </row>
    <row r="40" spans="1:25" ht="22.5" x14ac:dyDescent="0.25">
      <c r="A40" s="18" t="s">
        <v>19</v>
      </c>
      <c r="B40" s="18">
        <v>1999</v>
      </c>
      <c r="C40" s="18" t="s">
        <v>20</v>
      </c>
      <c r="D40" s="18" t="s">
        <v>21</v>
      </c>
      <c r="E40" s="18" t="s">
        <v>22</v>
      </c>
      <c r="F40" s="18" t="s">
        <v>33</v>
      </c>
      <c r="G40" s="18">
        <v>0</v>
      </c>
      <c r="H40" s="18" t="s">
        <v>23</v>
      </c>
      <c r="I40" s="18" t="s">
        <v>24</v>
      </c>
      <c r="J40" s="18" t="s">
        <v>25</v>
      </c>
      <c r="K40" s="18">
        <v>1.89</v>
      </c>
      <c r="L40" s="18" t="s">
        <v>33</v>
      </c>
    </row>
    <row r="41" spans="1:25" ht="22.5" x14ac:dyDescent="0.25">
      <c r="A41" s="18" t="s">
        <v>19</v>
      </c>
      <c r="B41" s="18">
        <v>1998</v>
      </c>
      <c r="C41" s="18" t="s">
        <v>20</v>
      </c>
      <c r="D41" s="18" t="s">
        <v>21</v>
      </c>
      <c r="E41" s="18" t="s">
        <v>22</v>
      </c>
      <c r="F41" s="18" t="s">
        <v>33</v>
      </c>
      <c r="G41" s="18">
        <v>0</v>
      </c>
      <c r="H41" s="18" t="s">
        <v>23</v>
      </c>
      <c r="I41" s="18" t="s">
        <v>24</v>
      </c>
      <c r="J41" s="18" t="s">
        <v>25</v>
      </c>
      <c r="K41" s="18">
        <v>2.2000000000000002</v>
      </c>
      <c r="L41" s="18" t="s">
        <v>33</v>
      </c>
    </row>
    <row r="42" spans="1:25" ht="22.5" x14ac:dyDescent="0.25">
      <c r="A42" s="18" t="s">
        <v>19</v>
      </c>
      <c r="B42" s="18">
        <v>1997</v>
      </c>
      <c r="C42" s="18" t="s">
        <v>20</v>
      </c>
      <c r="D42" s="18" t="s">
        <v>21</v>
      </c>
      <c r="E42" s="18" t="s">
        <v>22</v>
      </c>
      <c r="F42" s="18" t="s">
        <v>33</v>
      </c>
      <c r="G42" s="18">
        <v>0</v>
      </c>
      <c r="H42" s="18" t="s">
        <v>23</v>
      </c>
      <c r="I42" s="18" t="s">
        <v>24</v>
      </c>
      <c r="J42" s="18" t="s">
        <v>25</v>
      </c>
      <c r="K42" s="18">
        <v>2.6</v>
      </c>
      <c r="L42" s="18" t="s">
        <v>33</v>
      </c>
    </row>
    <row r="43" spans="1:25" ht="22.5" x14ac:dyDescent="0.25">
      <c r="A43" s="19" t="s">
        <v>19</v>
      </c>
      <c r="B43" s="19">
        <v>1996</v>
      </c>
      <c r="C43" s="19" t="s">
        <v>20</v>
      </c>
      <c r="D43" s="19" t="s">
        <v>21</v>
      </c>
      <c r="E43" s="19" t="s">
        <v>22</v>
      </c>
      <c r="F43" s="19" t="s">
        <v>33</v>
      </c>
      <c r="G43" s="19">
        <v>0</v>
      </c>
      <c r="H43" s="19" t="s">
        <v>23</v>
      </c>
      <c r="I43" s="19" t="s">
        <v>24</v>
      </c>
      <c r="J43" s="19" t="s">
        <v>25</v>
      </c>
      <c r="K43" s="19">
        <v>3.55</v>
      </c>
      <c r="L43" s="20" t="s">
        <v>33</v>
      </c>
    </row>
  </sheetData>
  <mergeCells count="20">
    <mergeCell ref="V1:V3"/>
    <mergeCell ref="W1:W3"/>
    <mergeCell ref="N1:N3"/>
    <mergeCell ref="O1:O3"/>
    <mergeCell ref="P1:P3"/>
    <mergeCell ref="Q1:Q3"/>
    <mergeCell ref="R1:R3"/>
    <mergeCell ref="S1:S3"/>
    <mergeCell ref="T1:T3"/>
    <mergeCell ref="U1:U3"/>
    <mergeCell ref="G1:G3"/>
    <mergeCell ref="H1:H3"/>
    <mergeCell ref="I1:I3"/>
    <mergeCell ref="J1:J3"/>
    <mergeCell ref="A1:A3"/>
    <mergeCell ref="B1:B3"/>
    <mergeCell ref="C1:C3"/>
    <mergeCell ref="D1:D3"/>
    <mergeCell ref="E1:E3"/>
    <mergeCell ref="F1:F3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60" r:id="rId4" name="Control 12">
          <controlPr defaultSize="0" r:id="rId5">
            <anchor moveWithCells="1">
              <from>
                <xdr:col>14</xdr:col>
                <xdr:colOff>0</xdr:colOff>
                <xdr:row>23</xdr:row>
                <xdr:rowOff>0</xdr:rowOff>
              </from>
              <to>
                <xdr:col>14</xdr:col>
                <xdr:colOff>257175</xdr:colOff>
                <xdr:row>24</xdr:row>
                <xdr:rowOff>66675</xdr:rowOff>
              </to>
            </anchor>
          </controlPr>
        </control>
      </mc:Choice>
      <mc:Fallback>
        <control shapeId="2060" r:id="rId4" name="Control 12"/>
      </mc:Fallback>
    </mc:AlternateContent>
    <mc:AlternateContent xmlns:mc="http://schemas.openxmlformats.org/markup-compatibility/2006">
      <mc:Choice Requires="x14">
        <control shapeId="2059" r:id="rId6" name="Control 11">
          <controlPr defaultSize="0" r:id="rId7">
            <anchor moveWithCells="1">
              <from>
                <xdr:col>13</xdr:col>
                <xdr:colOff>0</xdr:colOff>
                <xdr:row>23</xdr:row>
                <xdr:rowOff>0</xdr:rowOff>
              </from>
              <to>
                <xdr:col>13</xdr:col>
                <xdr:colOff>257175</xdr:colOff>
                <xdr:row>24</xdr:row>
                <xdr:rowOff>38100</xdr:rowOff>
              </to>
            </anchor>
          </controlPr>
        </control>
      </mc:Choice>
      <mc:Fallback>
        <control shapeId="2059" r:id="rId6" name="Control 11"/>
      </mc:Fallback>
    </mc:AlternateContent>
    <mc:AlternateContent xmlns:mc="http://schemas.openxmlformats.org/markup-compatibility/2006">
      <mc:Choice Requires="x14">
        <control shapeId="2058" r:id="rId8" name="Control 10">
          <controlPr defaultSize="0" r:id="rId5">
            <anchor moveWithCells="1">
              <from>
                <xdr:col>14</xdr:col>
                <xdr:colOff>0</xdr:colOff>
                <xdr:row>3</xdr:row>
                <xdr:rowOff>0</xdr:rowOff>
              </from>
              <to>
                <xdr:col>14</xdr:col>
                <xdr:colOff>257175</xdr:colOff>
                <xdr:row>4</xdr:row>
                <xdr:rowOff>76200</xdr:rowOff>
              </to>
            </anchor>
          </controlPr>
        </control>
      </mc:Choice>
      <mc:Fallback>
        <control shapeId="2058" r:id="rId8" name="Control 10"/>
      </mc:Fallback>
    </mc:AlternateContent>
    <mc:AlternateContent xmlns:mc="http://schemas.openxmlformats.org/markup-compatibility/2006">
      <mc:Choice Requires="x14">
        <control shapeId="2057" r:id="rId9" name="Control 9">
          <controlPr defaultSize="0" r:id="rId7">
            <anchor moveWithCells="1">
              <from>
                <xdr:col>13</xdr:col>
                <xdr:colOff>0</xdr:colOff>
                <xdr:row>3</xdr:row>
                <xdr:rowOff>0</xdr:rowOff>
              </from>
              <to>
                <xdr:col>13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2057" r:id="rId9" name="Control 9"/>
      </mc:Fallback>
    </mc:AlternateContent>
    <mc:AlternateContent xmlns:mc="http://schemas.openxmlformats.org/markup-compatibility/2006">
      <mc:Choice Requires="x14">
        <control shapeId="2052" r:id="rId10" name="Control 4">
          <controlPr defaultSize="0" r:id="rId5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1</xdr:col>
                <xdr:colOff>257175</xdr:colOff>
                <xdr:row>24</xdr:row>
                <xdr:rowOff>66675</xdr:rowOff>
              </to>
            </anchor>
          </controlPr>
        </control>
      </mc:Choice>
      <mc:Fallback>
        <control shapeId="2052" r:id="rId10" name="Control 4"/>
      </mc:Fallback>
    </mc:AlternateContent>
    <mc:AlternateContent xmlns:mc="http://schemas.openxmlformats.org/markup-compatibility/2006">
      <mc:Choice Requires="x14">
        <control shapeId="2051" r:id="rId11" name="Control 3">
          <controlPr defaultSize="0" r:id="rId7">
            <anchor moveWithCells="1">
              <from>
                <xdr:col>0</xdr:col>
                <xdr:colOff>0</xdr:colOff>
                <xdr:row>23</xdr:row>
                <xdr:rowOff>0</xdr:rowOff>
              </from>
              <to>
                <xdr:col>0</xdr:col>
                <xdr:colOff>257175</xdr:colOff>
                <xdr:row>24</xdr:row>
                <xdr:rowOff>38100</xdr:rowOff>
              </to>
            </anchor>
          </controlPr>
        </control>
      </mc:Choice>
      <mc:Fallback>
        <control shapeId="2051" r:id="rId11" name="Control 3"/>
      </mc:Fallback>
    </mc:AlternateContent>
    <mc:AlternateContent xmlns:mc="http://schemas.openxmlformats.org/markup-compatibility/2006">
      <mc:Choice Requires="x14">
        <control shapeId="2050" r:id="rId12" name="Control 2">
          <controlPr defaultSize="0" r:id="rId5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1</xdr:col>
                <xdr:colOff>257175</xdr:colOff>
                <xdr:row>4</xdr:row>
                <xdr:rowOff>76200</xdr:rowOff>
              </to>
            </anchor>
          </controlPr>
        </control>
      </mc:Choice>
      <mc:Fallback>
        <control shapeId="2050" r:id="rId12" name="Control 2"/>
      </mc:Fallback>
    </mc:AlternateContent>
    <mc:AlternateContent xmlns:mc="http://schemas.openxmlformats.org/markup-compatibility/2006">
      <mc:Choice Requires="x14">
        <control shapeId="2049" r:id="rId13" name="Control 1">
          <controlPr defaultSize="0" r:id="rId7">
            <anchor moveWithCells="1">
              <from>
                <xdr:col>0</xdr:col>
                <xdr:colOff>0</xdr:colOff>
                <xdr:row>3</xdr:row>
                <xdr:rowOff>0</xdr:rowOff>
              </from>
              <to>
                <xdr:col>0</xdr:col>
                <xdr:colOff>257175</xdr:colOff>
                <xdr:row>4</xdr:row>
                <xdr:rowOff>47625</xdr:rowOff>
              </to>
            </anchor>
          </controlPr>
        </control>
      </mc:Choice>
      <mc:Fallback>
        <control shapeId="2049" r:id="rId13" name="Control 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Acreage</vt:lpstr>
      <vt:lpstr>Prices Recieved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Mallory, Mindy L</dc:creator>
  <cp:lastModifiedBy>Mallory, Mindy L</cp:lastModifiedBy>
  <dcterms:created xsi:type="dcterms:W3CDTF">2015-09-11T20:58:30Z</dcterms:created>
  <dcterms:modified xsi:type="dcterms:W3CDTF">2015-09-11T21:36:31Z</dcterms:modified>
</cp:coreProperties>
</file>