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mallorym\Documents\GitHub\PriceAnalysis\manuscript\"/>
    </mc:Choice>
  </mc:AlternateContent>
  <bookViews>
    <workbookView xWindow="0" yWindow="0" windowWidth="28800" windowHeight="14235"/>
  </bookViews>
  <sheets>
    <sheet name="corn_endingstock_prices" sheetId="1" r:id="rId1"/>
  </sheets>
  <calcPr calcId="152511"/>
</workbook>
</file>

<file path=xl/calcChain.xml><?xml version="1.0" encoding="utf-8"?>
<calcChain xmlns="http://schemas.openxmlformats.org/spreadsheetml/2006/main">
  <c r="V44" i="1" l="1"/>
  <c r="W44" i="1" s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2" i="1"/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2" i="1"/>
</calcChain>
</file>

<file path=xl/sharedStrings.xml><?xml version="1.0" encoding="utf-8"?>
<sst xmlns="http://schemas.openxmlformats.org/spreadsheetml/2006/main" count="61" uniqueCount="35">
  <si>
    <t>Year</t>
  </si>
  <si>
    <t>Prices Received by Farmers</t>
  </si>
  <si>
    <t>Ending Stocks</t>
  </si>
  <si>
    <t>Total Disappearance</t>
  </si>
  <si>
    <t>StockstoUse</t>
  </si>
  <si>
    <t>ln(Stocks/Use)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</si>
  <si>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</si>
  <si>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</si>
  <si>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</si>
  <si>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</si>
  <si>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</si>
  <si>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</si>
  <si>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</si>
  <si>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</si>
  <si>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</si>
  <si>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</si>
  <si>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</si>
  <si>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</si>
  <si>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</si>
  <si>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</si>
  <si>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</si>
  <si>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</si>
  <si>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</si>
  <si>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</si>
  <si>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</si>
  <si>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</si>
  <si>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</si>
  <si>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</si>
  <si>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</si>
  <si>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</si>
  <si>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1975-2015</t>
  </si>
  <si>
    <t>2007-2015</t>
  </si>
  <si>
    <t>X Variable 1</t>
  </si>
  <si>
    <t>Price Forecast</t>
  </si>
  <si>
    <t>Oct WASDE Ending Stocks/Use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</si>
</sst>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44" fontId="1" fillId="0" borderId="0" applyFont="0" applyFill="0" applyBorder="0" applyAlignment="0" applyProtection="0"/>
  </cellStyleXfs>
  <cellXfs count="13">
    <xf numFmtId="0" fontId="0" fillId="0" borderId="0" xfId="0"/>
    <xf numFmtId="0" fontId="0" fillId="0" borderId="0" xfId="0" applyBorder="1"/>
    <xf numFmtId="0" fontId="16" fillId="0" borderId="0" xfId="0" applyFont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0" fillId="0" borderId="0" xfId="0" applyBorder="1" applyAlignment="1">
      <alignment wrapText="1"/>
    </xf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44" fontId="20" fillId="0" borderId="0" xfId="42" applyFont="1" applyBorder="1"/>
    <xf numFmtId="0" fontId="16" fillId="0" borderId="0" xfId="0" applyFont="1"/>
    <xf numFmtId="0" fontId="16" fillId="0" borderId="0" xfId="0" applyFont="1" applyAlignment="1">
      <alignment wrapText="1"/>
    </xf>
    <xf numFmtId="0" fontId="19" fillId="0" borderId="0" xfId="0" applyFont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Prices vs Stocks</a:t>
            </a:r>
            <a:r>
              <a:rPr lang="en-US" baseline="0"/>
              <a:t>-to-Use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corn_endingstock_prices!$E$1</c:f>
              <c:strCache>
                <c:ptCount val="1"/>
                <c:pt idx="0">
                  <c:v>Prices Received by Farmers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corn_endingstock_prices!$D$2:$D$42</c:f>
              <c:numCache>
                <c:formatCode>General</c:formatCode>
                <c:ptCount val="41"/>
                <c:pt idx="0">
                  <c:v>0.10979609346470487</c:v>
                </c:pt>
                <c:pt idx="1">
                  <c:v>0.19615836384992744</c:v>
                </c:pt>
                <c:pt idx="2">
                  <c:v>0.23133040842165772</c:v>
                </c:pt>
                <c:pt idx="3">
                  <c:v>0.24437211519039653</c:v>
                </c:pt>
                <c:pt idx="4">
                  <c:v>0.26752813628508981</c:v>
                </c:pt>
                <c:pt idx="5">
                  <c:v>0.19115835288263114</c:v>
                </c:pt>
                <c:pt idx="6">
                  <c:v>0.36368558043880272</c:v>
                </c:pt>
                <c:pt idx="7">
                  <c:v>0.48600582969724476</c:v>
                </c:pt>
                <c:pt idx="8">
                  <c:v>0.15035652710638467</c:v>
                </c:pt>
                <c:pt idx="9">
                  <c:v>0.23438689879340949</c:v>
                </c:pt>
                <c:pt idx="10">
                  <c:v>0.62203633522424984</c:v>
                </c:pt>
                <c:pt idx="11">
                  <c:v>0.66099683833535305</c:v>
                </c:pt>
                <c:pt idx="12">
                  <c:v>0.5490410474341777</c:v>
                </c:pt>
                <c:pt idx="13">
                  <c:v>0.2658947419746861</c:v>
                </c:pt>
                <c:pt idx="14">
                  <c:v>0.16557707024756443</c:v>
                </c:pt>
                <c:pt idx="15">
                  <c:v>0.19602018128624452</c:v>
                </c:pt>
                <c:pt idx="16">
                  <c:v>0.13901001802071319</c:v>
                </c:pt>
                <c:pt idx="17">
                  <c:v>0.24943351639848291</c:v>
                </c:pt>
                <c:pt idx="18">
                  <c:v>0.11154707747924492</c:v>
                </c:pt>
                <c:pt idx="19">
                  <c:v>0.16657150372418572</c:v>
                </c:pt>
                <c:pt idx="20">
                  <c:v>4.9826892311061348E-2</c:v>
                </c:pt>
                <c:pt idx="21">
                  <c:v>0.10048939540875627</c:v>
                </c:pt>
                <c:pt idx="22">
                  <c:v>0.14876612444545559</c:v>
                </c:pt>
                <c:pt idx="23">
                  <c:v>0.19218284341133995</c:v>
                </c:pt>
                <c:pt idx="24">
                  <c:v>0.18051371423670784</c:v>
                </c:pt>
                <c:pt idx="25">
                  <c:v>0.19497396183039645</c:v>
                </c:pt>
                <c:pt idx="26">
                  <c:v>0.16264499406137414</c:v>
                </c:pt>
                <c:pt idx="27">
                  <c:v>0.11449526951151334</c:v>
                </c:pt>
                <c:pt idx="28">
                  <c:v>9.3655491962326295E-2</c:v>
                </c:pt>
                <c:pt idx="29">
                  <c:v>0.19829895886977478</c:v>
                </c:pt>
                <c:pt idx="30">
                  <c:v>0.1745824652256997</c:v>
                </c:pt>
                <c:pt idx="31">
                  <c:v>0.1163282952397779</c:v>
                </c:pt>
                <c:pt idx="32">
                  <c:v>0.12751039400291725</c:v>
                </c:pt>
                <c:pt idx="33">
                  <c:v>0.139354650548837</c:v>
                </c:pt>
                <c:pt idx="34">
                  <c:v>0.13095498719694001</c:v>
                </c:pt>
                <c:pt idx="35">
                  <c:v>8.6521353524833353E-2</c:v>
                </c:pt>
                <c:pt idx="36">
                  <c:v>7.9236596662363656E-2</c:v>
                </c:pt>
                <c:pt idx="37">
                  <c:v>7.4094783323388577E-2</c:v>
                </c:pt>
                <c:pt idx="38">
                  <c:v>9.156388587574972E-2</c:v>
                </c:pt>
                <c:pt idx="39">
                  <c:v>0.12593375964691908</c:v>
                </c:pt>
                <c:pt idx="40">
                  <c:v>0.11350294438386041</c:v>
                </c:pt>
              </c:numCache>
            </c:numRef>
          </c:xVal>
          <c:yVal>
            <c:numRef>
              <c:f>corn_endingstock_prices!$E$2:$E$42</c:f>
              <c:numCache>
                <c:formatCode>General</c:formatCode>
                <c:ptCount val="41"/>
                <c:pt idx="0">
                  <c:v>2.54</c:v>
                </c:pt>
                <c:pt idx="1">
                  <c:v>2.15</c:v>
                </c:pt>
                <c:pt idx="2">
                  <c:v>2.02</c:v>
                </c:pt>
                <c:pt idx="3">
                  <c:v>2.25</c:v>
                </c:pt>
                <c:pt idx="4">
                  <c:v>2.52</c:v>
                </c:pt>
                <c:pt idx="5">
                  <c:v>3.11</c:v>
                </c:pt>
                <c:pt idx="6">
                  <c:v>2.5</c:v>
                </c:pt>
                <c:pt idx="7">
                  <c:v>2.5499999999999998</c:v>
                </c:pt>
                <c:pt idx="8">
                  <c:v>3.21</c:v>
                </c:pt>
                <c:pt idx="9">
                  <c:v>2.63</c:v>
                </c:pt>
                <c:pt idx="10">
                  <c:v>2.23</c:v>
                </c:pt>
                <c:pt idx="11">
                  <c:v>1.5</c:v>
                </c:pt>
                <c:pt idx="12">
                  <c:v>1.94</c:v>
                </c:pt>
                <c:pt idx="13">
                  <c:v>2.54</c:v>
                </c:pt>
                <c:pt idx="14">
                  <c:v>2.36</c:v>
                </c:pt>
                <c:pt idx="15">
                  <c:v>2.2799999999999998</c:v>
                </c:pt>
                <c:pt idx="16">
                  <c:v>2.37</c:v>
                </c:pt>
                <c:pt idx="17">
                  <c:v>2.0699999999999998</c:v>
                </c:pt>
                <c:pt idx="18">
                  <c:v>2.5</c:v>
                </c:pt>
                <c:pt idx="19">
                  <c:v>2.2599999999999998</c:v>
                </c:pt>
                <c:pt idx="20">
                  <c:v>3.24</c:v>
                </c:pt>
                <c:pt idx="21">
                  <c:v>2.71</c:v>
                </c:pt>
                <c:pt idx="22">
                  <c:v>2.4300000000000002</c:v>
                </c:pt>
                <c:pt idx="23">
                  <c:v>1.94</c:v>
                </c:pt>
                <c:pt idx="24">
                  <c:v>1.82</c:v>
                </c:pt>
                <c:pt idx="25">
                  <c:v>1.85</c:v>
                </c:pt>
                <c:pt idx="26">
                  <c:v>1.97</c:v>
                </c:pt>
                <c:pt idx="27">
                  <c:v>2.3199999999999998</c:v>
                </c:pt>
                <c:pt idx="28">
                  <c:v>2.42</c:v>
                </c:pt>
                <c:pt idx="29">
                  <c:v>2.06</c:v>
                </c:pt>
                <c:pt idx="30">
                  <c:v>2</c:v>
                </c:pt>
                <c:pt idx="31">
                  <c:v>3.04</c:v>
                </c:pt>
                <c:pt idx="32">
                  <c:v>4.2</c:v>
                </c:pt>
                <c:pt idx="33">
                  <c:v>4.0599999999999996</c:v>
                </c:pt>
                <c:pt idx="34">
                  <c:v>3.55</c:v>
                </c:pt>
                <c:pt idx="35">
                  <c:v>5.18</c:v>
                </c:pt>
                <c:pt idx="36">
                  <c:v>6.22</c:v>
                </c:pt>
                <c:pt idx="37">
                  <c:v>6.89</c:v>
                </c:pt>
                <c:pt idx="38">
                  <c:v>4.46</c:v>
                </c:pt>
                <c:pt idx="39">
                  <c:v>3.7</c:v>
                </c:pt>
                <c:pt idx="40">
                  <c:v>3.8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0411584"/>
        <c:axId val="-80401792"/>
      </c:scatterChart>
      <c:valAx>
        <c:axId val="-80411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Stocks/Use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0401792"/>
        <c:crosses val="autoZero"/>
        <c:crossBetween val="midCat"/>
      </c:valAx>
      <c:valAx>
        <c:axId val="-804017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$/bushel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0411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</a:t>
            </a:r>
            <a:r>
              <a:rPr lang="en-US" baseline="0"/>
              <a:t> prices vs. Stocks to Use Pre- and Post-2006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62530900451602"/>
          <c:y val="9.2467524062444545E-2"/>
          <c:w val="0.83043663789813882"/>
          <c:h val="0.72331377364610328"/>
        </c:manualLayout>
      </c:layout>
      <c:scatterChart>
        <c:scatterStyle val="lineMarker"/>
        <c:varyColors val="0"/>
        <c:ser>
          <c:idx val="0"/>
          <c:order val="0"/>
          <c:tx>
            <c:v>2006-2015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name>2006-2015</c:nam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forward val="1"/>
            <c:backward val="1"/>
            <c:dispRSqr val="1"/>
            <c:dispEq val="1"/>
            <c:trendlineLbl>
              <c:layout>
                <c:manualLayout>
                  <c:x val="-0.49347654552030551"/>
                  <c:y val="-0.4628035705947162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corn_endingstock_prices!$D$34:$D$42</c:f>
              <c:numCache>
                <c:formatCode>General</c:formatCode>
                <c:ptCount val="9"/>
                <c:pt idx="0">
                  <c:v>0.12751039400291725</c:v>
                </c:pt>
                <c:pt idx="1">
                  <c:v>0.139354650548837</c:v>
                </c:pt>
                <c:pt idx="2">
                  <c:v>0.13095498719694001</c:v>
                </c:pt>
                <c:pt idx="3">
                  <c:v>8.6521353524833353E-2</c:v>
                </c:pt>
                <c:pt idx="4">
                  <c:v>7.9236596662363656E-2</c:v>
                </c:pt>
                <c:pt idx="5">
                  <c:v>7.4094783323388577E-2</c:v>
                </c:pt>
                <c:pt idx="6">
                  <c:v>9.156388587574972E-2</c:v>
                </c:pt>
                <c:pt idx="7">
                  <c:v>0.12593375964691908</c:v>
                </c:pt>
                <c:pt idx="8">
                  <c:v>0.11350294438386041</c:v>
                </c:pt>
              </c:numCache>
            </c:numRef>
          </c:xVal>
          <c:yVal>
            <c:numRef>
              <c:f>corn_endingstock_prices!$E$34:$E$42</c:f>
              <c:numCache>
                <c:formatCode>General</c:formatCode>
                <c:ptCount val="9"/>
                <c:pt idx="0">
                  <c:v>4.2</c:v>
                </c:pt>
                <c:pt idx="1">
                  <c:v>4.0599999999999996</c:v>
                </c:pt>
                <c:pt idx="2">
                  <c:v>3.55</c:v>
                </c:pt>
                <c:pt idx="3">
                  <c:v>5.18</c:v>
                </c:pt>
                <c:pt idx="4">
                  <c:v>6.22</c:v>
                </c:pt>
                <c:pt idx="5">
                  <c:v>6.89</c:v>
                </c:pt>
                <c:pt idx="6">
                  <c:v>4.46</c:v>
                </c:pt>
                <c:pt idx="7">
                  <c:v>3.7</c:v>
                </c:pt>
                <c:pt idx="8">
                  <c:v>3.8</c:v>
                </c:pt>
              </c:numCache>
            </c:numRef>
          </c:yVal>
          <c:smooth val="0"/>
        </c:ser>
        <c:ser>
          <c:idx val="1"/>
          <c:order val="1"/>
          <c:tx>
            <c:v>1975-2006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name>1975-2005</c:nam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og"/>
            <c:backward val="1"/>
            <c:dispRSqr val="1"/>
            <c:dispEq val="1"/>
            <c:trendlineLbl>
              <c:layout>
                <c:manualLayout>
                  <c:x val="3.8061923675469768E-2"/>
                  <c:y val="-0.1159036095920924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corn_endingstock_prices!$D$2:$D$32</c:f>
              <c:numCache>
                <c:formatCode>General</c:formatCode>
                <c:ptCount val="31"/>
                <c:pt idx="0">
                  <c:v>0.10979609346470487</c:v>
                </c:pt>
                <c:pt idx="1">
                  <c:v>0.19615836384992744</c:v>
                </c:pt>
                <c:pt idx="2">
                  <c:v>0.23133040842165772</c:v>
                </c:pt>
                <c:pt idx="3">
                  <c:v>0.24437211519039653</c:v>
                </c:pt>
                <c:pt idx="4">
                  <c:v>0.26752813628508981</c:v>
                </c:pt>
                <c:pt idx="5">
                  <c:v>0.19115835288263114</c:v>
                </c:pt>
                <c:pt idx="6">
                  <c:v>0.36368558043880272</c:v>
                </c:pt>
                <c:pt idx="7">
                  <c:v>0.48600582969724476</c:v>
                </c:pt>
                <c:pt idx="8">
                  <c:v>0.15035652710638467</c:v>
                </c:pt>
                <c:pt idx="9">
                  <c:v>0.23438689879340949</c:v>
                </c:pt>
                <c:pt idx="10">
                  <c:v>0.62203633522424984</c:v>
                </c:pt>
                <c:pt idx="11">
                  <c:v>0.66099683833535305</c:v>
                </c:pt>
                <c:pt idx="12">
                  <c:v>0.5490410474341777</c:v>
                </c:pt>
                <c:pt idx="13">
                  <c:v>0.2658947419746861</c:v>
                </c:pt>
                <c:pt idx="14">
                  <c:v>0.16557707024756443</c:v>
                </c:pt>
                <c:pt idx="15">
                  <c:v>0.19602018128624452</c:v>
                </c:pt>
                <c:pt idx="16">
                  <c:v>0.13901001802071319</c:v>
                </c:pt>
                <c:pt idx="17">
                  <c:v>0.24943351639848291</c:v>
                </c:pt>
                <c:pt idx="18">
                  <c:v>0.11154707747924492</c:v>
                </c:pt>
                <c:pt idx="19">
                  <c:v>0.16657150372418572</c:v>
                </c:pt>
                <c:pt idx="20">
                  <c:v>4.9826892311061348E-2</c:v>
                </c:pt>
                <c:pt idx="21">
                  <c:v>0.10048939540875627</c:v>
                </c:pt>
                <c:pt idx="22">
                  <c:v>0.14876612444545559</c:v>
                </c:pt>
                <c:pt idx="23">
                  <c:v>0.19218284341133995</c:v>
                </c:pt>
                <c:pt idx="24">
                  <c:v>0.18051371423670784</c:v>
                </c:pt>
                <c:pt idx="25">
                  <c:v>0.19497396183039645</c:v>
                </c:pt>
                <c:pt idx="26">
                  <c:v>0.16264499406137414</c:v>
                </c:pt>
                <c:pt idx="27">
                  <c:v>0.11449526951151334</c:v>
                </c:pt>
                <c:pt idx="28">
                  <c:v>9.3655491962326295E-2</c:v>
                </c:pt>
                <c:pt idx="29">
                  <c:v>0.19829895886977478</c:v>
                </c:pt>
                <c:pt idx="30">
                  <c:v>0.1745824652256997</c:v>
                </c:pt>
              </c:numCache>
            </c:numRef>
          </c:xVal>
          <c:yVal>
            <c:numRef>
              <c:f>corn_endingstock_prices!$E$2:$E$32</c:f>
              <c:numCache>
                <c:formatCode>General</c:formatCode>
                <c:ptCount val="31"/>
                <c:pt idx="0">
                  <c:v>2.54</c:v>
                </c:pt>
                <c:pt idx="1">
                  <c:v>2.15</c:v>
                </c:pt>
                <c:pt idx="2">
                  <c:v>2.02</c:v>
                </c:pt>
                <c:pt idx="3">
                  <c:v>2.25</c:v>
                </c:pt>
                <c:pt idx="4">
                  <c:v>2.52</c:v>
                </c:pt>
                <c:pt idx="5">
                  <c:v>3.11</c:v>
                </c:pt>
                <c:pt idx="6">
                  <c:v>2.5</c:v>
                </c:pt>
                <c:pt idx="7">
                  <c:v>2.5499999999999998</c:v>
                </c:pt>
                <c:pt idx="8">
                  <c:v>3.21</c:v>
                </c:pt>
                <c:pt idx="9">
                  <c:v>2.63</c:v>
                </c:pt>
                <c:pt idx="10">
                  <c:v>2.23</c:v>
                </c:pt>
                <c:pt idx="11">
                  <c:v>1.5</c:v>
                </c:pt>
                <c:pt idx="12">
                  <c:v>1.94</c:v>
                </c:pt>
                <c:pt idx="13">
                  <c:v>2.54</c:v>
                </c:pt>
                <c:pt idx="14">
                  <c:v>2.36</c:v>
                </c:pt>
                <c:pt idx="15">
                  <c:v>2.2799999999999998</c:v>
                </c:pt>
                <c:pt idx="16">
                  <c:v>2.37</c:v>
                </c:pt>
                <c:pt idx="17">
                  <c:v>2.0699999999999998</c:v>
                </c:pt>
                <c:pt idx="18">
                  <c:v>2.5</c:v>
                </c:pt>
                <c:pt idx="19">
                  <c:v>2.2599999999999998</c:v>
                </c:pt>
                <c:pt idx="20">
                  <c:v>3.24</c:v>
                </c:pt>
                <c:pt idx="21">
                  <c:v>2.71</c:v>
                </c:pt>
                <c:pt idx="22">
                  <c:v>2.4300000000000002</c:v>
                </c:pt>
                <c:pt idx="23">
                  <c:v>1.94</c:v>
                </c:pt>
                <c:pt idx="24">
                  <c:v>1.82</c:v>
                </c:pt>
                <c:pt idx="25">
                  <c:v>1.85</c:v>
                </c:pt>
                <c:pt idx="26">
                  <c:v>1.97</c:v>
                </c:pt>
                <c:pt idx="27">
                  <c:v>2.3199999999999998</c:v>
                </c:pt>
                <c:pt idx="28">
                  <c:v>2.42</c:v>
                </c:pt>
                <c:pt idx="29">
                  <c:v>2.06</c:v>
                </c:pt>
                <c:pt idx="30">
                  <c:v>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0406144"/>
        <c:axId val="-80408320"/>
      </c:scatterChart>
      <c:valAx>
        <c:axId val="-80406144"/>
        <c:scaling>
          <c:orientation val="minMax"/>
          <c:max val="0.70000000000000007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Stocks/Use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0408320"/>
        <c:crosses val="autoZero"/>
        <c:crossBetween val="midCat"/>
      </c:valAx>
      <c:valAx>
        <c:axId val="-80408320"/>
        <c:scaling>
          <c:orientation val="minMax"/>
          <c:max val="8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$/bushel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0406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2592439219433854"/>
          <c:y val="0.91255106573897504"/>
          <c:w val="0.85047678774666446"/>
          <c:h val="8.3497925819165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Ave</a:t>
            </a:r>
            <a:r>
              <a:rPr lang="en-US" baseline="0"/>
              <a:t> Price Received and Stocks/Use vs. Time</a:t>
            </a:r>
            <a:endParaRPr lang="en-US"/>
          </a:p>
        </c:rich>
      </c:tx>
      <c:layout>
        <c:manualLayout>
          <c:xMode val="edge"/>
          <c:yMode val="edge"/>
          <c:x val="0.24848489795144621"/>
          <c:y val="2.93308806250479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956064278556559"/>
          <c:y val="0.10603144422179678"/>
          <c:w val="0.77049646480576839"/>
          <c:h val="0.73058092414502063"/>
        </c:manualLayout>
      </c:layout>
      <c:scatterChart>
        <c:scatterStyle val="lineMarker"/>
        <c:varyColors val="0"/>
        <c:ser>
          <c:idx val="0"/>
          <c:order val="0"/>
          <c:tx>
            <c:strRef>
              <c:f>corn_endingstock_prices!$E$1</c:f>
              <c:strCache>
                <c:ptCount val="1"/>
                <c:pt idx="0">
                  <c:v>Prices Received by Farmers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corn_endingstock_prices!$A$2:$A$42</c:f>
              <c:numCache>
                <c:formatCode>General</c:formatCode>
                <c:ptCount val="41"/>
                <c:pt idx="0">
                  <c:v>1975</c:v>
                </c:pt>
                <c:pt idx="1">
                  <c:v>1976</c:v>
                </c:pt>
                <c:pt idx="2">
                  <c:v>1977</c:v>
                </c:pt>
                <c:pt idx="3">
                  <c:v>1978</c:v>
                </c:pt>
                <c:pt idx="4">
                  <c:v>1979</c:v>
                </c:pt>
                <c:pt idx="5">
                  <c:v>1980</c:v>
                </c:pt>
                <c:pt idx="6">
                  <c:v>1981</c:v>
                </c:pt>
                <c:pt idx="7">
                  <c:v>1982</c:v>
                </c:pt>
                <c:pt idx="8">
                  <c:v>1983</c:v>
                </c:pt>
                <c:pt idx="9">
                  <c:v>1984</c:v>
                </c:pt>
                <c:pt idx="10">
                  <c:v>1985</c:v>
                </c:pt>
                <c:pt idx="11">
                  <c:v>1986</c:v>
                </c:pt>
                <c:pt idx="12">
                  <c:v>1987</c:v>
                </c:pt>
                <c:pt idx="13">
                  <c:v>1988</c:v>
                </c:pt>
                <c:pt idx="14">
                  <c:v>1989</c:v>
                </c:pt>
                <c:pt idx="15">
                  <c:v>1990</c:v>
                </c:pt>
                <c:pt idx="16">
                  <c:v>1991</c:v>
                </c:pt>
                <c:pt idx="17">
                  <c:v>1992</c:v>
                </c:pt>
                <c:pt idx="18">
                  <c:v>1993</c:v>
                </c:pt>
                <c:pt idx="19">
                  <c:v>1994</c:v>
                </c:pt>
                <c:pt idx="20">
                  <c:v>1995</c:v>
                </c:pt>
                <c:pt idx="21">
                  <c:v>1996</c:v>
                </c:pt>
                <c:pt idx="22">
                  <c:v>1997</c:v>
                </c:pt>
                <c:pt idx="23">
                  <c:v>1998</c:v>
                </c:pt>
                <c:pt idx="24">
                  <c:v>1999</c:v>
                </c:pt>
                <c:pt idx="25">
                  <c:v>2000</c:v>
                </c:pt>
                <c:pt idx="26">
                  <c:v>2001</c:v>
                </c:pt>
                <c:pt idx="27">
                  <c:v>2002</c:v>
                </c:pt>
                <c:pt idx="28">
                  <c:v>2003</c:v>
                </c:pt>
                <c:pt idx="29">
                  <c:v>2004</c:v>
                </c:pt>
                <c:pt idx="30">
                  <c:v>2005</c:v>
                </c:pt>
                <c:pt idx="31">
                  <c:v>2006</c:v>
                </c:pt>
                <c:pt idx="32">
                  <c:v>2007</c:v>
                </c:pt>
                <c:pt idx="33">
                  <c:v>2008</c:v>
                </c:pt>
                <c:pt idx="34">
                  <c:v>2009</c:v>
                </c:pt>
                <c:pt idx="35">
                  <c:v>2010</c:v>
                </c:pt>
                <c:pt idx="36">
                  <c:v>2011</c:v>
                </c:pt>
                <c:pt idx="37">
                  <c:v>2012</c:v>
                </c:pt>
                <c:pt idx="38">
                  <c:v>2013</c:v>
                </c:pt>
                <c:pt idx="39">
                  <c:v>2014</c:v>
                </c:pt>
                <c:pt idx="40">
                  <c:v>2015</c:v>
                </c:pt>
              </c:numCache>
            </c:numRef>
          </c:xVal>
          <c:yVal>
            <c:numRef>
              <c:f>corn_endingstock_prices!$E$2:$E$42</c:f>
              <c:numCache>
                <c:formatCode>General</c:formatCode>
                <c:ptCount val="41"/>
                <c:pt idx="0">
                  <c:v>2.54</c:v>
                </c:pt>
                <c:pt idx="1">
                  <c:v>2.15</c:v>
                </c:pt>
                <c:pt idx="2">
                  <c:v>2.02</c:v>
                </c:pt>
                <c:pt idx="3">
                  <c:v>2.25</c:v>
                </c:pt>
                <c:pt idx="4">
                  <c:v>2.52</c:v>
                </c:pt>
                <c:pt idx="5">
                  <c:v>3.11</c:v>
                </c:pt>
                <c:pt idx="6">
                  <c:v>2.5</c:v>
                </c:pt>
                <c:pt idx="7">
                  <c:v>2.5499999999999998</c:v>
                </c:pt>
                <c:pt idx="8">
                  <c:v>3.21</c:v>
                </c:pt>
                <c:pt idx="9">
                  <c:v>2.63</c:v>
                </c:pt>
                <c:pt idx="10">
                  <c:v>2.23</c:v>
                </c:pt>
                <c:pt idx="11">
                  <c:v>1.5</c:v>
                </c:pt>
                <c:pt idx="12">
                  <c:v>1.94</c:v>
                </c:pt>
                <c:pt idx="13">
                  <c:v>2.54</c:v>
                </c:pt>
                <c:pt idx="14">
                  <c:v>2.36</c:v>
                </c:pt>
                <c:pt idx="15">
                  <c:v>2.2799999999999998</c:v>
                </c:pt>
                <c:pt idx="16">
                  <c:v>2.37</c:v>
                </c:pt>
                <c:pt idx="17">
                  <c:v>2.0699999999999998</c:v>
                </c:pt>
                <c:pt idx="18">
                  <c:v>2.5</c:v>
                </c:pt>
                <c:pt idx="19">
                  <c:v>2.2599999999999998</c:v>
                </c:pt>
                <c:pt idx="20">
                  <c:v>3.24</c:v>
                </c:pt>
                <c:pt idx="21">
                  <c:v>2.71</c:v>
                </c:pt>
                <c:pt idx="22">
                  <c:v>2.4300000000000002</c:v>
                </c:pt>
                <c:pt idx="23">
                  <c:v>1.94</c:v>
                </c:pt>
                <c:pt idx="24">
                  <c:v>1.82</c:v>
                </c:pt>
                <c:pt idx="25">
                  <c:v>1.85</c:v>
                </c:pt>
                <c:pt idx="26">
                  <c:v>1.97</c:v>
                </c:pt>
                <c:pt idx="27">
                  <c:v>2.3199999999999998</c:v>
                </c:pt>
                <c:pt idx="28">
                  <c:v>2.42</c:v>
                </c:pt>
                <c:pt idx="29">
                  <c:v>2.06</c:v>
                </c:pt>
                <c:pt idx="30">
                  <c:v>2</c:v>
                </c:pt>
                <c:pt idx="31">
                  <c:v>3.04</c:v>
                </c:pt>
                <c:pt idx="32">
                  <c:v>4.2</c:v>
                </c:pt>
                <c:pt idx="33">
                  <c:v>4.0599999999999996</c:v>
                </c:pt>
                <c:pt idx="34">
                  <c:v>3.55</c:v>
                </c:pt>
                <c:pt idx="35">
                  <c:v>5.18</c:v>
                </c:pt>
                <c:pt idx="36">
                  <c:v>6.22</c:v>
                </c:pt>
                <c:pt idx="37">
                  <c:v>6.89</c:v>
                </c:pt>
                <c:pt idx="38">
                  <c:v>4.46</c:v>
                </c:pt>
                <c:pt idx="39">
                  <c:v>3.7</c:v>
                </c:pt>
                <c:pt idx="40">
                  <c:v>3.8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0404512"/>
        <c:axId val="-80402880"/>
      </c:scatterChart>
      <c:scatterChart>
        <c:scatterStyle val="lineMarker"/>
        <c:varyColors val="0"/>
        <c:ser>
          <c:idx val="1"/>
          <c:order val="1"/>
          <c:tx>
            <c:strRef>
              <c:f>corn_endingstock_prices!$D$1</c:f>
              <c:strCache>
                <c:ptCount val="1"/>
                <c:pt idx="0">
                  <c:v>StockstoUse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x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corn_endingstock_prices!$A$2:$A$42</c:f>
              <c:numCache>
                <c:formatCode>General</c:formatCode>
                <c:ptCount val="41"/>
                <c:pt idx="0">
                  <c:v>1975</c:v>
                </c:pt>
                <c:pt idx="1">
                  <c:v>1976</c:v>
                </c:pt>
                <c:pt idx="2">
                  <c:v>1977</c:v>
                </c:pt>
                <c:pt idx="3">
                  <c:v>1978</c:v>
                </c:pt>
                <c:pt idx="4">
                  <c:v>1979</c:v>
                </c:pt>
                <c:pt idx="5">
                  <c:v>1980</c:v>
                </c:pt>
                <c:pt idx="6">
                  <c:v>1981</c:v>
                </c:pt>
                <c:pt idx="7">
                  <c:v>1982</c:v>
                </c:pt>
                <c:pt idx="8">
                  <c:v>1983</c:v>
                </c:pt>
                <c:pt idx="9">
                  <c:v>1984</c:v>
                </c:pt>
                <c:pt idx="10">
                  <c:v>1985</c:v>
                </c:pt>
                <c:pt idx="11">
                  <c:v>1986</c:v>
                </c:pt>
                <c:pt idx="12">
                  <c:v>1987</c:v>
                </c:pt>
                <c:pt idx="13">
                  <c:v>1988</c:v>
                </c:pt>
                <c:pt idx="14">
                  <c:v>1989</c:v>
                </c:pt>
                <c:pt idx="15">
                  <c:v>1990</c:v>
                </c:pt>
                <c:pt idx="16">
                  <c:v>1991</c:v>
                </c:pt>
                <c:pt idx="17">
                  <c:v>1992</c:v>
                </c:pt>
                <c:pt idx="18">
                  <c:v>1993</c:v>
                </c:pt>
                <c:pt idx="19">
                  <c:v>1994</c:v>
                </c:pt>
                <c:pt idx="20">
                  <c:v>1995</c:v>
                </c:pt>
                <c:pt idx="21">
                  <c:v>1996</c:v>
                </c:pt>
                <c:pt idx="22">
                  <c:v>1997</c:v>
                </c:pt>
                <c:pt idx="23">
                  <c:v>1998</c:v>
                </c:pt>
                <c:pt idx="24">
                  <c:v>1999</c:v>
                </c:pt>
                <c:pt idx="25">
                  <c:v>2000</c:v>
                </c:pt>
                <c:pt idx="26">
                  <c:v>2001</c:v>
                </c:pt>
                <c:pt idx="27">
                  <c:v>2002</c:v>
                </c:pt>
                <c:pt idx="28">
                  <c:v>2003</c:v>
                </c:pt>
                <c:pt idx="29">
                  <c:v>2004</c:v>
                </c:pt>
                <c:pt idx="30">
                  <c:v>2005</c:v>
                </c:pt>
                <c:pt idx="31">
                  <c:v>2006</c:v>
                </c:pt>
                <c:pt idx="32">
                  <c:v>2007</c:v>
                </c:pt>
                <c:pt idx="33">
                  <c:v>2008</c:v>
                </c:pt>
                <c:pt idx="34">
                  <c:v>2009</c:v>
                </c:pt>
                <c:pt idx="35">
                  <c:v>2010</c:v>
                </c:pt>
                <c:pt idx="36">
                  <c:v>2011</c:v>
                </c:pt>
                <c:pt idx="37">
                  <c:v>2012</c:v>
                </c:pt>
                <c:pt idx="38">
                  <c:v>2013</c:v>
                </c:pt>
                <c:pt idx="39">
                  <c:v>2014</c:v>
                </c:pt>
                <c:pt idx="40">
                  <c:v>2015</c:v>
                </c:pt>
              </c:numCache>
            </c:numRef>
          </c:xVal>
          <c:yVal>
            <c:numRef>
              <c:f>corn_endingstock_prices!$D$2:$D$42</c:f>
              <c:numCache>
                <c:formatCode>General</c:formatCode>
                <c:ptCount val="41"/>
                <c:pt idx="0">
                  <c:v>0.10979609346470487</c:v>
                </c:pt>
                <c:pt idx="1">
                  <c:v>0.19615836384992744</c:v>
                </c:pt>
                <c:pt idx="2">
                  <c:v>0.23133040842165772</c:v>
                </c:pt>
                <c:pt idx="3">
                  <c:v>0.24437211519039653</c:v>
                </c:pt>
                <c:pt idx="4">
                  <c:v>0.26752813628508981</c:v>
                </c:pt>
                <c:pt idx="5">
                  <c:v>0.19115835288263114</c:v>
                </c:pt>
                <c:pt idx="6">
                  <c:v>0.36368558043880272</c:v>
                </c:pt>
                <c:pt idx="7">
                  <c:v>0.48600582969724476</c:v>
                </c:pt>
                <c:pt idx="8">
                  <c:v>0.15035652710638467</c:v>
                </c:pt>
                <c:pt idx="9">
                  <c:v>0.23438689879340949</c:v>
                </c:pt>
                <c:pt idx="10">
                  <c:v>0.62203633522424984</c:v>
                </c:pt>
                <c:pt idx="11">
                  <c:v>0.66099683833535305</c:v>
                </c:pt>
                <c:pt idx="12">
                  <c:v>0.5490410474341777</c:v>
                </c:pt>
                <c:pt idx="13">
                  <c:v>0.2658947419746861</c:v>
                </c:pt>
                <c:pt idx="14">
                  <c:v>0.16557707024756443</c:v>
                </c:pt>
                <c:pt idx="15">
                  <c:v>0.19602018128624452</c:v>
                </c:pt>
                <c:pt idx="16">
                  <c:v>0.13901001802071319</c:v>
                </c:pt>
                <c:pt idx="17">
                  <c:v>0.24943351639848291</c:v>
                </c:pt>
                <c:pt idx="18">
                  <c:v>0.11154707747924492</c:v>
                </c:pt>
                <c:pt idx="19">
                  <c:v>0.16657150372418572</c:v>
                </c:pt>
                <c:pt idx="20">
                  <c:v>4.9826892311061348E-2</c:v>
                </c:pt>
                <c:pt idx="21">
                  <c:v>0.10048939540875627</c:v>
                </c:pt>
                <c:pt idx="22">
                  <c:v>0.14876612444545559</c:v>
                </c:pt>
                <c:pt idx="23">
                  <c:v>0.19218284341133995</c:v>
                </c:pt>
                <c:pt idx="24">
                  <c:v>0.18051371423670784</c:v>
                </c:pt>
                <c:pt idx="25">
                  <c:v>0.19497396183039645</c:v>
                </c:pt>
                <c:pt idx="26">
                  <c:v>0.16264499406137414</c:v>
                </c:pt>
                <c:pt idx="27">
                  <c:v>0.11449526951151334</c:v>
                </c:pt>
                <c:pt idx="28">
                  <c:v>9.3655491962326295E-2</c:v>
                </c:pt>
                <c:pt idx="29">
                  <c:v>0.19829895886977478</c:v>
                </c:pt>
                <c:pt idx="30">
                  <c:v>0.1745824652256997</c:v>
                </c:pt>
                <c:pt idx="31">
                  <c:v>0.1163282952397779</c:v>
                </c:pt>
                <c:pt idx="32">
                  <c:v>0.12751039400291725</c:v>
                </c:pt>
                <c:pt idx="33">
                  <c:v>0.139354650548837</c:v>
                </c:pt>
                <c:pt idx="34">
                  <c:v>0.13095498719694001</c:v>
                </c:pt>
                <c:pt idx="35">
                  <c:v>8.6521353524833353E-2</c:v>
                </c:pt>
                <c:pt idx="36">
                  <c:v>7.9236596662363656E-2</c:v>
                </c:pt>
                <c:pt idx="37">
                  <c:v>7.4094783323388577E-2</c:v>
                </c:pt>
                <c:pt idx="38">
                  <c:v>9.156388587574972E-2</c:v>
                </c:pt>
                <c:pt idx="39">
                  <c:v>0.12593375964691908</c:v>
                </c:pt>
                <c:pt idx="40">
                  <c:v>0.11350294438386041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0401248"/>
        <c:axId val="-80402336"/>
      </c:scatterChart>
      <c:valAx>
        <c:axId val="-80404512"/>
        <c:scaling>
          <c:orientation val="minMax"/>
          <c:max val="2016"/>
          <c:min val="1974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0402880"/>
        <c:crosses val="autoZero"/>
        <c:crossBetween val="midCat"/>
        <c:majorUnit val="2"/>
      </c:valAx>
      <c:valAx>
        <c:axId val="-8040288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$/bushel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0404512"/>
        <c:crosses val="autoZero"/>
        <c:crossBetween val="midCat"/>
      </c:valAx>
      <c:valAx>
        <c:axId val="-8040233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Stocks/Use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0401248"/>
        <c:crosses val="max"/>
        <c:crossBetween val="midCat"/>
      </c:valAx>
      <c:valAx>
        <c:axId val="-80401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80402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0570347950434026"/>
          <c:y val="0.90225620003781459"/>
          <c:w val="0.59601886085475586"/>
          <c:h val="8.05764767989431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</xdr:colOff>
      <xdr:row>2</xdr:row>
      <xdr:rowOff>61912</xdr:rowOff>
    </xdr:from>
    <xdr:to>
      <xdr:col>19</xdr:col>
      <xdr:colOff>257175</xdr:colOff>
      <xdr:row>33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57149</xdr:colOff>
      <xdr:row>33</xdr:row>
      <xdr:rowOff>138112</xdr:rowOff>
    </xdr:from>
    <xdr:to>
      <xdr:col>19</xdr:col>
      <xdr:colOff>276224</xdr:colOff>
      <xdr:row>67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109537</xdr:colOff>
      <xdr:row>68</xdr:row>
      <xdr:rowOff>80962</xdr:rowOff>
    </xdr:from>
    <xdr:to>
      <xdr:col>19</xdr:col>
      <xdr:colOff>352425</xdr:colOff>
      <xdr:row>102</xdr:row>
      <xdr:rowOff>47626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44"/>
  <sheetViews>
    <sheetView showGridLines="0" tabSelected="1" topLeftCell="A61" workbookViewId="0">
      <selection activeCell="F91" sqref="F91"/>
    </sheetView>
  </sheetViews>
  <sheetFormatPr defaultRowHeight="15" x14ac:dyDescent="0.25"/>
  <cols>
    <col min="1" max="1" width="5" style="1" customWidth="1"/>
    <col min="2" max="2" width="9" style="1" customWidth="1"/>
    <col min="3" max="4" width="17" style="1" customWidth="1"/>
    <col min="5" max="5" width="27.85546875" style="1" customWidth="1"/>
    <col min="6" max="21" width="9.140625" style="1"/>
    <col min="22" max="22" width="11.28515625" style="1" customWidth="1"/>
    <col min="23" max="23" width="14.7109375" style="1" customWidth="1"/>
    <col min="24" max="16384" width="9.140625" style="1"/>
  </cols>
  <sheetData>
    <row r="1" spans="1:30" ht="30" x14ac:dyDescent="0.25">
      <c r="A1" s="2" t="s">
        <v>0</v>
      </c>
      <c r="B1" s="2" t="s">
        <v>2</v>
      </c>
      <c r="C1" s="2" t="s">
        <v>3</v>
      </c>
      <c r="D1" s="2" t="s">
        <v>4</v>
      </c>
      <c r="E1" s="3" t="s">
        <v>1</v>
      </c>
      <c r="F1" s="3" t="s">
        <v>5</v>
      </c>
      <c r="U1" s="1" t="s">
        <v>30</v>
      </c>
      <c r="V1" t="s">
        <v>6</v>
      </c>
      <c r="W1"/>
      <c r="X1"/>
      <c r="Y1"/>
      <c r="Z1"/>
      <c r="AA1"/>
      <c r="AB1"/>
      <c r="AC1"/>
      <c r="AD1"/>
    </row>
    <row r="2" spans="1:30" ht="15.75" thickBot="1" x14ac:dyDescent="0.3">
      <c r="A2" s="4">
        <v>1975</v>
      </c>
      <c r="B2" s="4">
        <v>633.20000000000005</v>
      </c>
      <c r="C2" s="4">
        <v>5767.0540000000001</v>
      </c>
      <c r="D2" s="4">
        <f>B2/C2</f>
        <v>0.10979609346470487</v>
      </c>
      <c r="E2" s="4">
        <v>2.54</v>
      </c>
      <c r="F2" s="1">
        <f>LN(D2)</f>
        <v>-2.2091303291853168</v>
      </c>
      <c r="V2"/>
      <c r="W2"/>
      <c r="X2"/>
      <c r="Y2"/>
      <c r="Z2"/>
      <c r="AA2"/>
      <c r="AB2"/>
      <c r="AC2"/>
      <c r="AD2"/>
    </row>
    <row r="3" spans="1:30" x14ac:dyDescent="0.25">
      <c r="A3" s="4">
        <v>1976</v>
      </c>
      <c r="B3" s="4">
        <v>1135.5999999999999</v>
      </c>
      <c r="C3" s="4">
        <v>5789.2</v>
      </c>
      <c r="D3" s="4">
        <f t="shared" ref="D3:D42" si="0">B3/C3</f>
        <v>0.19615836384992744</v>
      </c>
      <c r="E3" s="4">
        <v>2.15</v>
      </c>
      <c r="F3" s="1">
        <f t="shared" ref="F3:F42" si="1">LN(D3)</f>
        <v>-1.6288329671646335</v>
      </c>
      <c r="V3" s="8" t="s">
        <v>7</v>
      </c>
      <c r="W3" s="8"/>
      <c r="X3"/>
      <c r="Y3"/>
      <c r="Z3"/>
      <c r="AA3"/>
      <c r="AB3"/>
      <c r="AC3"/>
      <c r="AD3"/>
    </row>
    <row r="4" spans="1:30" x14ac:dyDescent="0.25">
      <c r="A4" s="4">
        <v>1977</v>
      </c>
      <c r="B4" s="4">
        <v>1435.9</v>
      </c>
      <c r="C4" s="4">
        <v>6207.1390000000001</v>
      </c>
      <c r="D4" s="4">
        <f t="shared" si="0"/>
        <v>0.23133040842165772</v>
      </c>
      <c r="E4" s="4">
        <v>2.02</v>
      </c>
      <c r="F4" s="1">
        <f t="shared" si="1"/>
        <v>-1.463908250933788</v>
      </c>
      <c r="V4" s="5" t="s">
        <v>8</v>
      </c>
      <c r="W4" s="5">
        <v>0.59514761853669895</v>
      </c>
      <c r="X4"/>
      <c r="Y4"/>
      <c r="Z4"/>
      <c r="AA4"/>
      <c r="AB4"/>
      <c r="AC4"/>
      <c r="AD4"/>
    </row>
    <row r="5" spans="1:30" x14ac:dyDescent="0.25">
      <c r="A5" s="4">
        <v>1978</v>
      </c>
      <c r="B5" s="4">
        <v>1709.5</v>
      </c>
      <c r="C5" s="4">
        <v>6995.4790000000003</v>
      </c>
      <c r="D5" s="4">
        <f t="shared" si="0"/>
        <v>0.24437211519039653</v>
      </c>
      <c r="E5" s="4">
        <v>2.25</v>
      </c>
      <c r="F5" s="1">
        <f t="shared" si="1"/>
        <v>-1.4090631531596669</v>
      </c>
      <c r="V5" s="5" t="s">
        <v>9</v>
      </c>
      <c r="W5" s="5">
        <v>0.35420068784990416</v>
      </c>
      <c r="X5"/>
      <c r="Y5"/>
      <c r="Z5"/>
      <c r="AA5"/>
      <c r="AB5"/>
      <c r="AC5"/>
      <c r="AD5"/>
    </row>
    <row r="6" spans="1:30" x14ac:dyDescent="0.25">
      <c r="A6" s="4">
        <v>1979</v>
      </c>
      <c r="B6" s="4">
        <v>2034.3</v>
      </c>
      <c r="C6" s="4">
        <v>7604.06</v>
      </c>
      <c r="D6" s="4">
        <f t="shared" si="0"/>
        <v>0.26752813628508981</v>
      </c>
      <c r="E6" s="4">
        <v>2.52</v>
      </c>
      <c r="F6" s="1">
        <f t="shared" si="1"/>
        <v>-1.3185305358031862</v>
      </c>
      <c r="V6" s="5" t="s">
        <v>10</v>
      </c>
      <c r="W6" s="5">
        <v>0.33720596910911221</v>
      </c>
      <c r="X6"/>
      <c r="Y6"/>
      <c r="Z6"/>
      <c r="AA6"/>
      <c r="AB6"/>
      <c r="AC6"/>
      <c r="AD6"/>
    </row>
    <row r="7" spans="1:30" x14ac:dyDescent="0.25">
      <c r="A7" s="4">
        <v>1980</v>
      </c>
      <c r="B7" s="4">
        <v>1392.1</v>
      </c>
      <c r="C7" s="4">
        <v>7282.4440000000004</v>
      </c>
      <c r="D7" s="4">
        <f t="shared" si="0"/>
        <v>0.19115835288263114</v>
      </c>
      <c r="E7" s="4">
        <v>3.11</v>
      </c>
      <c r="F7" s="1">
        <f t="shared" si="1"/>
        <v>-1.6546531217424927</v>
      </c>
      <c r="V7" s="5" t="s">
        <v>11</v>
      </c>
      <c r="W7" s="5">
        <v>0.95845707363669641</v>
      </c>
      <c r="X7"/>
      <c r="Y7"/>
      <c r="Z7"/>
      <c r="AA7"/>
      <c r="AB7"/>
      <c r="AC7"/>
      <c r="AD7"/>
    </row>
    <row r="8" spans="1:30" ht="15.75" thickBot="1" x14ac:dyDescent="0.3">
      <c r="A8" s="4">
        <v>1981</v>
      </c>
      <c r="B8" s="4">
        <v>2536.6</v>
      </c>
      <c r="C8" s="4">
        <v>6974.7060000000001</v>
      </c>
      <c r="D8" s="4">
        <f t="shared" si="0"/>
        <v>0.36368558043880272</v>
      </c>
      <c r="E8" s="4">
        <v>2.5</v>
      </c>
      <c r="F8" s="1">
        <f t="shared" si="1"/>
        <v>-1.0114655746302439</v>
      </c>
      <c r="V8" s="6" t="s">
        <v>12</v>
      </c>
      <c r="W8" s="6">
        <v>40</v>
      </c>
      <c r="X8"/>
      <c r="Y8"/>
      <c r="Z8"/>
      <c r="AA8"/>
      <c r="AB8"/>
      <c r="AC8"/>
      <c r="AD8"/>
    </row>
    <row r="9" spans="1:30" x14ac:dyDescent="0.25">
      <c r="A9" s="4">
        <v>1982</v>
      </c>
      <c r="B9" s="4">
        <v>3523.1</v>
      </c>
      <c r="C9" s="4">
        <v>7249.09</v>
      </c>
      <c r="D9" s="4">
        <f t="shared" si="0"/>
        <v>0.48600582969724476</v>
      </c>
      <c r="E9" s="4">
        <v>2.5499999999999998</v>
      </c>
      <c r="F9" s="1">
        <f t="shared" si="1"/>
        <v>-0.72153465989176535</v>
      </c>
      <c r="V9"/>
      <c r="W9"/>
      <c r="X9"/>
      <c r="Y9"/>
      <c r="Z9"/>
      <c r="AA9"/>
      <c r="AB9"/>
      <c r="AC9"/>
      <c r="AD9"/>
    </row>
    <row r="10" spans="1:30" ht="15.75" thickBot="1" x14ac:dyDescent="0.3">
      <c r="A10" s="4">
        <v>1983</v>
      </c>
      <c r="B10" s="4">
        <v>1006.3</v>
      </c>
      <c r="C10" s="4">
        <v>6692.759</v>
      </c>
      <c r="D10" s="4">
        <f t="shared" si="0"/>
        <v>0.15035652710638467</v>
      </c>
      <c r="E10" s="4">
        <v>3.21</v>
      </c>
      <c r="F10" s="1">
        <f t="shared" si="1"/>
        <v>-1.8947459577437482</v>
      </c>
      <c r="V10" t="s">
        <v>13</v>
      </c>
      <c r="W10"/>
      <c r="X10"/>
      <c r="Y10"/>
      <c r="Z10"/>
      <c r="AA10"/>
      <c r="AB10"/>
      <c r="AC10"/>
      <c r="AD10"/>
    </row>
    <row r="11" spans="1:30" x14ac:dyDescent="0.25">
      <c r="A11" s="4">
        <v>1984</v>
      </c>
      <c r="B11" s="4">
        <v>1648.2</v>
      </c>
      <c r="C11" s="4">
        <v>7031.9629999999997</v>
      </c>
      <c r="D11" s="4">
        <f t="shared" si="0"/>
        <v>0.23438689879340949</v>
      </c>
      <c r="E11" s="4">
        <v>2.63</v>
      </c>
      <c r="F11" s="1">
        <f t="shared" si="1"/>
        <v>-1.4507821153609086</v>
      </c>
      <c r="V11" s="7"/>
      <c r="W11" s="7" t="s">
        <v>18</v>
      </c>
      <c r="X11" s="7" t="s">
        <v>19</v>
      </c>
      <c r="Y11" s="7" t="s">
        <v>20</v>
      </c>
      <c r="Z11" s="7" t="s">
        <v>21</v>
      </c>
      <c r="AA11" s="7" t="s">
        <v>22</v>
      </c>
      <c r="AB11"/>
      <c r="AC11"/>
      <c r="AD11"/>
    </row>
    <row r="12" spans="1:30" x14ac:dyDescent="0.25">
      <c r="A12" s="4">
        <v>1985</v>
      </c>
      <c r="B12" s="4">
        <v>4039.5219999999999</v>
      </c>
      <c r="C12" s="4">
        <v>6494.0290000000005</v>
      </c>
      <c r="D12" s="4">
        <f t="shared" si="0"/>
        <v>0.62203633522424984</v>
      </c>
      <c r="E12" s="4">
        <v>2.23</v>
      </c>
      <c r="F12" s="1">
        <f t="shared" si="1"/>
        <v>-0.47475677118990595</v>
      </c>
      <c r="V12" s="5" t="s">
        <v>14</v>
      </c>
      <c r="W12" s="5">
        <v>1</v>
      </c>
      <c r="X12" s="5">
        <v>19.146118943839653</v>
      </c>
      <c r="Y12" s="5">
        <v>19.146118943839653</v>
      </c>
      <c r="Z12" s="5">
        <v>20.841809343965497</v>
      </c>
      <c r="AA12" s="5">
        <v>5.1098976089733438E-5</v>
      </c>
      <c r="AB12"/>
      <c r="AC12"/>
      <c r="AD12"/>
    </row>
    <row r="13" spans="1:30" x14ac:dyDescent="0.25">
      <c r="A13" s="4">
        <v>1986</v>
      </c>
      <c r="B13" s="4">
        <v>4881.6930000000002</v>
      </c>
      <c r="C13" s="4">
        <v>7385.35</v>
      </c>
      <c r="D13" s="4">
        <f t="shared" si="0"/>
        <v>0.66099683833535305</v>
      </c>
      <c r="E13" s="4">
        <v>1.5</v>
      </c>
      <c r="F13" s="1">
        <f t="shared" si="1"/>
        <v>-0.41400622229566764</v>
      </c>
      <c r="V13" s="5" t="s">
        <v>15</v>
      </c>
      <c r="W13" s="5">
        <v>38</v>
      </c>
      <c r="X13" s="5">
        <v>34.908318556160346</v>
      </c>
      <c r="Y13" s="5">
        <v>0.9186399620042196</v>
      </c>
      <c r="Z13" s="5"/>
      <c r="AA13" s="5"/>
      <c r="AB13"/>
      <c r="AC13"/>
      <c r="AD13"/>
    </row>
    <row r="14" spans="1:30" ht="15.75" thickBot="1" x14ac:dyDescent="0.3">
      <c r="A14" s="4">
        <v>1987</v>
      </c>
      <c r="B14" s="4">
        <v>4259.0860000000002</v>
      </c>
      <c r="C14" s="4">
        <v>7757.3180000000002</v>
      </c>
      <c r="D14" s="4">
        <f t="shared" si="0"/>
        <v>0.5490410474341777</v>
      </c>
      <c r="E14" s="4">
        <v>1.94</v>
      </c>
      <c r="F14" s="1">
        <f t="shared" si="1"/>
        <v>-0.59958207262789909</v>
      </c>
      <c r="V14" s="6" t="s">
        <v>16</v>
      </c>
      <c r="W14" s="6">
        <v>39</v>
      </c>
      <c r="X14" s="6">
        <v>54.054437499999999</v>
      </c>
      <c r="Y14" s="6"/>
      <c r="Z14" s="6"/>
      <c r="AA14" s="6"/>
      <c r="AB14"/>
      <c r="AC14"/>
      <c r="AD14"/>
    </row>
    <row r="15" spans="1:30" ht="15.75" thickBot="1" x14ac:dyDescent="0.3">
      <c r="A15" s="4">
        <v>1988</v>
      </c>
      <c r="B15" s="4">
        <v>1930.4280000000001</v>
      </c>
      <c r="C15" s="4">
        <v>7260.1210000000001</v>
      </c>
      <c r="D15" s="4">
        <f t="shared" si="0"/>
        <v>0.2658947419746861</v>
      </c>
      <c r="E15" s="4">
        <v>2.54</v>
      </c>
      <c r="F15" s="1">
        <f t="shared" si="1"/>
        <v>-1.3246547553751407</v>
      </c>
      <c r="V15"/>
      <c r="W15"/>
      <c r="X15"/>
      <c r="Y15"/>
      <c r="Z15"/>
      <c r="AA15"/>
      <c r="AB15"/>
      <c r="AC15"/>
      <c r="AD15"/>
    </row>
    <row r="16" spans="1:30" x14ac:dyDescent="0.25">
      <c r="A16" s="4">
        <v>1989</v>
      </c>
      <c r="B16" s="4">
        <v>1344.4570000000001</v>
      </c>
      <c r="C16" s="4">
        <v>8119.826</v>
      </c>
      <c r="D16" s="4">
        <f t="shared" si="0"/>
        <v>0.16557707024756443</v>
      </c>
      <c r="E16" s="4">
        <v>2.36</v>
      </c>
      <c r="F16" s="1">
        <f t="shared" si="1"/>
        <v>-1.7983185113067184</v>
      </c>
      <c r="V16" s="7"/>
      <c r="W16" s="7" t="s">
        <v>23</v>
      </c>
      <c r="X16" s="7" t="s">
        <v>11</v>
      </c>
      <c r="Y16" s="7" t="s">
        <v>24</v>
      </c>
      <c r="Z16" s="7" t="s">
        <v>25</v>
      </c>
      <c r="AA16" s="7" t="s">
        <v>26</v>
      </c>
      <c r="AB16" s="7" t="s">
        <v>27</v>
      </c>
      <c r="AC16" s="7" t="s">
        <v>28</v>
      </c>
      <c r="AD16" s="7" t="s">
        <v>29</v>
      </c>
    </row>
    <row r="17" spans="1:30" x14ac:dyDescent="0.25">
      <c r="A17" s="4">
        <v>1990</v>
      </c>
      <c r="B17" s="4">
        <v>1521.2449999999999</v>
      </c>
      <c r="C17" s="4">
        <v>7760.6549999999997</v>
      </c>
      <c r="D17" s="4">
        <f t="shared" si="0"/>
        <v>0.19602018128624452</v>
      </c>
      <c r="E17" s="4">
        <v>2.2799999999999998</v>
      </c>
      <c r="F17" s="1">
        <f t="shared" si="1"/>
        <v>-1.6295376593060829</v>
      </c>
      <c r="V17" s="5" t="s">
        <v>17</v>
      </c>
      <c r="W17" s="5">
        <v>0.71798051690587528</v>
      </c>
      <c r="X17" s="5">
        <v>0.49540975361316214</v>
      </c>
      <c r="Y17" s="5">
        <v>1.4492660099431676</v>
      </c>
      <c r="Z17" s="5">
        <v>0.155466371813786</v>
      </c>
      <c r="AA17" s="5">
        <v>-0.28492409705367727</v>
      </c>
      <c r="AB17" s="5">
        <v>1.7208851308654278</v>
      </c>
      <c r="AC17" s="5">
        <v>-0.28492409705367727</v>
      </c>
      <c r="AD17" s="5">
        <v>1.7208851308654278</v>
      </c>
    </row>
    <row r="18" spans="1:30" ht="15.75" thickBot="1" x14ac:dyDescent="0.3">
      <c r="A18" s="4">
        <v>1991</v>
      </c>
      <c r="B18" s="4">
        <v>1100.3109999999999</v>
      </c>
      <c r="C18" s="4">
        <v>7915.3360000000002</v>
      </c>
      <c r="D18" s="4">
        <f t="shared" si="0"/>
        <v>0.13901001802071319</v>
      </c>
      <c r="E18" s="4">
        <v>2.37</v>
      </c>
      <c r="F18" s="1">
        <f t="shared" si="1"/>
        <v>-1.9732092763570519</v>
      </c>
      <c r="V18" s="6">
        <v>-2.2091303291853168</v>
      </c>
      <c r="W18" s="6">
        <v>-1.2218283256180504</v>
      </c>
      <c r="X18" s="6">
        <v>0.26763473627545203</v>
      </c>
      <c r="Y18" s="6">
        <v>-4.5652830519000114</v>
      </c>
      <c r="Z18" s="6">
        <v>5.1098976089733797E-5</v>
      </c>
      <c r="AA18" s="6">
        <v>-1.7636265237941948</v>
      </c>
      <c r="AB18" s="6">
        <v>-0.68003012744190605</v>
      </c>
      <c r="AC18" s="6">
        <v>-1.7636265237941948</v>
      </c>
      <c r="AD18" s="6">
        <v>-0.68003012744190605</v>
      </c>
    </row>
    <row r="19" spans="1:30" x14ac:dyDescent="0.25">
      <c r="A19" s="4">
        <v>1992</v>
      </c>
      <c r="B19" s="4">
        <v>2112.9810000000002</v>
      </c>
      <c r="C19" s="4">
        <v>8471.1190000000006</v>
      </c>
      <c r="D19" s="4">
        <f t="shared" si="0"/>
        <v>0.24943351639848291</v>
      </c>
      <c r="E19" s="4">
        <v>2.0699999999999998</v>
      </c>
      <c r="F19" s="1">
        <f t="shared" si="1"/>
        <v>-1.3885628666400436</v>
      </c>
      <c r="V19"/>
      <c r="W19"/>
      <c r="X19"/>
      <c r="Y19"/>
      <c r="Z19"/>
      <c r="AA19"/>
      <c r="AB19"/>
      <c r="AC19"/>
      <c r="AD19"/>
    </row>
    <row r="20" spans="1:30" x14ac:dyDescent="0.25">
      <c r="A20" s="4">
        <v>1993</v>
      </c>
      <c r="B20" s="4">
        <v>850.14300000000003</v>
      </c>
      <c r="C20" s="4">
        <v>7621.3829999999998</v>
      </c>
      <c r="D20" s="4">
        <f t="shared" si="0"/>
        <v>0.11154707747924492</v>
      </c>
      <c r="E20" s="4">
        <v>2.5</v>
      </c>
      <c r="F20" s="1">
        <f t="shared" si="1"/>
        <v>-2.1933085576467564</v>
      </c>
      <c r="V20"/>
      <c r="W20"/>
      <c r="X20"/>
      <c r="Y20"/>
      <c r="Z20"/>
      <c r="AA20"/>
      <c r="AB20"/>
      <c r="AC20"/>
      <c r="AD20"/>
    </row>
    <row r="21" spans="1:30" x14ac:dyDescent="0.25">
      <c r="A21" s="4">
        <v>1994</v>
      </c>
      <c r="B21" s="4">
        <v>1557.84</v>
      </c>
      <c r="C21" s="4">
        <v>9352.3799999999992</v>
      </c>
      <c r="D21" s="4">
        <f t="shared" si="0"/>
        <v>0.16657150372418572</v>
      </c>
      <c r="E21" s="4">
        <v>2.2599999999999998</v>
      </c>
      <c r="F21" s="1">
        <f t="shared" si="1"/>
        <v>-1.7923306099527576</v>
      </c>
      <c r="V21"/>
      <c r="W21"/>
      <c r="X21"/>
      <c r="Y21"/>
      <c r="Z21"/>
      <c r="AA21"/>
      <c r="AB21"/>
      <c r="AC21"/>
      <c r="AD21"/>
    </row>
    <row r="22" spans="1:30" x14ac:dyDescent="0.25">
      <c r="A22" s="4">
        <v>1995</v>
      </c>
      <c r="B22" s="4">
        <v>425.94200000000001</v>
      </c>
      <c r="C22" s="4">
        <v>8548.4359999999997</v>
      </c>
      <c r="D22" s="4">
        <f t="shared" si="0"/>
        <v>4.9826892311061348E-2</v>
      </c>
      <c r="E22" s="4">
        <v>3.24</v>
      </c>
      <c r="F22" s="1">
        <f t="shared" si="1"/>
        <v>-2.9992004344562222</v>
      </c>
      <c r="U22" s="1" t="s">
        <v>31</v>
      </c>
    </row>
    <row r="23" spans="1:30" x14ac:dyDescent="0.25">
      <c r="A23" s="4">
        <v>1996</v>
      </c>
      <c r="B23" s="4">
        <v>883.16099999999994</v>
      </c>
      <c r="C23" s="4">
        <v>8788.5990000000002</v>
      </c>
      <c r="D23" s="4">
        <f t="shared" si="0"/>
        <v>0.10048939540875627</v>
      </c>
      <c r="E23" s="4">
        <v>2.71</v>
      </c>
      <c r="F23" s="1">
        <f t="shared" si="1"/>
        <v>-2.2977030753712895</v>
      </c>
      <c r="V23" t="s">
        <v>6</v>
      </c>
      <c r="W23"/>
      <c r="X23"/>
      <c r="Y23"/>
      <c r="Z23"/>
      <c r="AA23"/>
      <c r="AB23"/>
      <c r="AC23"/>
      <c r="AD23"/>
    </row>
    <row r="24" spans="1:30" ht="15.75" thickBot="1" x14ac:dyDescent="0.3">
      <c r="A24" s="4">
        <v>1997</v>
      </c>
      <c r="B24" s="4">
        <v>1307.8030000000001</v>
      </c>
      <c r="C24" s="4">
        <v>8791</v>
      </c>
      <c r="D24" s="4">
        <f t="shared" si="0"/>
        <v>0.14876612444545559</v>
      </c>
      <c r="E24" s="4">
        <v>2.4300000000000002</v>
      </c>
      <c r="F24" s="1">
        <f t="shared" si="1"/>
        <v>-1.9053798407978988</v>
      </c>
      <c r="V24"/>
      <c r="W24"/>
      <c r="X24"/>
      <c r="Y24"/>
      <c r="Z24"/>
      <c r="AA24"/>
      <c r="AB24"/>
      <c r="AC24"/>
      <c r="AD24"/>
    </row>
    <row r="25" spans="1:30" x14ac:dyDescent="0.25">
      <c r="A25" s="4">
        <v>1998</v>
      </c>
      <c r="B25" s="4">
        <v>1786.9770000000001</v>
      </c>
      <c r="C25" s="4">
        <v>9298.3169999999991</v>
      </c>
      <c r="D25" s="4">
        <f t="shared" si="0"/>
        <v>0.19218284341133995</v>
      </c>
      <c r="E25" s="4">
        <v>1.94</v>
      </c>
      <c r="F25" s="1">
        <f t="shared" si="1"/>
        <v>-1.6493080506792468</v>
      </c>
      <c r="V25" s="8" t="s">
        <v>7</v>
      </c>
      <c r="W25" s="8"/>
      <c r="X25"/>
      <c r="Y25"/>
      <c r="Z25"/>
      <c r="AA25"/>
      <c r="AB25"/>
      <c r="AC25"/>
      <c r="AD25"/>
    </row>
    <row r="26" spans="1:30" x14ac:dyDescent="0.25">
      <c r="A26" s="4">
        <v>1999</v>
      </c>
      <c r="B26" s="4">
        <v>1717.549</v>
      </c>
      <c r="C26" s="4">
        <v>9514.7839999999997</v>
      </c>
      <c r="D26" s="4">
        <f t="shared" si="0"/>
        <v>0.18051371423670784</v>
      </c>
      <c r="E26" s="4">
        <v>1.82</v>
      </c>
      <c r="F26" s="1">
        <f t="shared" si="1"/>
        <v>-1.711948524944735</v>
      </c>
      <c r="V26" s="5" t="s">
        <v>8</v>
      </c>
      <c r="W26" s="5">
        <v>0.89496811821023803</v>
      </c>
      <c r="X26"/>
      <c r="Y26"/>
      <c r="Z26"/>
      <c r="AA26"/>
      <c r="AB26"/>
      <c r="AC26"/>
      <c r="AD26"/>
    </row>
    <row r="27" spans="1:30" x14ac:dyDescent="0.25">
      <c r="A27" s="4">
        <v>2000</v>
      </c>
      <c r="B27" s="4">
        <v>1899.1079999999999</v>
      </c>
      <c r="C27" s="4">
        <v>9740.3160000000007</v>
      </c>
      <c r="D27" s="4">
        <f t="shared" si="0"/>
        <v>0.19497396183039645</v>
      </c>
      <c r="E27" s="4">
        <v>1.85</v>
      </c>
      <c r="F27" s="1">
        <f t="shared" si="1"/>
        <v>-1.6348892584090808</v>
      </c>
      <c r="V27" s="5" t="s">
        <v>9</v>
      </c>
      <c r="W27" s="5">
        <v>0.80096793261277466</v>
      </c>
      <c r="X27"/>
      <c r="Y27"/>
      <c r="Z27"/>
      <c r="AA27"/>
      <c r="AB27"/>
      <c r="AC27"/>
      <c r="AD27"/>
    </row>
    <row r="28" spans="1:30" x14ac:dyDescent="0.25">
      <c r="A28" s="4">
        <v>2001</v>
      </c>
      <c r="B28" s="4">
        <v>1596.4259999999999</v>
      </c>
      <c r="C28" s="4">
        <v>9815.402</v>
      </c>
      <c r="D28" s="4">
        <f t="shared" si="0"/>
        <v>0.16264499406137414</v>
      </c>
      <c r="E28" s="4">
        <v>1.97</v>
      </c>
      <c r="F28" s="1">
        <f t="shared" si="1"/>
        <v>-1.8161854039026919</v>
      </c>
      <c r="V28" s="5" t="s">
        <v>10</v>
      </c>
      <c r="W28" s="5">
        <v>0.77253478012888532</v>
      </c>
      <c r="X28"/>
      <c r="Y28"/>
      <c r="Z28"/>
      <c r="AA28"/>
      <c r="AB28"/>
      <c r="AC28"/>
      <c r="AD28"/>
    </row>
    <row r="29" spans="1:30" x14ac:dyDescent="0.25">
      <c r="A29" s="4">
        <v>2002</v>
      </c>
      <c r="B29" s="4">
        <v>1086.673</v>
      </c>
      <c r="C29" s="4">
        <v>9490.9860000000008</v>
      </c>
      <c r="D29" s="4">
        <f t="shared" si="0"/>
        <v>0.11449526951151334</v>
      </c>
      <c r="E29" s="4">
        <v>2.3199999999999998</v>
      </c>
      <c r="F29" s="1">
        <f t="shared" si="1"/>
        <v>-2.1672217711512296</v>
      </c>
      <c r="V29" s="5" t="s">
        <v>11</v>
      </c>
      <c r="W29" s="5">
        <v>0.563815866573813</v>
      </c>
      <c r="X29"/>
      <c r="Y29"/>
      <c r="Z29"/>
      <c r="AA29"/>
      <c r="AB29"/>
      <c r="AC29"/>
      <c r="AD29"/>
    </row>
    <row r="30" spans="1:30" ht="15.75" thickBot="1" x14ac:dyDescent="0.3">
      <c r="A30" s="4">
        <v>2003</v>
      </c>
      <c r="B30" s="4">
        <v>958.09100000000001</v>
      </c>
      <c r="C30" s="4">
        <v>10229.950000000001</v>
      </c>
      <c r="D30" s="4">
        <f t="shared" si="0"/>
        <v>9.3655491962326295E-2</v>
      </c>
      <c r="E30" s="4">
        <v>2.42</v>
      </c>
      <c r="F30" s="1">
        <f t="shared" si="1"/>
        <v>-2.3681322083269709</v>
      </c>
      <c r="V30" s="6" t="s">
        <v>12</v>
      </c>
      <c r="W30" s="6">
        <v>9</v>
      </c>
      <c r="X30"/>
      <c r="Y30"/>
      <c r="Z30"/>
      <c r="AA30"/>
      <c r="AB30"/>
      <c r="AC30"/>
      <c r="AD30"/>
    </row>
    <row r="31" spans="1:30" x14ac:dyDescent="0.25">
      <c r="A31" s="4">
        <v>2004</v>
      </c>
      <c r="B31" s="4">
        <v>2113.9720000000002</v>
      </c>
      <c r="C31" s="4">
        <v>10660.53</v>
      </c>
      <c r="D31" s="4">
        <f t="shared" si="0"/>
        <v>0.19829895886977478</v>
      </c>
      <c r="E31" s="4">
        <v>2.06</v>
      </c>
      <c r="F31" s="1">
        <f t="shared" si="1"/>
        <v>-1.6179794937486629</v>
      </c>
      <c r="V31"/>
      <c r="W31"/>
      <c r="X31"/>
      <c r="Y31"/>
      <c r="Z31"/>
      <c r="AA31"/>
      <c r="AB31"/>
      <c r="AC31"/>
      <c r="AD31"/>
    </row>
    <row r="32" spans="1:30" ht="15.75" thickBot="1" x14ac:dyDescent="0.3">
      <c r="A32" s="4">
        <v>2005</v>
      </c>
      <c r="B32" s="4">
        <v>1967.1610000000001</v>
      </c>
      <c r="C32" s="4">
        <v>11267.804</v>
      </c>
      <c r="D32" s="4">
        <f t="shared" si="0"/>
        <v>0.1745824652256997</v>
      </c>
      <c r="E32" s="4">
        <v>2</v>
      </c>
      <c r="F32" s="1">
        <f t="shared" si="1"/>
        <v>-1.7453580688804879</v>
      </c>
      <c r="V32" t="s">
        <v>13</v>
      </c>
      <c r="W32"/>
      <c r="X32"/>
      <c r="Y32"/>
      <c r="Z32"/>
      <c r="AA32"/>
      <c r="AB32"/>
      <c r="AC32"/>
      <c r="AD32"/>
    </row>
    <row r="33" spans="1:30" x14ac:dyDescent="0.25">
      <c r="A33" s="4">
        <v>2006</v>
      </c>
      <c r="B33" s="4">
        <v>1303.6469999999999</v>
      </c>
      <c r="C33" s="4">
        <v>11206.62</v>
      </c>
      <c r="D33" s="4">
        <f t="shared" si="0"/>
        <v>0.1163282952397779</v>
      </c>
      <c r="E33" s="4">
        <v>3.04</v>
      </c>
      <c r="F33" s="1">
        <f t="shared" si="1"/>
        <v>-2.1513389537800713</v>
      </c>
      <c r="V33" s="7"/>
      <c r="W33" s="7" t="s">
        <v>18</v>
      </c>
      <c r="X33" s="7" t="s">
        <v>19</v>
      </c>
      <c r="Y33" s="7" t="s">
        <v>20</v>
      </c>
      <c r="Z33" s="7" t="s">
        <v>21</v>
      </c>
      <c r="AA33" s="7" t="s">
        <v>22</v>
      </c>
      <c r="AB33"/>
      <c r="AC33"/>
      <c r="AD33"/>
    </row>
    <row r="34" spans="1:30" x14ac:dyDescent="0.25">
      <c r="A34" s="4">
        <v>2007</v>
      </c>
      <c r="B34" s="4">
        <v>1624.15</v>
      </c>
      <c r="C34" s="4">
        <v>12737.393</v>
      </c>
      <c r="D34" s="4">
        <f t="shared" si="0"/>
        <v>0.12751039400291725</v>
      </c>
      <c r="E34" s="4">
        <v>4.2</v>
      </c>
      <c r="F34" s="1">
        <f t="shared" si="1"/>
        <v>-2.0595573961148528</v>
      </c>
      <c r="V34" s="5" t="s">
        <v>14</v>
      </c>
      <c r="W34" s="5">
        <v>1</v>
      </c>
      <c r="X34" s="5">
        <v>8.9549816801973421</v>
      </c>
      <c r="Y34" s="5">
        <v>8.9549816801973421</v>
      </c>
      <c r="Z34" s="5">
        <v>28.170211975848087</v>
      </c>
      <c r="AA34" s="5">
        <v>1.1141894554959754E-3</v>
      </c>
      <c r="AB34"/>
      <c r="AC34"/>
      <c r="AD34"/>
    </row>
    <row r="35" spans="1:30" x14ac:dyDescent="0.25">
      <c r="A35" s="4">
        <v>2008</v>
      </c>
      <c r="B35" s="4">
        <v>1673.3109999999999</v>
      </c>
      <c r="C35" s="4">
        <v>12007.572</v>
      </c>
      <c r="D35" s="4">
        <f t="shared" si="0"/>
        <v>0.139354650548837</v>
      </c>
      <c r="E35" s="4">
        <v>4.0599999999999996</v>
      </c>
      <c r="F35" s="1">
        <f t="shared" si="1"/>
        <v>-1.9707331524582918</v>
      </c>
      <c r="V35" s="5" t="s">
        <v>15</v>
      </c>
      <c r="W35" s="5">
        <v>7</v>
      </c>
      <c r="X35" s="5">
        <v>2.2252183198026581</v>
      </c>
      <c r="Y35" s="5">
        <v>0.3178883314003797</v>
      </c>
      <c r="Z35" s="5"/>
      <c r="AA35" s="5"/>
      <c r="AB35"/>
      <c r="AC35"/>
      <c r="AD35"/>
    </row>
    <row r="36" spans="1:30" ht="15.75" thickBot="1" x14ac:dyDescent="0.3">
      <c r="A36" s="4">
        <v>2009</v>
      </c>
      <c r="B36" s="4">
        <v>1707.787</v>
      </c>
      <c r="C36" s="4">
        <v>13041.022999999999</v>
      </c>
      <c r="D36" s="4">
        <f t="shared" si="0"/>
        <v>0.13095498719694001</v>
      </c>
      <c r="E36" s="4">
        <v>3.55</v>
      </c>
      <c r="F36" s="1">
        <f t="shared" si="1"/>
        <v>-2.0329016240118114</v>
      </c>
      <c r="V36" s="6" t="s">
        <v>16</v>
      </c>
      <c r="W36" s="6">
        <v>8</v>
      </c>
      <c r="X36" s="6">
        <v>11.180199999999999</v>
      </c>
      <c r="Y36" s="6"/>
      <c r="Z36" s="6"/>
      <c r="AA36" s="6"/>
      <c r="AB36"/>
      <c r="AC36"/>
      <c r="AD36"/>
    </row>
    <row r="37" spans="1:30" ht="15.75" thickBot="1" x14ac:dyDescent="0.3">
      <c r="A37" s="4">
        <v>2010</v>
      </c>
      <c r="B37" s="4">
        <v>1127.645</v>
      </c>
      <c r="C37" s="4">
        <v>13033.141</v>
      </c>
      <c r="D37" s="4">
        <f t="shared" si="0"/>
        <v>8.6521353524833353E-2</v>
      </c>
      <c r="E37" s="4">
        <v>5.18</v>
      </c>
      <c r="F37" s="1">
        <f t="shared" si="1"/>
        <v>-2.4473640339508371</v>
      </c>
      <c r="V37"/>
      <c r="W37"/>
      <c r="X37"/>
      <c r="Y37"/>
      <c r="Z37"/>
      <c r="AA37"/>
      <c r="AB37"/>
      <c r="AC37"/>
      <c r="AD37"/>
    </row>
    <row r="38" spans="1:30" x14ac:dyDescent="0.25">
      <c r="A38" s="4">
        <v>2011</v>
      </c>
      <c r="B38" s="4">
        <v>989.02700000000004</v>
      </c>
      <c r="C38" s="4">
        <v>12481.947</v>
      </c>
      <c r="D38" s="4">
        <f t="shared" si="0"/>
        <v>7.9236596662363656E-2</v>
      </c>
      <c r="E38" s="4">
        <v>6.22</v>
      </c>
      <c r="F38" s="1">
        <f t="shared" si="1"/>
        <v>-2.5353170078171665</v>
      </c>
      <c r="V38" s="7"/>
      <c r="W38" s="7" t="s">
        <v>23</v>
      </c>
      <c r="X38" s="7" t="s">
        <v>11</v>
      </c>
      <c r="Y38" s="7" t="s">
        <v>24</v>
      </c>
      <c r="Z38" s="7" t="s">
        <v>25</v>
      </c>
      <c r="AA38" s="7" t="s">
        <v>26</v>
      </c>
      <c r="AB38" s="7" t="s">
        <v>27</v>
      </c>
      <c r="AC38" s="7" t="s">
        <v>28</v>
      </c>
      <c r="AD38" s="7" t="s">
        <v>29</v>
      </c>
    </row>
    <row r="39" spans="1:30" x14ac:dyDescent="0.25">
      <c r="A39" s="4">
        <v>2012</v>
      </c>
      <c r="B39" s="4">
        <v>821.18499999999995</v>
      </c>
      <c r="C39" s="4">
        <v>11082.898999999999</v>
      </c>
      <c r="D39" s="4">
        <f t="shared" si="0"/>
        <v>7.4094783323388577E-2</v>
      </c>
      <c r="E39" s="4">
        <v>6.89</v>
      </c>
      <c r="F39" s="1">
        <f t="shared" si="1"/>
        <v>-2.6024101496524081</v>
      </c>
      <c r="V39" s="5" t="s">
        <v>17</v>
      </c>
      <c r="W39" s="5">
        <v>-5.242448836992387</v>
      </c>
      <c r="X39" s="5">
        <v>1.8776660058667738</v>
      </c>
      <c r="Y39" s="5">
        <v>-2.7920028485429986</v>
      </c>
      <c r="Z39" s="5">
        <v>2.6830939102847208E-2</v>
      </c>
      <c r="AA39" s="5">
        <v>-9.6824234108563196</v>
      </c>
      <c r="AB39" s="5">
        <v>-0.80247426312845338</v>
      </c>
      <c r="AC39" s="5">
        <v>-9.6824234108563196</v>
      </c>
      <c r="AD39" s="5">
        <v>-0.80247426312845338</v>
      </c>
    </row>
    <row r="40" spans="1:30" ht="15.75" thickBot="1" x14ac:dyDescent="0.3">
      <c r="A40" s="4">
        <v>2013</v>
      </c>
      <c r="B40" s="4">
        <v>1231.904</v>
      </c>
      <c r="C40" s="4">
        <v>13454.038</v>
      </c>
      <c r="D40" s="4">
        <f t="shared" si="0"/>
        <v>9.156388587574972E-2</v>
      </c>
      <c r="E40" s="4">
        <v>4.46</v>
      </c>
      <c r="F40" s="1">
        <f t="shared" si="1"/>
        <v>-2.390718344040931</v>
      </c>
      <c r="V40" s="6" t="s">
        <v>32</v>
      </c>
      <c r="W40" s="6">
        <v>-4.3989923961656343</v>
      </c>
      <c r="X40" s="6">
        <v>0.82881605230029332</v>
      </c>
      <c r="Y40" s="6">
        <v>-5.3075617731542302</v>
      </c>
      <c r="Z40" s="6">
        <v>1.1141894554959773E-3</v>
      </c>
      <c r="AA40" s="6">
        <v>-6.3588309335443016</v>
      </c>
      <c r="AB40" s="6">
        <v>-2.439153858786967</v>
      </c>
      <c r="AC40" s="6">
        <v>-6.3588309335443016</v>
      </c>
      <c r="AD40" s="6">
        <v>-2.439153858786967</v>
      </c>
    </row>
    <row r="41" spans="1:30" x14ac:dyDescent="0.25">
      <c r="A41" s="4">
        <v>2014</v>
      </c>
      <c r="B41" s="4">
        <v>1731.31</v>
      </c>
      <c r="C41" s="4">
        <v>13747.782999999999</v>
      </c>
      <c r="D41" s="4">
        <f t="shared" si="0"/>
        <v>0.12593375964691908</v>
      </c>
      <c r="E41" s="4">
        <v>3.7</v>
      </c>
      <c r="F41" s="1">
        <f t="shared" si="1"/>
        <v>-2.0719992273562826</v>
      </c>
      <c r="V41"/>
      <c r="W41"/>
      <c r="X41"/>
      <c r="Y41"/>
      <c r="Z41"/>
      <c r="AA41"/>
      <c r="AB41"/>
      <c r="AC41"/>
      <c r="AD41"/>
    </row>
    <row r="42" spans="1:30" x14ac:dyDescent="0.25">
      <c r="A42" s="4">
        <v>2015</v>
      </c>
      <c r="B42" s="4">
        <v>1561.2329999999999</v>
      </c>
      <c r="C42" s="4">
        <v>13755</v>
      </c>
      <c r="D42" s="4">
        <f t="shared" si="0"/>
        <v>0.11350294438386041</v>
      </c>
      <c r="E42" s="4">
        <v>3.8</v>
      </c>
      <c r="F42" s="1">
        <f t="shared" si="1"/>
        <v>-2.1759265006891386</v>
      </c>
      <c r="V42"/>
      <c r="W42"/>
      <c r="X42"/>
      <c r="Y42"/>
      <c r="Z42"/>
      <c r="AA42"/>
      <c r="AB42"/>
      <c r="AC42"/>
      <c r="AD42"/>
    </row>
    <row r="43" spans="1:30" ht="75" x14ac:dyDescent="0.25">
      <c r="D43" s="4"/>
      <c r="V43" s="11" t="s">
        <v>34</v>
      </c>
      <c r="W43" s="10" t="s">
        <v>33</v>
      </c>
      <c r="X43"/>
      <c r="Y43"/>
      <c r="Z43"/>
      <c r="AA43"/>
      <c r="AB43"/>
      <c r="AC43"/>
      <c r="AD43"/>
    </row>
    <row r="44" spans="1:30" ht="21" x14ac:dyDescent="0.35">
      <c r="V44" s="12">
        <f>1561/13755</f>
        <v>0.11348600508905853</v>
      </c>
      <c r="W44" s="9">
        <f>W39+W40*LN(V44)</f>
        <v>4.3300918532454462</v>
      </c>
    </row>
  </sheetData>
  <pageMargins left="0.75" right="0.75" top="1" bottom="1" header="0.5" footer="0.5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corn_endingstock_prices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Mallory, Mindy L</dc:creator>
  <cp:lastModifiedBy>Mallory, Mindy L</cp:lastModifiedBy>
  <dcterms:created xsi:type="dcterms:W3CDTF">2015-10-19T20:01:48Z</dcterms:created>
  <dcterms:modified xsi:type="dcterms:W3CDTF">2015-10-28T20:08:24Z</dcterms:modified>
</cp:coreProperties>
</file>