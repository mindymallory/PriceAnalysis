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mallorym\Documents\GitHub\PriceAnalysis\Excel-files\"/>
    </mc:Choice>
  </mc:AlternateContent>
  <bookViews>
    <workbookView xWindow="0" yWindow="0" windowWidth="20520" windowHeight="8895"/>
  </bookViews>
  <sheets>
    <sheet name="CrackSpread-1" sheetId="1" r:id="rId1"/>
  </sheets>
  <calcPr calcId="0"/>
</workbook>
</file>

<file path=xl/calcChain.xml><?xml version="1.0" encoding="utf-8"?>
<calcChain xmlns="http://schemas.openxmlformats.org/spreadsheetml/2006/main">
  <c r="L1983" i="1" l="1"/>
  <c r="K1983" i="1"/>
  <c r="H1983" i="1"/>
  <c r="E1983" i="1"/>
  <c r="I1983" i="1"/>
  <c r="J1983" i="1"/>
  <c r="H1982" i="1"/>
  <c r="G1983" i="1"/>
  <c r="F1983" i="1"/>
  <c r="F1982" i="1"/>
  <c r="D546" i="1"/>
  <c r="J547" i="1"/>
  <c r="I5" i="1" l="1"/>
  <c r="J5" i="1"/>
  <c r="I6" i="1"/>
  <c r="J6" i="1"/>
  <c r="I7" i="1"/>
  <c r="J7" i="1"/>
  <c r="I8" i="1"/>
  <c r="J8" i="1"/>
  <c r="I9" i="1"/>
  <c r="J9" i="1"/>
  <c r="I10" i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8" i="1"/>
  <c r="J28" i="1"/>
  <c r="I29" i="1"/>
  <c r="J29" i="1"/>
  <c r="I30" i="1"/>
  <c r="J30" i="1"/>
  <c r="I31" i="1"/>
  <c r="J31" i="1"/>
  <c r="I32" i="1"/>
  <c r="J32" i="1"/>
  <c r="I33" i="1"/>
  <c r="J33" i="1"/>
  <c r="I34" i="1"/>
  <c r="J34" i="1"/>
  <c r="I35" i="1"/>
  <c r="J35" i="1"/>
  <c r="I36" i="1"/>
  <c r="J36" i="1"/>
  <c r="I37" i="1"/>
  <c r="J37" i="1"/>
  <c r="I38" i="1"/>
  <c r="J38" i="1"/>
  <c r="I39" i="1"/>
  <c r="J39" i="1"/>
  <c r="I40" i="1"/>
  <c r="J40" i="1"/>
  <c r="I41" i="1"/>
  <c r="J41" i="1"/>
  <c r="I42" i="1"/>
  <c r="J42" i="1"/>
  <c r="I43" i="1"/>
  <c r="J43" i="1"/>
  <c r="I44" i="1"/>
  <c r="J44" i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I52" i="1"/>
  <c r="J52" i="1"/>
  <c r="I53" i="1"/>
  <c r="J53" i="1"/>
  <c r="I54" i="1"/>
  <c r="J54" i="1"/>
  <c r="I55" i="1"/>
  <c r="J55" i="1"/>
  <c r="I56" i="1"/>
  <c r="J56" i="1"/>
  <c r="I57" i="1"/>
  <c r="J57" i="1"/>
  <c r="I58" i="1"/>
  <c r="J58" i="1"/>
  <c r="I59" i="1"/>
  <c r="J59" i="1"/>
  <c r="I60" i="1"/>
  <c r="J60" i="1"/>
  <c r="I61" i="1"/>
  <c r="J61" i="1"/>
  <c r="I62" i="1"/>
  <c r="J62" i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I109" i="1"/>
  <c r="J109" i="1"/>
  <c r="I110" i="1"/>
  <c r="J110" i="1"/>
  <c r="I111" i="1"/>
  <c r="J111" i="1"/>
  <c r="I112" i="1"/>
  <c r="J112" i="1"/>
  <c r="I113" i="1"/>
  <c r="J113" i="1"/>
  <c r="I114" i="1"/>
  <c r="J114" i="1"/>
  <c r="I115" i="1"/>
  <c r="J115" i="1"/>
  <c r="I116" i="1"/>
  <c r="J116" i="1"/>
  <c r="I117" i="1"/>
  <c r="J117" i="1"/>
  <c r="I118" i="1"/>
  <c r="J118" i="1"/>
  <c r="I119" i="1"/>
  <c r="J119" i="1"/>
  <c r="I120" i="1"/>
  <c r="J120" i="1"/>
  <c r="I121" i="1"/>
  <c r="J121" i="1"/>
  <c r="I122" i="1"/>
  <c r="J122" i="1"/>
  <c r="I123" i="1"/>
  <c r="J123" i="1"/>
  <c r="I124" i="1"/>
  <c r="J124" i="1"/>
  <c r="I125" i="1"/>
  <c r="J125" i="1"/>
  <c r="I126" i="1"/>
  <c r="J126" i="1"/>
  <c r="I127" i="1"/>
  <c r="J127" i="1"/>
  <c r="I128" i="1"/>
  <c r="J128" i="1"/>
  <c r="I129" i="1"/>
  <c r="J129" i="1"/>
  <c r="I130" i="1"/>
  <c r="J130" i="1"/>
  <c r="I131" i="1"/>
  <c r="J131" i="1"/>
  <c r="I132" i="1"/>
  <c r="J132" i="1"/>
  <c r="I133" i="1"/>
  <c r="J133" i="1"/>
  <c r="I134" i="1"/>
  <c r="J134" i="1"/>
  <c r="I135" i="1"/>
  <c r="J135" i="1"/>
  <c r="I136" i="1"/>
  <c r="J136" i="1"/>
  <c r="I137" i="1"/>
  <c r="J137" i="1"/>
  <c r="I138" i="1"/>
  <c r="J138" i="1"/>
  <c r="I139" i="1"/>
  <c r="J139" i="1"/>
  <c r="I140" i="1"/>
  <c r="J140" i="1"/>
  <c r="I141" i="1"/>
  <c r="J141" i="1"/>
  <c r="I142" i="1"/>
  <c r="J142" i="1"/>
  <c r="I143" i="1"/>
  <c r="J143" i="1"/>
  <c r="I144" i="1"/>
  <c r="J144" i="1"/>
  <c r="I145" i="1"/>
  <c r="J145" i="1"/>
  <c r="I146" i="1"/>
  <c r="J146" i="1"/>
  <c r="I147" i="1"/>
  <c r="J147" i="1"/>
  <c r="I148" i="1"/>
  <c r="J148" i="1"/>
  <c r="I149" i="1"/>
  <c r="J149" i="1"/>
  <c r="I150" i="1"/>
  <c r="J150" i="1"/>
  <c r="I151" i="1"/>
  <c r="J151" i="1"/>
  <c r="I152" i="1"/>
  <c r="J152" i="1"/>
  <c r="I153" i="1"/>
  <c r="J153" i="1"/>
  <c r="I154" i="1"/>
  <c r="J154" i="1"/>
  <c r="I155" i="1"/>
  <c r="J155" i="1"/>
  <c r="I156" i="1"/>
  <c r="J156" i="1"/>
  <c r="I157" i="1"/>
  <c r="J157" i="1"/>
  <c r="I158" i="1"/>
  <c r="J158" i="1"/>
  <c r="I159" i="1"/>
  <c r="J159" i="1"/>
  <c r="I160" i="1"/>
  <c r="J160" i="1"/>
  <c r="I161" i="1"/>
  <c r="J161" i="1"/>
  <c r="I162" i="1"/>
  <c r="J162" i="1"/>
  <c r="I163" i="1"/>
  <c r="J163" i="1"/>
  <c r="I164" i="1"/>
  <c r="J164" i="1"/>
  <c r="I165" i="1"/>
  <c r="J165" i="1"/>
  <c r="I166" i="1"/>
  <c r="J166" i="1"/>
  <c r="I167" i="1"/>
  <c r="J167" i="1"/>
  <c r="I168" i="1"/>
  <c r="J168" i="1"/>
  <c r="I169" i="1"/>
  <c r="J169" i="1"/>
  <c r="I170" i="1"/>
  <c r="J170" i="1"/>
  <c r="I171" i="1"/>
  <c r="J171" i="1"/>
  <c r="I172" i="1"/>
  <c r="J172" i="1"/>
  <c r="I173" i="1"/>
  <c r="J173" i="1"/>
  <c r="I174" i="1"/>
  <c r="J174" i="1"/>
  <c r="I175" i="1"/>
  <c r="J175" i="1"/>
  <c r="I176" i="1"/>
  <c r="J176" i="1"/>
  <c r="I177" i="1"/>
  <c r="J177" i="1"/>
  <c r="I178" i="1"/>
  <c r="J178" i="1"/>
  <c r="I179" i="1"/>
  <c r="J179" i="1"/>
  <c r="I180" i="1"/>
  <c r="J180" i="1"/>
  <c r="I181" i="1"/>
  <c r="J181" i="1"/>
  <c r="I182" i="1"/>
  <c r="J182" i="1"/>
  <c r="I183" i="1"/>
  <c r="J183" i="1"/>
  <c r="I184" i="1"/>
  <c r="J184" i="1"/>
  <c r="I185" i="1"/>
  <c r="J185" i="1"/>
  <c r="I186" i="1"/>
  <c r="J186" i="1"/>
  <c r="I187" i="1"/>
  <c r="J187" i="1"/>
  <c r="I188" i="1"/>
  <c r="J188" i="1"/>
  <c r="I189" i="1"/>
  <c r="J189" i="1"/>
  <c r="I190" i="1"/>
  <c r="J190" i="1"/>
  <c r="I191" i="1"/>
  <c r="J191" i="1"/>
  <c r="I192" i="1"/>
  <c r="J192" i="1"/>
  <c r="I193" i="1"/>
  <c r="J193" i="1"/>
  <c r="I194" i="1"/>
  <c r="J194" i="1"/>
  <c r="I195" i="1"/>
  <c r="J195" i="1"/>
  <c r="I196" i="1"/>
  <c r="J196" i="1"/>
  <c r="I197" i="1"/>
  <c r="J197" i="1"/>
  <c r="I198" i="1"/>
  <c r="J198" i="1"/>
  <c r="I199" i="1"/>
  <c r="J199" i="1"/>
  <c r="I200" i="1"/>
  <c r="J200" i="1"/>
  <c r="I201" i="1"/>
  <c r="J201" i="1"/>
  <c r="I202" i="1"/>
  <c r="J202" i="1"/>
  <c r="I203" i="1"/>
  <c r="J203" i="1"/>
  <c r="I204" i="1"/>
  <c r="J204" i="1"/>
  <c r="I205" i="1"/>
  <c r="J205" i="1"/>
  <c r="I206" i="1"/>
  <c r="J206" i="1"/>
  <c r="I207" i="1"/>
  <c r="J207" i="1"/>
  <c r="I208" i="1"/>
  <c r="J208" i="1"/>
  <c r="I209" i="1"/>
  <c r="J209" i="1"/>
  <c r="I210" i="1"/>
  <c r="J210" i="1"/>
  <c r="I211" i="1"/>
  <c r="J211" i="1"/>
  <c r="I212" i="1"/>
  <c r="J212" i="1"/>
  <c r="I213" i="1"/>
  <c r="J213" i="1"/>
  <c r="I214" i="1"/>
  <c r="J214" i="1"/>
  <c r="I215" i="1"/>
  <c r="J215" i="1"/>
  <c r="I216" i="1"/>
  <c r="J216" i="1"/>
  <c r="I217" i="1"/>
  <c r="J217" i="1"/>
  <c r="I218" i="1"/>
  <c r="J218" i="1"/>
  <c r="I219" i="1"/>
  <c r="J219" i="1"/>
  <c r="I220" i="1"/>
  <c r="J220" i="1"/>
  <c r="I221" i="1"/>
  <c r="J221" i="1"/>
  <c r="I222" i="1"/>
  <c r="J222" i="1"/>
  <c r="I223" i="1"/>
  <c r="J223" i="1"/>
  <c r="I224" i="1"/>
  <c r="J224" i="1"/>
  <c r="I225" i="1"/>
  <c r="J225" i="1"/>
  <c r="I226" i="1"/>
  <c r="J226" i="1"/>
  <c r="I227" i="1"/>
  <c r="J227" i="1"/>
  <c r="I228" i="1"/>
  <c r="J228" i="1"/>
  <c r="I229" i="1"/>
  <c r="J229" i="1"/>
  <c r="I230" i="1"/>
  <c r="J230" i="1"/>
  <c r="I231" i="1"/>
  <c r="J231" i="1"/>
  <c r="I232" i="1"/>
  <c r="J232" i="1"/>
  <c r="I233" i="1"/>
  <c r="J233" i="1"/>
  <c r="I234" i="1"/>
  <c r="J234" i="1"/>
  <c r="I235" i="1"/>
  <c r="J235" i="1"/>
  <c r="I236" i="1"/>
  <c r="J236" i="1"/>
  <c r="I237" i="1"/>
  <c r="J237" i="1"/>
  <c r="I238" i="1"/>
  <c r="J238" i="1"/>
  <c r="I239" i="1"/>
  <c r="J239" i="1"/>
  <c r="I240" i="1"/>
  <c r="J240" i="1"/>
  <c r="I241" i="1"/>
  <c r="J241" i="1"/>
  <c r="I242" i="1"/>
  <c r="J242" i="1"/>
  <c r="I243" i="1"/>
  <c r="J243" i="1"/>
  <c r="I244" i="1"/>
  <c r="J244" i="1"/>
  <c r="I245" i="1"/>
  <c r="J245" i="1"/>
  <c r="I246" i="1"/>
  <c r="J246" i="1"/>
  <c r="I247" i="1"/>
  <c r="J247" i="1"/>
  <c r="I248" i="1"/>
  <c r="J248" i="1"/>
  <c r="I249" i="1"/>
  <c r="J249" i="1"/>
  <c r="I250" i="1"/>
  <c r="J250" i="1"/>
  <c r="I251" i="1"/>
  <c r="J251" i="1"/>
  <c r="I252" i="1"/>
  <c r="J252" i="1"/>
  <c r="I253" i="1"/>
  <c r="J253" i="1"/>
  <c r="I254" i="1"/>
  <c r="J254" i="1"/>
  <c r="I255" i="1"/>
  <c r="J255" i="1"/>
  <c r="I256" i="1"/>
  <c r="J256" i="1"/>
  <c r="I257" i="1"/>
  <c r="J257" i="1"/>
  <c r="I258" i="1"/>
  <c r="J258" i="1"/>
  <c r="I259" i="1"/>
  <c r="J259" i="1"/>
  <c r="I260" i="1"/>
  <c r="J260" i="1"/>
  <c r="I261" i="1"/>
  <c r="J261" i="1"/>
  <c r="I262" i="1"/>
  <c r="J262" i="1"/>
  <c r="I263" i="1"/>
  <c r="J263" i="1"/>
  <c r="I264" i="1"/>
  <c r="J264" i="1"/>
  <c r="I265" i="1"/>
  <c r="J265" i="1"/>
  <c r="I266" i="1"/>
  <c r="J266" i="1"/>
  <c r="I267" i="1"/>
  <c r="J267" i="1"/>
  <c r="I268" i="1"/>
  <c r="J268" i="1"/>
  <c r="I269" i="1"/>
  <c r="J269" i="1"/>
  <c r="I270" i="1"/>
  <c r="J270" i="1"/>
  <c r="I271" i="1"/>
  <c r="J271" i="1"/>
  <c r="I272" i="1"/>
  <c r="J272" i="1"/>
  <c r="I273" i="1"/>
  <c r="J273" i="1"/>
  <c r="I274" i="1"/>
  <c r="J274" i="1"/>
  <c r="I275" i="1"/>
  <c r="J275" i="1"/>
  <c r="I276" i="1"/>
  <c r="J276" i="1"/>
  <c r="I277" i="1"/>
  <c r="J277" i="1"/>
  <c r="I278" i="1"/>
  <c r="J278" i="1"/>
  <c r="I279" i="1"/>
  <c r="J279" i="1"/>
  <c r="I280" i="1"/>
  <c r="J280" i="1"/>
  <c r="I281" i="1"/>
  <c r="J281" i="1"/>
  <c r="I282" i="1"/>
  <c r="J282" i="1"/>
  <c r="I283" i="1"/>
  <c r="J283" i="1"/>
  <c r="I284" i="1"/>
  <c r="J284" i="1"/>
  <c r="I285" i="1"/>
  <c r="J285" i="1"/>
  <c r="I286" i="1"/>
  <c r="J286" i="1"/>
  <c r="I287" i="1"/>
  <c r="J287" i="1"/>
  <c r="I288" i="1"/>
  <c r="J288" i="1"/>
  <c r="I289" i="1"/>
  <c r="J289" i="1"/>
  <c r="I290" i="1"/>
  <c r="J290" i="1"/>
  <c r="I291" i="1"/>
  <c r="J291" i="1"/>
  <c r="I292" i="1"/>
  <c r="J292" i="1"/>
  <c r="I293" i="1"/>
  <c r="J293" i="1"/>
  <c r="I294" i="1"/>
  <c r="J294" i="1"/>
  <c r="I295" i="1"/>
  <c r="J295" i="1"/>
  <c r="I296" i="1"/>
  <c r="J296" i="1"/>
  <c r="I297" i="1"/>
  <c r="J297" i="1"/>
  <c r="I298" i="1"/>
  <c r="J298" i="1"/>
  <c r="I299" i="1"/>
  <c r="J299" i="1"/>
  <c r="I300" i="1"/>
  <c r="J300" i="1"/>
  <c r="I301" i="1"/>
  <c r="J301" i="1"/>
  <c r="I302" i="1"/>
  <c r="J302" i="1"/>
  <c r="I303" i="1"/>
  <c r="J303" i="1"/>
  <c r="I304" i="1"/>
  <c r="J304" i="1"/>
  <c r="I305" i="1"/>
  <c r="J305" i="1"/>
  <c r="I306" i="1"/>
  <c r="J306" i="1"/>
  <c r="I307" i="1"/>
  <c r="J307" i="1"/>
  <c r="I308" i="1"/>
  <c r="J308" i="1"/>
  <c r="I309" i="1"/>
  <c r="J309" i="1"/>
  <c r="I310" i="1"/>
  <c r="J310" i="1"/>
  <c r="I311" i="1"/>
  <c r="J311" i="1"/>
  <c r="I312" i="1"/>
  <c r="J312" i="1"/>
  <c r="I313" i="1"/>
  <c r="J313" i="1"/>
  <c r="I314" i="1"/>
  <c r="J314" i="1"/>
  <c r="I315" i="1"/>
  <c r="J315" i="1"/>
  <c r="I316" i="1"/>
  <c r="J316" i="1"/>
  <c r="I317" i="1"/>
  <c r="J317" i="1"/>
  <c r="I318" i="1"/>
  <c r="J318" i="1"/>
  <c r="I319" i="1"/>
  <c r="J319" i="1"/>
  <c r="I320" i="1"/>
  <c r="J320" i="1"/>
  <c r="I321" i="1"/>
  <c r="J321" i="1"/>
  <c r="I322" i="1"/>
  <c r="J322" i="1"/>
  <c r="I323" i="1"/>
  <c r="J323" i="1"/>
  <c r="I324" i="1"/>
  <c r="J324" i="1"/>
  <c r="I325" i="1"/>
  <c r="J325" i="1"/>
  <c r="I326" i="1"/>
  <c r="J326" i="1"/>
  <c r="I327" i="1"/>
  <c r="J327" i="1"/>
  <c r="I328" i="1"/>
  <c r="J328" i="1"/>
  <c r="I329" i="1"/>
  <c r="J329" i="1"/>
  <c r="I330" i="1"/>
  <c r="J330" i="1"/>
  <c r="I331" i="1"/>
  <c r="J331" i="1"/>
  <c r="I332" i="1"/>
  <c r="J332" i="1"/>
  <c r="I333" i="1"/>
  <c r="J333" i="1"/>
  <c r="I334" i="1"/>
  <c r="J334" i="1"/>
  <c r="I335" i="1"/>
  <c r="J335" i="1"/>
  <c r="I336" i="1"/>
  <c r="J336" i="1"/>
  <c r="I337" i="1"/>
  <c r="J337" i="1"/>
  <c r="I338" i="1"/>
  <c r="J338" i="1"/>
  <c r="I339" i="1"/>
  <c r="J339" i="1"/>
  <c r="I340" i="1"/>
  <c r="J340" i="1"/>
  <c r="I341" i="1"/>
  <c r="J341" i="1"/>
  <c r="I342" i="1"/>
  <c r="J342" i="1"/>
  <c r="I343" i="1"/>
  <c r="J343" i="1"/>
  <c r="I344" i="1"/>
  <c r="J344" i="1"/>
  <c r="I345" i="1"/>
  <c r="J345" i="1"/>
  <c r="I346" i="1"/>
  <c r="J346" i="1"/>
  <c r="I347" i="1"/>
  <c r="J347" i="1"/>
  <c r="I348" i="1"/>
  <c r="J348" i="1"/>
  <c r="I349" i="1"/>
  <c r="J349" i="1"/>
  <c r="I350" i="1"/>
  <c r="J350" i="1"/>
  <c r="I351" i="1"/>
  <c r="J351" i="1"/>
  <c r="I352" i="1"/>
  <c r="J352" i="1"/>
  <c r="I353" i="1"/>
  <c r="J353" i="1"/>
  <c r="I354" i="1"/>
  <c r="J354" i="1"/>
  <c r="I355" i="1"/>
  <c r="J355" i="1"/>
  <c r="I356" i="1"/>
  <c r="J356" i="1"/>
  <c r="I357" i="1"/>
  <c r="J357" i="1"/>
  <c r="I358" i="1"/>
  <c r="J358" i="1"/>
  <c r="I359" i="1"/>
  <c r="J359" i="1"/>
  <c r="I360" i="1"/>
  <c r="J360" i="1"/>
  <c r="I361" i="1"/>
  <c r="J361" i="1"/>
  <c r="I362" i="1"/>
  <c r="J362" i="1"/>
  <c r="I363" i="1"/>
  <c r="J363" i="1"/>
  <c r="I364" i="1"/>
  <c r="J364" i="1"/>
  <c r="I365" i="1"/>
  <c r="J365" i="1"/>
  <c r="I366" i="1"/>
  <c r="J366" i="1"/>
  <c r="I367" i="1"/>
  <c r="J367" i="1"/>
  <c r="I368" i="1"/>
  <c r="J368" i="1"/>
  <c r="I369" i="1"/>
  <c r="J369" i="1"/>
  <c r="I370" i="1"/>
  <c r="J370" i="1"/>
  <c r="I371" i="1"/>
  <c r="J371" i="1"/>
  <c r="I372" i="1"/>
  <c r="J372" i="1"/>
  <c r="I373" i="1"/>
  <c r="J373" i="1"/>
  <c r="I374" i="1"/>
  <c r="J374" i="1"/>
  <c r="I375" i="1"/>
  <c r="J375" i="1"/>
  <c r="I376" i="1"/>
  <c r="J376" i="1"/>
  <c r="I377" i="1"/>
  <c r="J377" i="1"/>
  <c r="I378" i="1"/>
  <c r="J378" i="1"/>
  <c r="I379" i="1"/>
  <c r="J379" i="1"/>
  <c r="I380" i="1"/>
  <c r="J380" i="1"/>
  <c r="I381" i="1"/>
  <c r="J381" i="1"/>
  <c r="I382" i="1"/>
  <c r="J382" i="1"/>
  <c r="I383" i="1"/>
  <c r="J383" i="1"/>
  <c r="I384" i="1"/>
  <c r="J384" i="1"/>
  <c r="I385" i="1"/>
  <c r="J385" i="1"/>
  <c r="I386" i="1"/>
  <c r="J386" i="1"/>
  <c r="I387" i="1"/>
  <c r="J387" i="1"/>
  <c r="I388" i="1"/>
  <c r="J388" i="1"/>
  <c r="I389" i="1"/>
  <c r="J389" i="1"/>
  <c r="I390" i="1"/>
  <c r="J390" i="1"/>
  <c r="I391" i="1"/>
  <c r="J391" i="1"/>
  <c r="I392" i="1"/>
  <c r="J392" i="1"/>
  <c r="I393" i="1"/>
  <c r="J393" i="1"/>
  <c r="I394" i="1"/>
  <c r="J394" i="1"/>
  <c r="I395" i="1"/>
  <c r="J395" i="1"/>
  <c r="I396" i="1"/>
  <c r="J396" i="1"/>
  <c r="I397" i="1"/>
  <c r="J397" i="1"/>
  <c r="I398" i="1"/>
  <c r="J398" i="1"/>
  <c r="I399" i="1"/>
  <c r="J399" i="1"/>
  <c r="I400" i="1"/>
  <c r="J400" i="1"/>
  <c r="I401" i="1"/>
  <c r="J401" i="1"/>
  <c r="I402" i="1"/>
  <c r="J402" i="1"/>
  <c r="I403" i="1"/>
  <c r="J403" i="1"/>
  <c r="I404" i="1"/>
  <c r="J404" i="1"/>
  <c r="I405" i="1"/>
  <c r="J405" i="1"/>
  <c r="I406" i="1"/>
  <c r="J406" i="1"/>
  <c r="I407" i="1"/>
  <c r="J407" i="1"/>
  <c r="I408" i="1"/>
  <c r="J408" i="1"/>
  <c r="I409" i="1"/>
  <c r="J409" i="1"/>
  <c r="I410" i="1"/>
  <c r="J410" i="1"/>
  <c r="I411" i="1"/>
  <c r="J411" i="1"/>
  <c r="I412" i="1"/>
  <c r="J412" i="1"/>
  <c r="I413" i="1"/>
  <c r="J413" i="1"/>
  <c r="I414" i="1"/>
  <c r="J414" i="1"/>
  <c r="I415" i="1"/>
  <c r="J415" i="1"/>
  <c r="I416" i="1"/>
  <c r="J416" i="1"/>
  <c r="I417" i="1"/>
  <c r="J417" i="1"/>
  <c r="I418" i="1"/>
  <c r="J418" i="1"/>
  <c r="I419" i="1"/>
  <c r="J419" i="1"/>
  <c r="I420" i="1"/>
  <c r="J420" i="1"/>
  <c r="I421" i="1"/>
  <c r="J421" i="1"/>
  <c r="I422" i="1"/>
  <c r="J422" i="1"/>
  <c r="I423" i="1"/>
  <c r="J423" i="1"/>
  <c r="I424" i="1"/>
  <c r="J424" i="1"/>
  <c r="I425" i="1"/>
  <c r="J425" i="1"/>
  <c r="I426" i="1"/>
  <c r="J426" i="1"/>
  <c r="I427" i="1"/>
  <c r="J427" i="1"/>
  <c r="I428" i="1"/>
  <c r="J428" i="1"/>
  <c r="I429" i="1"/>
  <c r="J429" i="1"/>
  <c r="I430" i="1"/>
  <c r="J430" i="1"/>
  <c r="I431" i="1"/>
  <c r="J431" i="1"/>
  <c r="I432" i="1"/>
  <c r="J432" i="1"/>
  <c r="I433" i="1"/>
  <c r="J433" i="1"/>
  <c r="I434" i="1"/>
  <c r="J434" i="1"/>
  <c r="I435" i="1"/>
  <c r="J435" i="1"/>
  <c r="I436" i="1"/>
  <c r="J436" i="1"/>
  <c r="I437" i="1"/>
  <c r="J437" i="1"/>
  <c r="I438" i="1"/>
  <c r="J438" i="1"/>
  <c r="I439" i="1"/>
  <c r="J439" i="1"/>
  <c r="I440" i="1"/>
  <c r="J440" i="1"/>
  <c r="I441" i="1"/>
  <c r="J441" i="1"/>
  <c r="I442" i="1"/>
  <c r="J442" i="1"/>
  <c r="I443" i="1"/>
  <c r="J443" i="1"/>
  <c r="I444" i="1"/>
  <c r="J444" i="1"/>
  <c r="I445" i="1"/>
  <c r="J445" i="1"/>
  <c r="I446" i="1"/>
  <c r="J446" i="1"/>
  <c r="I447" i="1"/>
  <c r="J447" i="1"/>
  <c r="I448" i="1"/>
  <c r="J448" i="1"/>
  <c r="I449" i="1"/>
  <c r="J449" i="1"/>
  <c r="I450" i="1"/>
  <c r="J450" i="1"/>
  <c r="I451" i="1"/>
  <c r="J451" i="1"/>
  <c r="I452" i="1"/>
  <c r="J452" i="1"/>
  <c r="I453" i="1"/>
  <c r="J453" i="1"/>
  <c r="I454" i="1"/>
  <c r="J454" i="1"/>
  <c r="I455" i="1"/>
  <c r="J455" i="1"/>
  <c r="I456" i="1"/>
  <c r="J456" i="1"/>
  <c r="I457" i="1"/>
  <c r="J457" i="1"/>
  <c r="I458" i="1"/>
  <c r="J458" i="1"/>
  <c r="I459" i="1"/>
  <c r="J459" i="1"/>
  <c r="I460" i="1"/>
  <c r="J460" i="1"/>
  <c r="I461" i="1"/>
  <c r="J461" i="1"/>
  <c r="I462" i="1"/>
  <c r="J462" i="1"/>
  <c r="I463" i="1"/>
  <c r="J463" i="1"/>
  <c r="I464" i="1"/>
  <c r="J464" i="1"/>
  <c r="I465" i="1"/>
  <c r="J465" i="1"/>
  <c r="I466" i="1"/>
  <c r="J466" i="1"/>
  <c r="I467" i="1"/>
  <c r="J467" i="1"/>
  <c r="I468" i="1"/>
  <c r="J468" i="1"/>
  <c r="I469" i="1"/>
  <c r="J469" i="1"/>
  <c r="I470" i="1"/>
  <c r="J470" i="1"/>
  <c r="I471" i="1"/>
  <c r="J471" i="1"/>
  <c r="I472" i="1"/>
  <c r="J472" i="1"/>
  <c r="I473" i="1"/>
  <c r="J473" i="1"/>
  <c r="I474" i="1"/>
  <c r="J474" i="1"/>
  <c r="I475" i="1"/>
  <c r="J475" i="1"/>
  <c r="I476" i="1"/>
  <c r="J476" i="1"/>
  <c r="I477" i="1"/>
  <c r="J477" i="1"/>
  <c r="I478" i="1"/>
  <c r="J478" i="1"/>
  <c r="I479" i="1"/>
  <c r="J479" i="1"/>
  <c r="I480" i="1"/>
  <c r="J480" i="1"/>
  <c r="I481" i="1"/>
  <c r="J481" i="1"/>
  <c r="I482" i="1"/>
  <c r="J482" i="1"/>
  <c r="I483" i="1"/>
  <c r="J483" i="1"/>
  <c r="I484" i="1"/>
  <c r="J484" i="1"/>
  <c r="I485" i="1"/>
  <c r="J485" i="1"/>
  <c r="I486" i="1"/>
  <c r="J486" i="1"/>
  <c r="I487" i="1"/>
  <c r="J487" i="1"/>
  <c r="I488" i="1"/>
  <c r="J488" i="1"/>
  <c r="I489" i="1"/>
  <c r="J489" i="1"/>
  <c r="I490" i="1"/>
  <c r="J490" i="1"/>
  <c r="I491" i="1"/>
  <c r="J491" i="1"/>
  <c r="I492" i="1"/>
  <c r="J492" i="1"/>
  <c r="I493" i="1"/>
  <c r="J493" i="1"/>
  <c r="I494" i="1"/>
  <c r="J494" i="1"/>
  <c r="I495" i="1"/>
  <c r="J495" i="1"/>
  <c r="I496" i="1"/>
  <c r="J496" i="1"/>
  <c r="I497" i="1"/>
  <c r="J497" i="1"/>
  <c r="I498" i="1"/>
  <c r="J498" i="1"/>
  <c r="I499" i="1"/>
  <c r="J499" i="1"/>
  <c r="I500" i="1"/>
  <c r="J500" i="1"/>
  <c r="I501" i="1"/>
  <c r="J501" i="1"/>
  <c r="I502" i="1"/>
  <c r="J502" i="1"/>
  <c r="I503" i="1"/>
  <c r="J503" i="1"/>
  <c r="I504" i="1"/>
  <c r="J504" i="1"/>
  <c r="I505" i="1"/>
  <c r="J505" i="1"/>
  <c r="I506" i="1"/>
  <c r="J506" i="1"/>
  <c r="I507" i="1"/>
  <c r="J507" i="1"/>
  <c r="I508" i="1"/>
  <c r="J508" i="1"/>
  <c r="I509" i="1"/>
  <c r="J509" i="1"/>
  <c r="I510" i="1"/>
  <c r="J510" i="1"/>
  <c r="I511" i="1"/>
  <c r="J511" i="1"/>
  <c r="I512" i="1"/>
  <c r="J512" i="1"/>
  <c r="I513" i="1"/>
  <c r="J513" i="1"/>
  <c r="I514" i="1"/>
  <c r="J514" i="1"/>
  <c r="I515" i="1"/>
  <c r="J515" i="1"/>
  <c r="I516" i="1"/>
  <c r="J516" i="1"/>
  <c r="I517" i="1"/>
  <c r="J517" i="1"/>
  <c r="I518" i="1"/>
  <c r="J518" i="1"/>
  <c r="I519" i="1"/>
  <c r="J519" i="1"/>
  <c r="I520" i="1"/>
  <c r="J520" i="1"/>
  <c r="I521" i="1"/>
  <c r="J521" i="1"/>
  <c r="I522" i="1"/>
  <c r="J522" i="1"/>
  <c r="I523" i="1"/>
  <c r="J523" i="1"/>
  <c r="I524" i="1"/>
  <c r="J524" i="1"/>
  <c r="I525" i="1"/>
  <c r="J525" i="1"/>
  <c r="I526" i="1"/>
  <c r="J526" i="1"/>
  <c r="I527" i="1"/>
  <c r="J527" i="1"/>
  <c r="I528" i="1"/>
  <c r="J528" i="1"/>
  <c r="I529" i="1"/>
  <c r="J529" i="1"/>
  <c r="I530" i="1"/>
  <c r="J530" i="1"/>
  <c r="I531" i="1"/>
  <c r="J531" i="1"/>
  <c r="I532" i="1"/>
  <c r="J532" i="1"/>
  <c r="I533" i="1"/>
  <c r="J533" i="1"/>
  <c r="I534" i="1"/>
  <c r="J534" i="1"/>
  <c r="I535" i="1"/>
  <c r="J535" i="1"/>
  <c r="I536" i="1"/>
  <c r="J536" i="1"/>
  <c r="I537" i="1"/>
  <c r="J537" i="1"/>
  <c r="I538" i="1"/>
  <c r="J538" i="1"/>
  <c r="I539" i="1"/>
  <c r="J539" i="1"/>
  <c r="I540" i="1"/>
  <c r="J540" i="1"/>
  <c r="I541" i="1"/>
  <c r="J541" i="1"/>
  <c r="I542" i="1"/>
  <c r="J542" i="1"/>
  <c r="I543" i="1"/>
  <c r="J543" i="1"/>
  <c r="I544" i="1"/>
  <c r="J544" i="1"/>
  <c r="I545" i="1"/>
  <c r="J545" i="1"/>
  <c r="I546" i="1"/>
  <c r="J546" i="1"/>
  <c r="I547" i="1"/>
  <c r="I548" i="1"/>
  <c r="J548" i="1"/>
  <c r="I549" i="1"/>
  <c r="J549" i="1"/>
  <c r="I550" i="1"/>
  <c r="J550" i="1"/>
  <c r="I551" i="1"/>
  <c r="J551" i="1"/>
  <c r="I552" i="1"/>
  <c r="J552" i="1"/>
  <c r="I553" i="1"/>
  <c r="J553" i="1"/>
  <c r="I554" i="1"/>
  <c r="J554" i="1"/>
  <c r="I555" i="1"/>
  <c r="J555" i="1"/>
  <c r="I556" i="1"/>
  <c r="J556" i="1"/>
  <c r="I557" i="1"/>
  <c r="J557" i="1"/>
  <c r="I558" i="1"/>
  <c r="J558" i="1"/>
  <c r="I559" i="1"/>
  <c r="J559" i="1"/>
  <c r="I560" i="1"/>
  <c r="J560" i="1"/>
  <c r="I561" i="1"/>
  <c r="J561" i="1"/>
  <c r="I562" i="1"/>
  <c r="J562" i="1"/>
  <c r="I563" i="1"/>
  <c r="J563" i="1"/>
  <c r="I564" i="1"/>
  <c r="J564" i="1"/>
  <c r="I565" i="1"/>
  <c r="J565" i="1"/>
  <c r="I566" i="1"/>
  <c r="J566" i="1"/>
  <c r="I567" i="1"/>
  <c r="J567" i="1"/>
  <c r="I568" i="1"/>
  <c r="J568" i="1"/>
  <c r="I569" i="1"/>
  <c r="J569" i="1"/>
  <c r="I570" i="1"/>
  <c r="J570" i="1"/>
  <c r="I571" i="1"/>
  <c r="J571" i="1"/>
  <c r="I572" i="1"/>
  <c r="J572" i="1"/>
  <c r="I573" i="1"/>
  <c r="J573" i="1"/>
  <c r="I574" i="1"/>
  <c r="J574" i="1"/>
  <c r="I575" i="1"/>
  <c r="J575" i="1"/>
  <c r="I576" i="1"/>
  <c r="J576" i="1"/>
  <c r="I577" i="1"/>
  <c r="J577" i="1"/>
  <c r="I578" i="1"/>
  <c r="J578" i="1"/>
  <c r="I579" i="1"/>
  <c r="J579" i="1"/>
  <c r="I580" i="1"/>
  <c r="J580" i="1"/>
  <c r="I581" i="1"/>
  <c r="J581" i="1"/>
  <c r="I582" i="1"/>
  <c r="J582" i="1"/>
  <c r="I583" i="1"/>
  <c r="J583" i="1"/>
  <c r="I584" i="1"/>
  <c r="J584" i="1"/>
  <c r="I585" i="1"/>
  <c r="J585" i="1"/>
  <c r="I586" i="1"/>
  <c r="J586" i="1"/>
  <c r="I587" i="1"/>
  <c r="J587" i="1"/>
  <c r="I588" i="1"/>
  <c r="J588" i="1"/>
  <c r="I589" i="1"/>
  <c r="J589" i="1"/>
  <c r="I590" i="1"/>
  <c r="J590" i="1"/>
  <c r="I591" i="1"/>
  <c r="J591" i="1"/>
  <c r="I592" i="1"/>
  <c r="J592" i="1"/>
  <c r="I593" i="1"/>
  <c r="J593" i="1"/>
  <c r="I594" i="1"/>
  <c r="J594" i="1"/>
  <c r="I595" i="1"/>
  <c r="J595" i="1"/>
  <c r="I596" i="1"/>
  <c r="J596" i="1"/>
  <c r="I597" i="1"/>
  <c r="J597" i="1"/>
  <c r="I598" i="1"/>
  <c r="J598" i="1"/>
  <c r="I599" i="1"/>
  <c r="J599" i="1"/>
  <c r="I600" i="1"/>
  <c r="J600" i="1"/>
  <c r="I601" i="1"/>
  <c r="J601" i="1"/>
  <c r="I602" i="1"/>
  <c r="J602" i="1"/>
  <c r="I603" i="1"/>
  <c r="J603" i="1"/>
  <c r="I604" i="1"/>
  <c r="J604" i="1"/>
  <c r="I605" i="1"/>
  <c r="J605" i="1"/>
  <c r="I606" i="1"/>
  <c r="J606" i="1"/>
  <c r="I607" i="1"/>
  <c r="J607" i="1"/>
  <c r="I608" i="1"/>
  <c r="J608" i="1"/>
  <c r="I609" i="1"/>
  <c r="J609" i="1"/>
  <c r="I610" i="1"/>
  <c r="J610" i="1"/>
  <c r="I611" i="1"/>
  <c r="J611" i="1"/>
  <c r="I612" i="1"/>
  <c r="J612" i="1"/>
  <c r="I613" i="1"/>
  <c r="J613" i="1"/>
  <c r="I614" i="1"/>
  <c r="J614" i="1"/>
  <c r="I615" i="1"/>
  <c r="J615" i="1"/>
  <c r="I616" i="1"/>
  <c r="J616" i="1"/>
  <c r="I617" i="1"/>
  <c r="J617" i="1"/>
  <c r="I618" i="1"/>
  <c r="J618" i="1"/>
  <c r="I619" i="1"/>
  <c r="J619" i="1"/>
  <c r="I620" i="1"/>
  <c r="J620" i="1"/>
  <c r="I621" i="1"/>
  <c r="J621" i="1"/>
  <c r="I622" i="1"/>
  <c r="J622" i="1"/>
  <c r="I623" i="1"/>
  <c r="J623" i="1"/>
  <c r="I624" i="1"/>
  <c r="J624" i="1"/>
  <c r="I625" i="1"/>
  <c r="J625" i="1"/>
  <c r="I626" i="1"/>
  <c r="J626" i="1"/>
  <c r="I627" i="1"/>
  <c r="J627" i="1"/>
  <c r="I628" i="1"/>
  <c r="J628" i="1"/>
  <c r="I629" i="1"/>
  <c r="J629" i="1"/>
  <c r="I630" i="1"/>
  <c r="J630" i="1"/>
  <c r="I631" i="1"/>
  <c r="J631" i="1"/>
  <c r="I632" i="1"/>
  <c r="J632" i="1"/>
  <c r="I633" i="1"/>
  <c r="J633" i="1"/>
  <c r="I634" i="1"/>
  <c r="J634" i="1"/>
  <c r="I635" i="1"/>
  <c r="J635" i="1"/>
  <c r="I636" i="1"/>
  <c r="J636" i="1"/>
  <c r="I637" i="1"/>
  <c r="J637" i="1"/>
  <c r="I638" i="1"/>
  <c r="J638" i="1"/>
  <c r="I639" i="1"/>
  <c r="J639" i="1"/>
  <c r="I640" i="1"/>
  <c r="J640" i="1"/>
  <c r="I641" i="1"/>
  <c r="J641" i="1"/>
  <c r="I642" i="1"/>
  <c r="J642" i="1"/>
  <c r="I643" i="1"/>
  <c r="J643" i="1"/>
  <c r="I644" i="1"/>
  <c r="J644" i="1"/>
  <c r="I645" i="1"/>
  <c r="J645" i="1"/>
  <c r="I646" i="1"/>
  <c r="J646" i="1"/>
  <c r="I647" i="1"/>
  <c r="J647" i="1"/>
  <c r="I648" i="1"/>
  <c r="J648" i="1"/>
  <c r="I649" i="1"/>
  <c r="J649" i="1"/>
  <c r="I650" i="1"/>
  <c r="J650" i="1"/>
  <c r="I651" i="1"/>
  <c r="J651" i="1"/>
  <c r="I652" i="1"/>
  <c r="J652" i="1"/>
  <c r="I653" i="1"/>
  <c r="J653" i="1"/>
  <c r="I654" i="1"/>
  <c r="J654" i="1"/>
  <c r="I655" i="1"/>
  <c r="J655" i="1"/>
  <c r="I656" i="1"/>
  <c r="J656" i="1"/>
  <c r="I657" i="1"/>
  <c r="J657" i="1"/>
  <c r="I658" i="1"/>
  <c r="J658" i="1"/>
  <c r="I659" i="1"/>
  <c r="J659" i="1"/>
  <c r="I660" i="1"/>
  <c r="J660" i="1"/>
  <c r="I661" i="1"/>
  <c r="J661" i="1"/>
  <c r="I662" i="1"/>
  <c r="J662" i="1"/>
  <c r="I663" i="1"/>
  <c r="J663" i="1"/>
  <c r="I664" i="1"/>
  <c r="J664" i="1"/>
  <c r="I665" i="1"/>
  <c r="J665" i="1"/>
  <c r="I666" i="1"/>
  <c r="J666" i="1"/>
  <c r="I667" i="1"/>
  <c r="J667" i="1"/>
  <c r="I668" i="1"/>
  <c r="J668" i="1"/>
  <c r="I669" i="1"/>
  <c r="J669" i="1"/>
  <c r="I670" i="1"/>
  <c r="J670" i="1"/>
  <c r="I671" i="1"/>
  <c r="J671" i="1"/>
  <c r="I672" i="1"/>
  <c r="J672" i="1"/>
  <c r="I673" i="1"/>
  <c r="J673" i="1"/>
  <c r="I674" i="1"/>
  <c r="J674" i="1"/>
  <c r="I675" i="1"/>
  <c r="J675" i="1"/>
  <c r="I676" i="1"/>
  <c r="J676" i="1"/>
  <c r="I677" i="1"/>
  <c r="J677" i="1"/>
  <c r="I678" i="1"/>
  <c r="J678" i="1"/>
  <c r="I679" i="1"/>
  <c r="J679" i="1"/>
  <c r="I680" i="1"/>
  <c r="J680" i="1"/>
  <c r="I681" i="1"/>
  <c r="J681" i="1"/>
  <c r="I682" i="1"/>
  <c r="J682" i="1"/>
  <c r="I683" i="1"/>
  <c r="J683" i="1"/>
  <c r="I684" i="1"/>
  <c r="J684" i="1"/>
  <c r="I685" i="1"/>
  <c r="J685" i="1"/>
  <c r="I686" i="1"/>
  <c r="J686" i="1"/>
  <c r="I687" i="1"/>
  <c r="J687" i="1"/>
  <c r="I688" i="1"/>
  <c r="J688" i="1"/>
  <c r="I689" i="1"/>
  <c r="J689" i="1"/>
  <c r="I690" i="1"/>
  <c r="J690" i="1"/>
  <c r="I691" i="1"/>
  <c r="J691" i="1"/>
  <c r="I692" i="1"/>
  <c r="J692" i="1"/>
  <c r="I693" i="1"/>
  <c r="J693" i="1"/>
  <c r="I694" i="1"/>
  <c r="J694" i="1"/>
  <c r="I695" i="1"/>
  <c r="J695" i="1"/>
  <c r="I696" i="1"/>
  <c r="J696" i="1"/>
  <c r="I697" i="1"/>
  <c r="J697" i="1"/>
  <c r="I698" i="1"/>
  <c r="J698" i="1"/>
  <c r="I699" i="1"/>
  <c r="J699" i="1"/>
  <c r="I700" i="1"/>
  <c r="J700" i="1"/>
  <c r="I701" i="1"/>
  <c r="J701" i="1"/>
  <c r="I702" i="1"/>
  <c r="J702" i="1"/>
  <c r="I703" i="1"/>
  <c r="J703" i="1"/>
  <c r="I704" i="1"/>
  <c r="J704" i="1"/>
  <c r="I705" i="1"/>
  <c r="J705" i="1"/>
  <c r="I706" i="1"/>
  <c r="J706" i="1"/>
  <c r="I707" i="1"/>
  <c r="J707" i="1"/>
  <c r="I708" i="1"/>
  <c r="J708" i="1"/>
  <c r="I709" i="1"/>
  <c r="J709" i="1"/>
  <c r="I710" i="1"/>
  <c r="J710" i="1"/>
  <c r="I711" i="1"/>
  <c r="J711" i="1"/>
  <c r="I712" i="1"/>
  <c r="J712" i="1"/>
  <c r="I713" i="1"/>
  <c r="J713" i="1"/>
  <c r="I714" i="1"/>
  <c r="J714" i="1"/>
  <c r="I715" i="1"/>
  <c r="J715" i="1"/>
  <c r="I716" i="1"/>
  <c r="J716" i="1"/>
  <c r="I717" i="1"/>
  <c r="J717" i="1"/>
  <c r="I718" i="1"/>
  <c r="J718" i="1"/>
  <c r="I719" i="1"/>
  <c r="J719" i="1"/>
  <c r="I720" i="1"/>
  <c r="J720" i="1"/>
  <c r="I721" i="1"/>
  <c r="J721" i="1"/>
  <c r="I722" i="1"/>
  <c r="J722" i="1"/>
  <c r="I723" i="1"/>
  <c r="J723" i="1"/>
  <c r="I724" i="1"/>
  <c r="J724" i="1"/>
  <c r="I725" i="1"/>
  <c r="J725" i="1"/>
  <c r="I726" i="1"/>
  <c r="J726" i="1"/>
  <c r="I727" i="1"/>
  <c r="J727" i="1"/>
  <c r="I728" i="1"/>
  <c r="J728" i="1"/>
  <c r="I729" i="1"/>
  <c r="J729" i="1"/>
  <c r="I730" i="1"/>
  <c r="J730" i="1"/>
  <c r="I731" i="1"/>
  <c r="J731" i="1"/>
  <c r="I732" i="1"/>
  <c r="J732" i="1"/>
  <c r="I733" i="1"/>
  <c r="J733" i="1"/>
  <c r="I734" i="1"/>
  <c r="J734" i="1"/>
  <c r="I735" i="1"/>
  <c r="J735" i="1"/>
  <c r="I736" i="1"/>
  <c r="J736" i="1"/>
  <c r="I737" i="1"/>
  <c r="J737" i="1"/>
  <c r="I738" i="1"/>
  <c r="J738" i="1"/>
  <c r="I739" i="1"/>
  <c r="J739" i="1"/>
  <c r="I740" i="1"/>
  <c r="J740" i="1"/>
  <c r="I741" i="1"/>
  <c r="J741" i="1"/>
  <c r="I742" i="1"/>
  <c r="J742" i="1"/>
  <c r="I743" i="1"/>
  <c r="J743" i="1"/>
  <c r="I744" i="1"/>
  <c r="J744" i="1"/>
  <c r="I745" i="1"/>
  <c r="J745" i="1"/>
  <c r="I746" i="1"/>
  <c r="J746" i="1"/>
  <c r="I747" i="1"/>
  <c r="J747" i="1"/>
  <c r="I748" i="1"/>
  <c r="J748" i="1"/>
  <c r="I749" i="1"/>
  <c r="J749" i="1"/>
  <c r="I750" i="1"/>
  <c r="J750" i="1"/>
  <c r="I751" i="1"/>
  <c r="J751" i="1"/>
  <c r="I752" i="1"/>
  <c r="J752" i="1"/>
  <c r="I753" i="1"/>
  <c r="J753" i="1"/>
  <c r="I754" i="1"/>
  <c r="J754" i="1"/>
  <c r="I755" i="1"/>
  <c r="J755" i="1"/>
  <c r="I756" i="1"/>
  <c r="J756" i="1"/>
  <c r="I757" i="1"/>
  <c r="J757" i="1"/>
  <c r="I758" i="1"/>
  <c r="J758" i="1"/>
  <c r="I759" i="1"/>
  <c r="J759" i="1"/>
  <c r="I760" i="1"/>
  <c r="J760" i="1"/>
  <c r="I761" i="1"/>
  <c r="J761" i="1"/>
  <c r="I762" i="1"/>
  <c r="J762" i="1"/>
  <c r="I763" i="1"/>
  <c r="J763" i="1"/>
  <c r="I764" i="1"/>
  <c r="J764" i="1"/>
  <c r="I765" i="1"/>
  <c r="J765" i="1"/>
  <c r="I766" i="1"/>
  <c r="J766" i="1"/>
  <c r="I767" i="1"/>
  <c r="J767" i="1"/>
  <c r="I768" i="1"/>
  <c r="J768" i="1"/>
  <c r="I769" i="1"/>
  <c r="J769" i="1"/>
  <c r="I770" i="1"/>
  <c r="J770" i="1"/>
  <c r="I771" i="1"/>
  <c r="J771" i="1"/>
  <c r="I772" i="1"/>
  <c r="J772" i="1"/>
  <c r="I773" i="1"/>
  <c r="J773" i="1"/>
  <c r="I774" i="1"/>
  <c r="J774" i="1"/>
  <c r="I775" i="1"/>
  <c r="J775" i="1"/>
  <c r="I776" i="1"/>
  <c r="J776" i="1"/>
  <c r="I777" i="1"/>
  <c r="J777" i="1"/>
  <c r="I778" i="1"/>
  <c r="J778" i="1"/>
  <c r="I779" i="1"/>
  <c r="J779" i="1"/>
  <c r="I780" i="1"/>
  <c r="J780" i="1"/>
  <c r="I781" i="1"/>
  <c r="J781" i="1"/>
  <c r="I782" i="1"/>
  <c r="J782" i="1"/>
  <c r="I783" i="1"/>
  <c r="J783" i="1"/>
  <c r="I784" i="1"/>
  <c r="J784" i="1"/>
  <c r="I785" i="1"/>
  <c r="J785" i="1"/>
  <c r="I786" i="1"/>
  <c r="J786" i="1"/>
  <c r="I787" i="1"/>
  <c r="J787" i="1"/>
  <c r="I788" i="1"/>
  <c r="J788" i="1"/>
  <c r="I789" i="1"/>
  <c r="J789" i="1"/>
  <c r="I790" i="1"/>
  <c r="J790" i="1"/>
  <c r="I791" i="1"/>
  <c r="J791" i="1"/>
  <c r="I792" i="1"/>
  <c r="J792" i="1"/>
  <c r="I793" i="1"/>
  <c r="J793" i="1"/>
  <c r="I794" i="1"/>
  <c r="J794" i="1"/>
  <c r="I795" i="1"/>
  <c r="J795" i="1"/>
  <c r="I796" i="1"/>
  <c r="J796" i="1"/>
  <c r="I797" i="1"/>
  <c r="J797" i="1"/>
  <c r="I798" i="1"/>
  <c r="J798" i="1"/>
  <c r="I799" i="1"/>
  <c r="J799" i="1"/>
  <c r="I800" i="1"/>
  <c r="J800" i="1"/>
  <c r="I801" i="1"/>
  <c r="J801" i="1"/>
  <c r="I802" i="1"/>
  <c r="J802" i="1"/>
  <c r="I803" i="1"/>
  <c r="J803" i="1"/>
  <c r="I804" i="1"/>
  <c r="J804" i="1"/>
  <c r="I805" i="1"/>
  <c r="J805" i="1"/>
  <c r="I806" i="1"/>
  <c r="J806" i="1"/>
  <c r="I807" i="1"/>
  <c r="J807" i="1"/>
  <c r="I808" i="1"/>
  <c r="J808" i="1"/>
  <c r="I809" i="1"/>
  <c r="J809" i="1"/>
  <c r="I810" i="1"/>
  <c r="J810" i="1"/>
  <c r="I811" i="1"/>
  <c r="J811" i="1"/>
  <c r="I812" i="1"/>
  <c r="J812" i="1"/>
  <c r="I813" i="1"/>
  <c r="J813" i="1"/>
  <c r="I814" i="1"/>
  <c r="J814" i="1"/>
  <c r="I815" i="1"/>
  <c r="J815" i="1"/>
  <c r="I816" i="1"/>
  <c r="J816" i="1"/>
  <c r="I817" i="1"/>
  <c r="J817" i="1"/>
  <c r="I818" i="1"/>
  <c r="J818" i="1"/>
  <c r="I819" i="1"/>
  <c r="J819" i="1"/>
  <c r="I820" i="1"/>
  <c r="J820" i="1"/>
  <c r="I821" i="1"/>
  <c r="J821" i="1"/>
  <c r="I822" i="1"/>
  <c r="J822" i="1"/>
  <c r="I823" i="1"/>
  <c r="J823" i="1"/>
  <c r="I824" i="1"/>
  <c r="J824" i="1"/>
  <c r="I825" i="1"/>
  <c r="J825" i="1"/>
  <c r="I826" i="1"/>
  <c r="J826" i="1"/>
  <c r="I827" i="1"/>
  <c r="J827" i="1"/>
  <c r="I828" i="1"/>
  <c r="J828" i="1"/>
  <c r="I829" i="1"/>
  <c r="J829" i="1"/>
  <c r="I830" i="1"/>
  <c r="J830" i="1"/>
  <c r="I831" i="1"/>
  <c r="J831" i="1"/>
  <c r="I832" i="1"/>
  <c r="J832" i="1"/>
  <c r="I833" i="1"/>
  <c r="J833" i="1"/>
  <c r="I834" i="1"/>
  <c r="J834" i="1"/>
  <c r="I835" i="1"/>
  <c r="J835" i="1"/>
  <c r="I836" i="1"/>
  <c r="J836" i="1"/>
  <c r="I837" i="1"/>
  <c r="J837" i="1"/>
  <c r="I838" i="1"/>
  <c r="J838" i="1"/>
  <c r="I839" i="1"/>
  <c r="J839" i="1"/>
  <c r="I840" i="1"/>
  <c r="J840" i="1"/>
  <c r="I841" i="1"/>
  <c r="J841" i="1"/>
  <c r="I842" i="1"/>
  <c r="J842" i="1"/>
  <c r="I843" i="1"/>
  <c r="J843" i="1"/>
  <c r="I844" i="1"/>
  <c r="J844" i="1"/>
  <c r="I845" i="1"/>
  <c r="J845" i="1"/>
  <c r="I846" i="1"/>
  <c r="J846" i="1"/>
  <c r="I847" i="1"/>
  <c r="J847" i="1"/>
  <c r="I848" i="1"/>
  <c r="J848" i="1"/>
  <c r="I849" i="1"/>
  <c r="J849" i="1"/>
  <c r="I850" i="1"/>
  <c r="J850" i="1"/>
  <c r="I851" i="1"/>
  <c r="J851" i="1"/>
  <c r="I852" i="1"/>
  <c r="J852" i="1"/>
  <c r="I853" i="1"/>
  <c r="J853" i="1"/>
  <c r="I854" i="1"/>
  <c r="J854" i="1"/>
  <c r="I855" i="1"/>
  <c r="J855" i="1"/>
  <c r="I856" i="1"/>
  <c r="J856" i="1"/>
  <c r="I857" i="1"/>
  <c r="J857" i="1"/>
  <c r="I858" i="1"/>
  <c r="J858" i="1"/>
  <c r="I859" i="1"/>
  <c r="J859" i="1"/>
  <c r="I860" i="1"/>
  <c r="J860" i="1"/>
  <c r="I861" i="1"/>
  <c r="J861" i="1"/>
  <c r="I862" i="1"/>
  <c r="J862" i="1"/>
  <c r="I863" i="1"/>
  <c r="J863" i="1"/>
  <c r="I864" i="1"/>
  <c r="J864" i="1"/>
  <c r="I865" i="1"/>
  <c r="J865" i="1"/>
  <c r="I866" i="1"/>
  <c r="J866" i="1"/>
  <c r="I867" i="1"/>
  <c r="J867" i="1"/>
  <c r="I868" i="1"/>
  <c r="J868" i="1"/>
  <c r="I869" i="1"/>
  <c r="J869" i="1"/>
  <c r="I870" i="1"/>
  <c r="J870" i="1"/>
  <c r="I871" i="1"/>
  <c r="J871" i="1"/>
  <c r="I872" i="1"/>
  <c r="J872" i="1"/>
  <c r="I873" i="1"/>
  <c r="J873" i="1"/>
  <c r="I874" i="1"/>
  <c r="J874" i="1"/>
  <c r="I875" i="1"/>
  <c r="J875" i="1"/>
  <c r="I876" i="1"/>
  <c r="J876" i="1"/>
  <c r="I877" i="1"/>
  <c r="J877" i="1"/>
  <c r="I878" i="1"/>
  <c r="J878" i="1"/>
  <c r="I879" i="1"/>
  <c r="J879" i="1"/>
  <c r="I880" i="1"/>
  <c r="J880" i="1"/>
  <c r="I881" i="1"/>
  <c r="J881" i="1"/>
  <c r="I882" i="1"/>
  <c r="J882" i="1"/>
  <c r="I883" i="1"/>
  <c r="J883" i="1"/>
  <c r="I884" i="1"/>
  <c r="J884" i="1"/>
  <c r="I885" i="1"/>
  <c r="J885" i="1"/>
  <c r="I886" i="1"/>
  <c r="J886" i="1"/>
  <c r="I887" i="1"/>
  <c r="J887" i="1"/>
  <c r="I888" i="1"/>
  <c r="J888" i="1"/>
  <c r="I889" i="1"/>
  <c r="J889" i="1"/>
  <c r="I890" i="1"/>
  <c r="J890" i="1"/>
  <c r="I891" i="1"/>
  <c r="J891" i="1"/>
  <c r="I892" i="1"/>
  <c r="J892" i="1"/>
  <c r="I893" i="1"/>
  <c r="J893" i="1"/>
  <c r="I894" i="1"/>
  <c r="J894" i="1"/>
  <c r="I895" i="1"/>
  <c r="J895" i="1"/>
  <c r="I896" i="1"/>
  <c r="J896" i="1"/>
  <c r="I897" i="1"/>
  <c r="J897" i="1"/>
  <c r="I898" i="1"/>
  <c r="J898" i="1"/>
  <c r="I899" i="1"/>
  <c r="J899" i="1"/>
  <c r="I900" i="1"/>
  <c r="J900" i="1"/>
  <c r="I901" i="1"/>
  <c r="J901" i="1"/>
  <c r="I902" i="1"/>
  <c r="J902" i="1"/>
  <c r="I903" i="1"/>
  <c r="J903" i="1"/>
  <c r="I904" i="1"/>
  <c r="J904" i="1"/>
  <c r="I905" i="1"/>
  <c r="J905" i="1"/>
  <c r="I906" i="1"/>
  <c r="J906" i="1"/>
  <c r="I907" i="1"/>
  <c r="J907" i="1"/>
  <c r="I908" i="1"/>
  <c r="J908" i="1"/>
  <c r="I909" i="1"/>
  <c r="J909" i="1"/>
  <c r="I910" i="1"/>
  <c r="J910" i="1"/>
  <c r="I911" i="1"/>
  <c r="J911" i="1"/>
  <c r="I912" i="1"/>
  <c r="J912" i="1"/>
  <c r="I913" i="1"/>
  <c r="J913" i="1"/>
  <c r="I914" i="1"/>
  <c r="J914" i="1"/>
  <c r="I915" i="1"/>
  <c r="J915" i="1"/>
  <c r="I916" i="1"/>
  <c r="J916" i="1"/>
  <c r="I917" i="1"/>
  <c r="J917" i="1"/>
  <c r="I918" i="1"/>
  <c r="J918" i="1"/>
  <c r="I919" i="1"/>
  <c r="J919" i="1"/>
  <c r="I920" i="1"/>
  <c r="J920" i="1"/>
  <c r="I921" i="1"/>
  <c r="J921" i="1"/>
  <c r="I922" i="1"/>
  <c r="J922" i="1"/>
  <c r="I923" i="1"/>
  <c r="J923" i="1"/>
  <c r="I924" i="1"/>
  <c r="J924" i="1"/>
  <c r="I925" i="1"/>
  <c r="J925" i="1"/>
  <c r="I926" i="1"/>
  <c r="J926" i="1"/>
  <c r="I927" i="1"/>
  <c r="J927" i="1"/>
  <c r="I928" i="1"/>
  <c r="J928" i="1"/>
  <c r="I929" i="1"/>
  <c r="J929" i="1"/>
  <c r="I930" i="1"/>
  <c r="J930" i="1"/>
  <c r="I931" i="1"/>
  <c r="J931" i="1"/>
  <c r="I932" i="1"/>
  <c r="J932" i="1"/>
  <c r="I933" i="1"/>
  <c r="J933" i="1"/>
  <c r="I934" i="1"/>
  <c r="J934" i="1"/>
  <c r="I935" i="1"/>
  <c r="J935" i="1"/>
  <c r="I936" i="1"/>
  <c r="J936" i="1"/>
  <c r="I937" i="1"/>
  <c r="J937" i="1"/>
  <c r="I938" i="1"/>
  <c r="J938" i="1"/>
  <c r="I939" i="1"/>
  <c r="J939" i="1"/>
  <c r="I940" i="1"/>
  <c r="J940" i="1"/>
  <c r="I941" i="1"/>
  <c r="J941" i="1"/>
  <c r="I942" i="1"/>
  <c r="J942" i="1"/>
  <c r="I943" i="1"/>
  <c r="J943" i="1"/>
  <c r="I944" i="1"/>
  <c r="J944" i="1"/>
  <c r="I945" i="1"/>
  <c r="J945" i="1"/>
  <c r="I946" i="1"/>
  <c r="J946" i="1"/>
  <c r="I947" i="1"/>
  <c r="J947" i="1"/>
  <c r="I948" i="1"/>
  <c r="J948" i="1"/>
  <c r="I949" i="1"/>
  <c r="J949" i="1"/>
  <c r="I950" i="1"/>
  <c r="J950" i="1"/>
  <c r="I951" i="1"/>
  <c r="J951" i="1"/>
  <c r="I952" i="1"/>
  <c r="J952" i="1"/>
  <c r="I953" i="1"/>
  <c r="J953" i="1"/>
  <c r="I954" i="1"/>
  <c r="J954" i="1"/>
  <c r="I955" i="1"/>
  <c r="J955" i="1"/>
  <c r="I956" i="1"/>
  <c r="J956" i="1"/>
  <c r="I957" i="1"/>
  <c r="J957" i="1"/>
  <c r="I958" i="1"/>
  <c r="J958" i="1"/>
  <c r="I959" i="1"/>
  <c r="J959" i="1"/>
  <c r="I960" i="1"/>
  <c r="J960" i="1"/>
  <c r="I961" i="1"/>
  <c r="J961" i="1"/>
  <c r="I962" i="1"/>
  <c r="J962" i="1"/>
  <c r="I963" i="1"/>
  <c r="J963" i="1"/>
  <c r="I964" i="1"/>
  <c r="J964" i="1"/>
  <c r="I965" i="1"/>
  <c r="J965" i="1"/>
  <c r="I966" i="1"/>
  <c r="J966" i="1"/>
  <c r="I967" i="1"/>
  <c r="J967" i="1"/>
  <c r="I968" i="1"/>
  <c r="J968" i="1"/>
  <c r="I969" i="1"/>
  <c r="J969" i="1"/>
  <c r="I970" i="1"/>
  <c r="J970" i="1"/>
  <c r="I971" i="1"/>
  <c r="J971" i="1"/>
  <c r="I972" i="1"/>
  <c r="J972" i="1"/>
  <c r="I973" i="1"/>
  <c r="J973" i="1"/>
  <c r="I974" i="1"/>
  <c r="J974" i="1"/>
  <c r="I975" i="1"/>
  <c r="J975" i="1"/>
  <c r="I976" i="1"/>
  <c r="J976" i="1"/>
  <c r="I977" i="1"/>
  <c r="J977" i="1"/>
  <c r="I978" i="1"/>
  <c r="J978" i="1"/>
  <c r="I979" i="1"/>
  <c r="J979" i="1"/>
  <c r="I980" i="1"/>
  <c r="J980" i="1"/>
  <c r="I981" i="1"/>
  <c r="J981" i="1"/>
  <c r="I982" i="1"/>
  <c r="J982" i="1"/>
  <c r="I983" i="1"/>
  <c r="J983" i="1"/>
  <c r="I984" i="1"/>
  <c r="J984" i="1"/>
  <c r="I985" i="1"/>
  <c r="J985" i="1"/>
  <c r="I986" i="1"/>
  <c r="J986" i="1"/>
  <c r="I987" i="1"/>
  <c r="J987" i="1"/>
  <c r="I988" i="1"/>
  <c r="J988" i="1"/>
  <c r="I989" i="1"/>
  <c r="J989" i="1"/>
  <c r="I990" i="1"/>
  <c r="J990" i="1"/>
  <c r="I991" i="1"/>
  <c r="J991" i="1"/>
  <c r="I992" i="1"/>
  <c r="J992" i="1"/>
  <c r="I993" i="1"/>
  <c r="J993" i="1"/>
  <c r="I994" i="1"/>
  <c r="J994" i="1"/>
  <c r="I995" i="1"/>
  <c r="J995" i="1"/>
  <c r="I996" i="1"/>
  <c r="J996" i="1"/>
  <c r="I997" i="1"/>
  <c r="J997" i="1"/>
  <c r="I998" i="1"/>
  <c r="J998" i="1"/>
  <c r="I999" i="1"/>
  <c r="J999" i="1"/>
  <c r="I1000" i="1"/>
  <c r="J1000" i="1"/>
  <c r="I1001" i="1"/>
  <c r="J1001" i="1"/>
  <c r="I1002" i="1"/>
  <c r="J1002" i="1"/>
  <c r="I1003" i="1"/>
  <c r="J1003" i="1"/>
  <c r="I1004" i="1"/>
  <c r="J1004" i="1"/>
  <c r="I1005" i="1"/>
  <c r="J1005" i="1"/>
  <c r="I1006" i="1"/>
  <c r="J1006" i="1"/>
  <c r="I1007" i="1"/>
  <c r="J1007" i="1"/>
  <c r="I1008" i="1"/>
  <c r="J1008" i="1"/>
  <c r="I1009" i="1"/>
  <c r="J1009" i="1"/>
  <c r="I1010" i="1"/>
  <c r="J1010" i="1"/>
  <c r="I1011" i="1"/>
  <c r="J1011" i="1"/>
  <c r="I1012" i="1"/>
  <c r="J1012" i="1"/>
  <c r="I1013" i="1"/>
  <c r="J1013" i="1"/>
  <c r="I1014" i="1"/>
  <c r="J1014" i="1"/>
  <c r="I1015" i="1"/>
  <c r="J1015" i="1"/>
  <c r="I1016" i="1"/>
  <c r="J1016" i="1"/>
  <c r="I1017" i="1"/>
  <c r="J1017" i="1"/>
  <c r="I1018" i="1"/>
  <c r="J1018" i="1"/>
  <c r="I1019" i="1"/>
  <c r="J1019" i="1"/>
  <c r="I1020" i="1"/>
  <c r="J1020" i="1"/>
  <c r="I1021" i="1"/>
  <c r="J1021" i="1"/>
  <c r="I1022" i="1"/>
  <c r="J1022" i="1"/>
  <c r="I1023" i="1"/>
  <c r="J1023" i="1"/>
  <c r="I1024" i="1"/>
  <c r="J1024" i="1"/>
  <c r="I1025" i="1"/>
  <c r="J1025" i="1"/>
  <c r="I1026" i="1"/>
  <c r="J1026" i="1"/>
  <c r="I1027" i="1"/>
  <c r="J1027" i="1"/>
  <c r="I1028" i="1"/>
  <c r="J1028" i="1"/>
  <c r="I1029" i="1"/>
  <c r="J1029" i="1"/>
  <c r="I1030" i="1"/>
  <c r="J1030" i="1"/>
  <c r="I1031" i="1"/>
  <c r="J1031" i="1"/>
  <c r="I1032" i="1"/>
  <c r="J1032" i="1"/>
  <c r="I1033" i="1"/>
  <c r="J1033" i="1"/>
  <c r="I1034" i="1"/>
  <c r="J1034" i="1"/>
  <c r="I1035" i="1"/>
  <c r="J1035" i="1"/>
  <c r="I1036" i="1"/>
  <c r="J1036" i="1"/>
  <c r="I1037" i="1"/>
  <c r="J1037" i="1"/>
  <c r="I1038" i="1"/>
  <c r="J1038" i="1"/>
  <c r="I1039" i="1"/>
  <c r="J1039" i="1"/>
  <c r="I1040" i="1"/>
  <c r="J1040" i="1"/>
  <c r="I1041" i="1"/>
  <c r="J1041" i="1"/>
  <c r="I1042" i="1"/>
  <c r="J1042" i="1"/>
  <c r="I1043" i="1"/>
  <c r="J1043" i="1"/>
  <c r="I1044" i="1"/>
  <c r="J1044" i="1"/>
  <c r="I1045" i="1"/>
  <c r="J1045" i="1"/>
  <c r="I1046" i="1"/>
  <c r="J1046" i="1"/>
  <c r="I1047" i="1"/>
  <c r="J1047" i="1"/>
  <c r="I1048" i="1"/>
  <c r="J1048" i="1"/>
  <c r="I1049" i="1"/>
  <c r="J1049" i="1"/>
  <c r="I1050" i="1"/>
  <c r="J1050" i="1"/>
  <c r="I1051" i="1"/>
  <c r="J1051" i="1"/>
  <c r="I1052" i="1"/>
  <c r="J1052" i="1"/>
  <c r="I1053" i="1"/>
  <c r="J1053" i="1"/>
  <c r="I1054" i="1"/>
  <c r="J1054" i="1"/>
  <c r="I1055" i="1"/>
  <c r="J1055" i="1"/>
  <c r="I1056" i="1"/>
  <c r="J1056" i="1"/>
  <c r="I1057" i="1"/>
  <c r="J1057" i="1"/>
  <c r="I1058" i="1"/>
  <c r="J1058" i="1"/>
  <c r="I1059" i="1"/>
  <c r="J1059" i="1"/>
  <c r="I1060" i="1"/>
  <c r="J1060" i="1"/>
  <c r="I1061" i="1"/>
  <c r="J1061" i="1"/>
  <c r="I1062" i="1"/>
  <c r="J1062" i="1"/>
  <c r="I1063" i="1"/>
  <c r="J1063" i="1"/>
  <c r="I1064" i="1"/>
  <c r="J1064" i="1"/>
  <c r="I1065" i="1"/>
  <c r="J1065" i="1"/>
  <c r="I1066" i="1"/>
  <c r="J1066" i="1"/>
  <c r="I1067" i="1"/>
  <c r="J1067" i="1"/>
  <c r="I1068" i="1"/>
  <c r="J1068" i="1"/>
  <c r="I1069" i="1"/>
  <c r="J1069" i="1"/>
  <c r="I1070" i="1"/>
  <c r="J1070" i="1"/>
  <c r="I1071" i="1"/>
  <c r="J1071" i="1"/>
  <c r="I1072" i="1"/>
  <c r="J1072" i="1"/>
  <c r="I1073" i="1"/>
  <c r="J1073" i="1"/>
  <c r="I1074" i="1"/>
  <c r="J1074" i="1"/>
  <c r="I1075" i="1"/>
  <c r="J1075" i="1"/>
  <c r="I1076" i="1"/>
  <c r="J1076" i="1"/>
  <c r="I1077" i="1"/>
  <c r="J1077" i="1"/>
  <c r="I1078" i="1"/>
  <c r="J1078" i="1"/>
  <c r="I1079" i="1"/>
  <c r="J1079" i="1"/>
  <c r="I1080" i="1"/>
  <c r="J1080" i="1"/>
  <c r="I1081" i="1"/>
  <c r="J1081" i="1"/>
  <c r="I1082" i="1"/>
  <c r="J1082" i="1"/>
  <c r="I1083" i="1"/>
  <c r="J1083" i="1"/>
  <c r="I1084" i="1"/>
  <c r="J1084" i="1"/>
  <c r="I1085" i="1"/>
  <c r="J1085" i="1"/>
  <c r="I1086" i="1"/>
  <c r="J1086" i="1"/>
  <c r="I1087" i="1"/>
  <c r="J1087" i="1"/>
  <c r="I1088" i="1"/>
  <c r="J1088" i="1"/>
  <c r="I1089" i="1"/>
  <c r="J1089" i="1"/>
  <c r="I1090" i="1"/>
  <c r="J1090" i="1"/>
  <c r="I1091" i="1"/>
  <c r="J1091" i="1"/>
  <c r="I1092" i="1"/>
  <c r="J1092" i="1"/>
  <c r="I1093" i="1"/>
  <c r="J1093" i="1"/>
  <c r="I1094" i="1"/>
  <c r="J1094" i="1"/>
  <c r="I1095" i="1"/>
  <c r="J1095" i="1"/>
  <c r="I1096" i="1"/>
  <c r="J1096" i="1"/>
  <c r="I1097" i="1"/>
  <c r="J1097" i="1"/>
  <c r="I1098" i="1"/>
  <c r="J1098" i="1"/>
  <c r="I1099" i="1"/>
  <c r="J1099" i="1"/>
  <c r="I1100" i="1"/>
  <c r="J1100" i="1"/>
  <c r="I1101" i="1"/>
  <c r="J1101" i="1"/>
  <c r="I1102" i="1"/>
  <c r="J1102" i="1"/>
  <c r="I1103" i="1"/>
  <c r="J1103" i="1"/>
  <c r="I1104" i="1"/>
  <c r="J1104" i="1"/>
  <c r="I1105" i="1"/>
  <c r="J1105" i="1"/>
  <c r="I1106" i="1"/>
  <c r="J1106" i="1"/>
  <c r="I1107" i="1"/>
  <c r="J1107" i="1"/>
  <c r="I1108" i="1"/>
  <c r="J1108" i="1"/>
  <c r="I1109" i="1"/>
  <c r="J1109" i="1"/>
  <c r="I1110" i="1"/>
  <c r="J1110" i="1"/>
  <c r="I1111" i="1"/>
  <c r="J1111" i="1"/>
  <c r="I1112" i="1"/>
  <c r="J1112" i="1"/>
  <c r="I1113" i="1"/>
  <c r="J1113" i="1"/>
  <c r="I1114" i="1"/>
  <c r="J1114" i="1"/>
  <c r="I1115" i="1"/>
  <c r="J1115" i="1"/>
  <c r="I1116" i="1"/>
  <c r="J1116" i="1"/>
  <c r="I1117" i="1"/>
  <c r="J1117" i="1"/>
  <c r="I1118" i="1"/>
  <c r="J1118" i="1"/>
  <c r="I1119" i="1"/>
  <c r="J1119" i="1"/>
  <c r="I1120" i="1"/>
  <c r="J1120" i="1"/>
  <c r="I1121" i="1"/>
  <c r="J1121" i="1"/>
  <c r="I1122" i="1"/>
  <c r="J1122" i="1"/>
  <c r="I1123" i="1"/>
  <c r="J1123" i="1"/>
  <c r="I1124" i="1"/>
  <c r="J1124" i="1"/>
  <c r="I1125" i="1"/>
  <c r="J1125" i="1"/>
  <c r="I1126" i="1"/>
  <c r="J1126" i="1"/>
  <c r="I1127" i="1"/>
  <c r="J1127" i="1"/>
  <c r="I1128" i="1"/>
  <c r="J1128" i="1"/>
  <c r="I1129" i="1"/>
  <c r="J1129" i="1"/>
  <c r="I1130" i="1"/>
  <c r="J1130" i="1"/>
  <c r="I1131" i="1"/>
  <c r="J1131" i="1"/>
  <c r="I1132" i="1"/>
  <c r="J1132" i="1"/>
  <c r="I1133" i="1"/>
  <c r="J1133" i="1"/>
  <c r="I1134" i="1"/>
  <c r="J1134" i="1"/>
  <c r="I1135" i="1"/>
  <c r="J1135" i="1"/>
  <c r="I1136" i="1"/>
  <c r="J1136" i="1"/>
  <c r="I1137" i="1"/>
  <c r="J1137" i="1"/>
  <c r="I1138" i="1"/>
  <c r="J1138" i="1"/>
  <c r="I1139" i="1"/>
  <c r="J1139" i="1"/>
  <c r="I1140" i="1"/>
  <c r="J1140" i="1"/>
  <c r="I1141" i="1"/>
  <c r="J1141" i="1"/>
  <c r="I1142" i="1"/>
  <c r="J1142" i="1"/>
  <c r="I1143" i="1"/>
  <c r="J1143" i="1"/>
  <c r="I1144" i="1"/>
  <c r="J1144" i="1"/>
  <c r="I1145" i="1"/>
  <c r="J1145" i="1"/>
  <c r="I1146" i="1"/>
  <c r="J1146" i="1"/>
  <c r="I1147" i="1"/>
  <c r="J1147" i="1"/>
  <c r="I1148" i="1"/>
  <c r="J1148" i="1"/>
  <c r="I1149" i="1"/>
  <c r="J1149" i="1"/>
  <c r="I1150" i="1"/>
  <c r="J1150" i="1"/>
  <c r="I1151" i="1"/>
  <c r="J1151" i="1"/>
  <c r="I1152" i="1"/>
  <c r="J1152" i="1"/>
  <c r="I1153" i="1"/>
  <c r="J1153" i="1"/>
  <c r="I1154" i="1"/>
  <c r="J1154" i="1"/>
  <c r="I1155" i="1"/>
  <c r="J1155" i="1"/>
  <c r="I1156" i="1"/>
  <c r="J1156" i="1"/>
  <c r="I1157" i="1"/>
  <c r="J1157" i="1"/>
  <c r="I1158" i="1"/>
  <c r="J1158" i="1"/>
  <c r="I1159" i="1"/>
  <c r="J1159" i="1"/>
  <c r="I1160" i="1"/>
  <c r="J1160" i="1"/>
  <c r="I1161" i="1"/>
  <c r="J1161" i="1"/>
  <c r="I1162" i="1"/>
  <c r="J1162" i="1"/>
  <c r="I1163" i="1"/>
  <c r="J1163" i="1"/>
  <c r="I1164" i="1"/>
  <c r="J1164" i="1"/>
  <c r="I1165" i="1"/>
  <c r="J1165" i="1"/>
  <c r="I1166" i="1"/>
  <c r="J1166" i="1"/>
  <c r="I1167" i="1"/>
  <c r="J1167" i="1"/>
  <c r="I1168" i="1"/>
  <c r="J1168" i="1"/>
  <c r="I1169" i="1"/>
  <c r="J1169" i="1"/>
  <c r="I1170" i="1"/>
  <c r="J1170" i="1"/>
  <c r="I1171" i="1"/>
  <c r="J1171" i="1"/>
  <c r="I1172" i="1"/>
  <c r="J1172" i="1"/>
  <c r="I1173" i="1"/>
  <c r="J1173" i="1"/>
  <c r="I1174" i="1"/>
  <c r="J1174" i="1"/>
  <c r="I1175" i="1"/>
  <c r="J1175" i="1"/>
  <c r="I1176" i="1"/>
  <c r="J1176" i="1"/>
  <c r="I1177" i="1"/>
  <c r="J1177" i="1"/>
  <c r="I1178" i="1"/>
  <c r="J1178" i="1"/>
  <c r="I1179" i="1"/>
  <c r="J1179" i="1"/>
  <c r="I1180" i="1"/>
  <c r="J1180" i="1"/>
  <c r="I1181" i="1"/>
  <c r="J1181" i="1"/>
  <c r="I1182" i="1"/>
  <c r="J1182" i="1"/>
  <c r="I1183" i="1"/>
  <c r="J1183" i="1"/>
  <c r="I1184" i="1"/>
  <c r="J1184" i="1"/>
  <c r="I1185" i="1"/>
  <c r="J1185" i="1"/>
  <c r="I1186" i="1"/>
  <c r="J1186" i="1"/>
  <c r="I1187" i="1"/>
  <c r="J1187" i="1"/>
  <c r="I1188" i="1"/>
  <c r="J1188" i="1"/>
  <c r="I1189" i="1"/>
  <c r="J1189" i="1"/>
  <c r="I1190" i="1"/>
  <c r="J1190" i="1"/>
  <c r="I1191" i="1"/>
  <c r="J1191" i="1"/>
  <c r="I1192" i="1"/>
  <c r="J1192" i="1"/>
  <c r="I1193" i="1"/>
  <c r="J1193" i="1"/>
  <c r="I1194" i="1"/>
  <c r="J1194" i="1"/>
  <c r="I1195" i="1"/>
  <c r="J1195" i="1"/>
  <c r="I1196" i="1"/>
  <c r="J1196" i="1"/>
  <c r="I1197" i="1"/>
  <c r="J1197" i="1"/>
  <c r="I1198" i="1"/>
  <c r="J1198" i="1"/>
  <c r="I1199" i="1"/>
  <c r="J1199" i="1"/>
  <c r="I1200" i="1"/>
  <c r="J1200" i="1"/>
  <c r="I1201" i="1"/>
  <c r="J1201" i="1"/>
  <c r="I1202" i="1"/>
  <c r="J1202" i="1"/>
  <c r="I1203" i="1"/>
  <c r="J1203" i="1"/>
  <c r="I1204" i="1"/>
  <c r="J1204" i="1"/>
  <c r="I1205" i="1"/>
  <c r="J1205" i="1"/>
  <c r="I1206" i="1"/>
  <c r="J1206" i="1"/>
  <c r="I1207" i="1"/>
  <c r="J1207" i="1"/>
  <c r="I1208" i="1"/>
  <c r="J1208" i="1"/>
  <c r="I1209" i="1"/>
  <c r="J1209" i="1"/>
  <c r="I1210" i="1"/>
  <c r="J1210" i="1"/>
  <c r="I1211" i="1"/>
  <c r="J1211" i="1"/>
  <c r="I1212" i="1"/>
  <c r="J1212" i="1"/>
  <c r="I1213" i="1"/>
  <c r="J1213" i="1"/>
  <c r="I1214" i="1"/>
  <c r="J1214" i="1"/>
  <c r="I1215" i="1"/>
  <c r="J1215" i="1"/>
  <c r="I1216" i="1"/>
  <c r="J1216" i="1"/>
  <c r="I1217" i="1"/>
  <c r="J1217" i="1"/>
  <c r="I1218" i="1"/>
  <c r="J1218" i="1"/>
  <c r="I1219" i="1"/>
  <c r="J1219" i="1"/>
  <c r="I1220" i="1"/>
  <c r="J1220" i="1"/>
  <c r="I1221" i="1"/>
  <c r="J1221" i="1"/>
  <c r="I1222" i="1"/>
  <c r="J1222" i="1"/>
  <c r="I1223" i="1"/>
  <c r="J1223" i="1"/>
  <c r="I1224" i="1"/>
  <c r="J1224" i="1"/>
  <c r="I1225" i="1"/>
  <c r="J1225" i="1"/>
  <c r="I1226" i="1"/>
  <c r="J1226" i="1"/>
  <c r="I1227" i="1"/>
  <c r="J1227" i="1"/>
  <c r="I1228" i="1"/>
  <c r="J1228" i="1"/>
  <c r="I1229" i="1"/>
  <c r="J1229" i="1"/>
  <c r="I1230" i="1"/>
  <c r="J1230" i="1"/>
  <c r="I1231" i="1"/>
  <c r="J1231" i="1"/>
  <c r="I1232" i="1"/>
  <c r="J1232" i="1"/>
  <c r="I1233" i="1"/>
  <c r="J1233" i="1"/>
  <c r="I1234" i="1"/>
  <c r="J1234" i="1"/>
  <c r="I1235" i="1"/>
  <c r="J1235" i="1"/>
  <c r="I1236" i="1"/>
  <c r="J1236" i="1"/>
  <c r="I1237" i="1"/>
  <c r="J1237" i="1"/>
  <c r="I1238" i="1"/>
  <c r="J1238" i="1"/>
  <c r="I1239" i="1"/>
  <c r="J1239" i="1"/>
  <c r="I1240" i="1"/>
  <c r="J1240" i="1"/>
  <c r="I1241" i="1"/>
  <c r="J1241" i="1"/>
  <c r="I1242" i="1"/>
  <c r="J1242" i="1"/>
  <c r="I1243" i="1"/>
  <c r="J1243" i="1"/>
  <c r="I1244" i="1"/>
  <c r="J1244" i="1"/>
  <c r="I1245" i="1"/>
  <c r="J1245" i="1"/>
  <c r="I1246" i="1"/>
  <c r="J1246" i="1"/>
  <c r="I1247" i="1"/>
  <c r="J1247" i="1"/>
  <c r="I1248" i="1"/>
  <c r="J1248" i="1"/>
  <c r="I1249" i="1"/>
  <c r="J1249" i="1"/>
  <c r="I1250" i="1"/>
  <c r="J1250" i="1"/>
  <c r="I1251" i="1"/>
  <c r="J1251" i="1"/>
  <c r="I1252" i="1"/>
  <c r="J1252" i="1"/>
  <c r="I1253" i="1"/>
  <c r="J1253" i="1"/>
  <c r="I1254" i="1"/>
  <c r="J1254" i="1"/>
  <c r="I1255" i="1"/>
  <c r="J1255" i="1"/>
  <c r="I1256" i="1"/>
  <c r="J1256" i="1"/>
  <c r="I1257" i="1"/>
  <c r="J1257" i="1"/>
  <c r="I1258" i="1"/>
  <c r="J1258" i="1"/>
  <c r="I1259" i="1"/>
  <c r="J1259" i="1"/>
  <c r="I1260" i="1"/>
  <c r="J1260" i="1"/>
  <c r="I1261" i="1"/>
  <c r="J1261" i="1"/>
  <c r="I1262" i="1"/>
  <c r="J1262" i="1"/>
  <c r="I1263" i="1"/>
  <c r="J1263" i="1"/>
  <c r="I1264" i="1"/>
  <c r="J1264" i="1"/>
  <c r="I1265" i="1"/>
  <c r="J1265" i="1"/>
  <c r="I1266" i="1"/>
  <c r="J1266" i="1"/>
  <c r="I1267" i="1"/>
  <c r="J1267" i="1"/>
  <c r="I1268" i="1"/>
  <c r="J1268" i="1"/>
  <c r="I1269" i="1"/>
  <c r="J1269" i="1"/>
  <c r="I1270" i="1"/>
  <c r="J1270" i="1"/>
  <c r="I1271" i="1"/>
  <c r="J1271" i="1"/>
  <c r="I1272" i="1"/>
  <c r="J1272" i="1"/>
  <c r="I1273" i="1"/>
  <c r="J1273" i="1"/>
  <c r="I1274" i="1"/>
  <c r="J1274" i="1"/>
  <c r="I1275" i="1"/>
  <c r="J1275" i="1"/>
  <c r="I1276" i="1"/>
  <c r="J1276" i="1"/>
  <c r="I1277" i="1"/>
  <c r="J1277" i="1"/>
  <c r="I1278" i="1"/>
  <c r="J1278" i="1"/>
  <c r="I1279" i="1"/>
  <c r="J1279" i="1"/>
  <c r="I1280" i="1"/>
  <c r="J1280" i="1"/>
  <c r="I1281" i="1"/>
  <c r="J1281" i="1"/>
  <c r="I1282" i="1"/>
  <c r="J1282" i="1"/>
  <c r="I1283" i="1"/>
  <c r="J1283" i="1"/>
  <c r="I1284" i="1"/>
  <c r="J1284" i="1"/>
  <c r="I1285" i="1"/>
  <c r="J1285" i="1"/>
  <c r="I1286" i="1"/>
  <c r="J1286" i="1"/>
  <c r="I1287" i="1"/>
  <c r="J1287" i="1"/>
  <c r="I1288" i="1"/>
  <c r="J1288" i="1"/>
  <c r="I1289" i="1"/>
  <c r="J1289" i="1"/>
  <c r="I1290" i="1"/>
  <c r="J1290" i="1"/>
  <c r="I1291" i="1"/>
  <c r="J1291" i="1"/>
  <c r="I1292" i="1"/>
  <c r="J1292" i="1"/>
  <c r="I1293" i="1"/>
  <c r="J1293" i="1"/>
  <c r="I1294" i="1"/>
  <c r="J1294" i="1"/>
  <c r="I1295" i="1"/>
  <c r="J1295" i="1"/>
  <c r="I1296" i="1"/>
  <c r="J1296" i="1"/>
  <c r="I1297" i="1"/>
  <c r="J1297" i="1"/>
  <c r="I1298" i="1"/>
  <c r="J1298" i="1"/>
  <c r="I1299" i="1"/>
  <c r="J1299" i="1"/>
  <c r="I1300" i="1"/>
  <c r="J1300" i="1"/>
  <c r="I1301" i="1"/>
  <c r="J1301" i="1"/>
  <c r="I1302" i="1"/>
  <c r="J1302" i="1"/>
  <c r="I1303" i="1"/>
  <c r="J1303" i="1"/>
  <c r="I1304" i="1"/>
  <c r="J1304" i="1"/>
  <c r="I1305" i="1"/>
  <c r="J1305" i="1"/>
  <c r="I1306" i="1"/>
  <c r="J1306" i="1"/>
  <c r="I1307" i="1"/>
  <c r="J1307" i="1"/>
  <c r="I1308" i="1"/>
  <c r="J1308" i="1"/>
  <c r="I1309" i="1"/>
  <c r="J1309" i="1"/>
  <c r="I1310" i="1"/>
  <c r="J1310" i="1"/>
  <c r="I1311" i="1"/>
  <c r="J1311" i="1"/>
  <c r="I1312" i="1"/>
  <c r="J1312" i="1"/>
  <c r="I1313" i="1"/>
  <c r="J1313" i="1"/>
  <c r="I1314" i="1"/>
  <c r="J1314" i="1"/>
  <c r="I1315" i="1"/>
  <c r="J1315" i="1"/>
  <c r="I1316" i="1"/>
  <c r="J1316" i="1"/>
  <c r="I1317" i="1"/>
  <c r="J1317" i="1"/>
  <c r="I1318" i="1"/>
  <c r="J1318" i="1"/>
  <c r="I1319" i="1"/>
  <c r="J1319" i="1"/>
  <c r="I1320" i="1"/>
  <c r="J1320" i="1"/>
  <c r="I1321" i="1"/>
  <c r="J1321" i="1"/>
  <c r="I1322" i="1"/>
  <c r="J1322" i="1"/>
  <c r="I1323" i="1"/>
  <c r="J1323" i="1"/>
  <c r="I1324" i="1"/>
  <c r="J1324" i="1"/>
  <c r="I1325" i="1"/>
  <c r="J1325" i="1"/>
  <c r="I1326" i="1"/>
  <c r="J1326" i="1"/>
  <c r="I1327" i="1"/>
  <c r="J1327" i="1"/>
  <c r="I1328" i="1"/>
  <c r="J1328" i="1"/>
  <c r="I1329" i="1"/>
  <c r="J1329" i="1"/>
  <c r="I1330" i="1"/>
  <c r="J1330" i="1"/>
  <c r="I1331" i="1"/>
  <c r="J1331" i="1"/>
  <c r="I1332" i="1"/>
  <c r="J1332" i="1"/>
  <c r="I1333" i="1"/>
  <c r="J1333" i="1"/>
  <c r="I1334" i="1"/>
  <c r="J1334" i="1"/>
  <c r="I1335" i="1"/>
  <c r="J1335" i="1"/>
  <c r="I1336" i="1"/>
  <c r="J1336" i="1"/>
  <c r="I1337" i="1"/>
  <c r="J1337" i="1"/>
  <c r="I1338" i="1"/>
  <c r="J1338" i="1"/>
  <c r="I1339" i="1"/>
  <c r="J1339" i="1"/>
  <c r="I1340" i="1"/>
  <c r="J1340" i="1"/>
  <c r="I1341" i="1"/>
  <c r="J1341" i="1"/>
  <c r="I1342" i="1"/>
  <c r="J1342" i="1"/>
  <c r="I1343" i="1"/>
  <c r="J1343" i="1"/>
  <c r="I1344" i="1"/>
  <c r="J1344" i="1"/>
  <c r="I1345" i="1"/>
  <c r="J1345" i="1"/>
  <c r="I1346" i="1"/>
  <c r="J1346" i="1"/>
  <c r="I1347" i="1"/>
  <c r="J1347" i="1"/>
  <c r="I1348" i="1"/>
  <c r="J1348" i="1"/>
  <c r="I1349" i="1"/>
  <c r="J1349" i="1"/>
  <c r="I1350" i="1"/>
  <c r="J1350" i="1"/>
  <c r="I1351" i="1"/>
  <c r="J1351" i="1"/>
  <c r="I1352" i="1"/>
  <c r="J1352" i="1"/>
  <c r="I1353" i="1"/>
  <c r="J1353" i="1"/>
  <c r="I1354" i="1"/>
  <c r="J1354" i="1"/>
  <c r="I1355" i="1"/>
  <c r="J1355" i="1"/>
  <c r="I1356" i="1"/>
  <c r="J1356" i="1"/>
  <c r="I1357" i="1"/>
  <c r="J1357" i="1"/>
  <c r="I1358" i="1"/>
  <c r="J1358" i="1"/>
  <c r="I1359" i="1"/>
  <c r="J1359" i="1"/>
  <c r="I1360" i="1"/>
  <c r="J1360" i="1"/>
  <c r="I1361" i="1"/>
  <c r="J1361" i="1"/>
  <c r="I1362" i="1"/>
  <c r="J1362" i="1"/>
  <c r="I1363" i="1"/>
  <c r="J1363" i="1"/>
  <c r="I1364" i="1"/>
  <c r="J1364" i="1"/>
  <c r="I1365" i="1"/>
  <c r="J1365" i="1"/>
  <c r="I1366" i="1"/>
  <c r="J1366" i="1"/>
  <c r="I1367" i="1"/>
  <c r="J1367" i="1"/>
  <c r="I1368" i="1"/>
  <c r="J1368" i="1"/>
  <c r="I1369" i="1"/>
  <c r="J1369" i="1"/>
  <c r="I1370" i="1"/>
  <c r="J1370" i="1"/>
  <c r="I1371" i="1"/>
  <c r="J1371" i="1"/>
  <c r="I1372" i="1"/>
  <c r="J1372" i="1"/>
  <c r="I1373" i="1"/>
  <c r="J1373" i="1"/>
  <c r="I1374" i="1"/>
  <c r="J1374" i="1"/>
  <c r="I1375" i="1"/>
  <c r="J1375" i="1"/>
  <c r="I1376" i="1"/>
  <c r="J1376" i="1"/>
  <c r="I1377" i="1"/>
  <c r="J1377" i="1"/>
  <c r="I1378" i="1"/>
  <c r="J1378" i="1"/>
  <c r="I1379" i="1"/>
  <c r="J1379" i="1"/>
  <c r="I1380" i="1"/>
  <c r="J1380" i="1"/>
  <c r="I1381" i="1"/>
  <c r="J1381" i="1"/>
  <c r="I1382" i="1"/>
  <c r="J1382" i="1"/>
  <c r="I1383" i="1"/>
  <c r="J1383" i="1"/>
  <c r="I1384" i="1"/>
  <c r="J1384" i="1"/>
  <c r="I1385" i="1"/>
  <c r="J1385" i="1"/>
  <c r="I1386" i="1"/>
  <c r="J1386" i="1"/>
  <c r="I1387" i="1"/>
  <c r="J1387" i="1"/>
  <c r="I1388" i="1"/>
  <c r="J1388" i="1"/>
  <c r="I1389" i="1"/>
  <c r="J1389" i="1"/>
  <c r="I1390" i="1"/>
  <c r="J1390" i="1"/>
  <c r="I1391" i="1"/>
  <c r="J1391" i="1"/>
  <c r="I1392" i="1"/>
  <c r="J1392" i="1"/>
  <c r="I1393" i="1"/>
  <c r="J1393" i="1"/>
  <c r="I1394" i="1"/>
  <c r="J1394" i="1"/>
  <c r="I1395" i="1"/>
  <c r="J1395" i="1"/>
  <c r="I1396" i="1"/>
  <c r="J1396" i="1"/>
  <c r="I1397" i="1"/>
  <c r="J1397" i="1"/>
  <c r="I1398" i="1"/>
  <c r="J1398" i="1"/>
  <c r="I1399" i="1"/>
  <c r="J1399" i="1"/>
  <c r="I1400" i="1"/>
  <c r="J1400" i="1"/>
  <c r="I1401" i="1"/>
  <c r="J1401" i="1"/>
  <c r="I1402" i="1"/>
  <c r="J1402" i="1"/>
  <c r="I1403" i="1"/>
  <c r="J1403" i="1"/>
  <c r="I1404" i="1"/>
  <c r="J1404" i="1"/>
  <c r="I1405" i="1"/>
  <c r="J1405" i="1"/>
  <c r="I1406" i="1"/>
  <c r="J1406" i="1"/>
  <c r="I1407" i="1"/>
  <c r="J1407" i="1"/>
  <c r="I1408" i="1"/>
  <c r="J1408" i="1"/>
  <c r="I1409" i="1"/>
  <c r="J1409" i="1"/>
  <c r="I1410" i="1"/>
  <c r="J1410" i="1"/>
  <c r="I1411" i="1"/>
  <c r="J1411" i="1"/>
  <c r="I1412" i="1"/>
  <c r="J1412" i="1"/>
  <c r="I1413" i="1"/>
  <c r="J1413" i="1"/>
  <c r="I1414" i="1"/>
  <c r="J1414" i="1"/>
  <c r="I1415" i="1"/>
  <c r="J1415" i="1"/>
  <c r="I1416" i="1"/>
  <c r="J1416" i="1"/>
  <c r="I1417" i="1"/>
  <c r="J1417" i="1"/>
  <c r="I1418" i="1"/>
  <c r="J1418" i="1"/>
  <c r="I1419" i="1"/>
  <c r="J1419" i="1"/>
  <c r="I1420" i="1"/>
  <c r="J1420" i="1"/>
  <c r="I1421" i="1"/>
  <c r="J1421" i="1"/>
  <c r="I1422" i="1"/>
  <c r="J1422" i="1"/>
  <c r="I1423" i="1"/>
  <c r="J1423" i="1"/>
  <c r="I1424" i="1"/>
  <c r="J1424" i="1"/>
  <c r="I1425" i="1"/>
  <c r="J1425" i="1"/>
  <c r="I1426" i="1"/>
  <c r="J1426" i="1"/>
  <c r="I1427" i="1"/>
  <c r="J1427" i="1"/>
  <c r="I1428" i="1"/>
  <c r="J1428" i="1"/>
  <c r="I1429" i="1"/>
  <c r="J1429" i="1"/>
  <c r="I1430" i="1"/>
  <c r="J1430" i="1"/>
  <c r="I1431" i="1"/>
  <c r="J1431" i="1"/>
  <c r="I1432" i="1"/>
  <c r="J1432" i="1"/>
  <c r="I1433" i="1"/>
  <c r="J1433" i="1"/>
  <c r="I1434" i="1"/>
  <c r="J1434" i="1"/>
  <c r="I1435" i="1"/>
  <c r="J1435" i="1"/>
  <c r="I1436" i="1"/>
  <c r="J1436" i="1"/>
  <c r="I1437" i="1"/>
  <c r="J1437" i="1"/>
  <c r="I1438" i="1"/>
  <c r="J1438" i="1"/>
  <c r="I1439" i="1"/>
  <c r="J1439" i="1"/>
  <c r="I1440" i="1"/>
  <c r="J1440" i="1"/>
  <c r="I1441" i="1"/>
  <c r="J1441" i="1"/>
  <c r="I1442" i="1"/>
  <c r="J1442" i="1"/>
  <c r="I1443" i="1"/>
  <c r="J1443" i="1"/>
  <c r="I1444" i="1"/>
  <c r="J1444" i="1"/>
  <c r="I1445" i="1"/>
  <c r="J1445" i="1"/>
  <c r="I1446" i="1"/>
  <c r="J1446" i="1"/>
  <c r="I1447" i="1"/>
  <c r="J1447" i="1"/>
  <c r="I1448" i="1"/>
  <c r="J1448" i="1"/>
  <c r="I1449" i="1"/>
  <c r="J1449" i="1"/>
  <c r="I1450" i="1"/>
  <c r="J1450" i="1"/>
  <c r="I1451" i="1"/>
  <c r="J1451" i="1"/>
  <c r="I1452" i="1"/>
  <c r="J1452" i="1"/>
  <c r="I1453" i="1"/>
  <c r="J1453" i="1"/>
  <c r="I1454" i="1"/>
  <c r="J1454" i="1"/>
  <c r="I1455" i="1"/>
  <c r="J1455" i="1"/>
  <c r="I1456" i="1"/>
  <c r="J1456" i="1"/>
  <c r="I1457" i="1"/>
  <c r="J1457" i="1"/>
  <c r="I1458" i="1"/>
  <c r="J1458" i="1"/>
  <c r="I1459" i="1"/>
  <c r="J1459" i="1"/>
  <c r="I1460" i="1"/>
  <c r="J1460" i="1"/>
  <c r="I1461" i="1"/>
  <c r="J1461" i="1"/>
  <c r="I1462" i="1"/>
  <c r="J1462" i="1"/>
  <c r="I1463" i="1"/>
  <c r="J1463" i="1"/>
  <c r="I1464" i="1"/>
  <c r="J1464" i="1"/>
  <c r="I1465" i="1"/>
  <c r="J1465" i="1"/>
  <c r="I1466" i="1"/>
  <c r="J1466" i="1"/>
  <c r="I1467" i="1"/>
  <c r="J1467" i="1"/>
  <c r="I1468" i="1"/>
  <c r="J1468" i="1"/>
  <c r="I1469" i="1"/>
  <c r="J1469" i="1"/>
  <c r="I1470" i="1"/>
  <c r="J1470" i="1"/>
  <c r="I1471" i="1"/>
  <c r="J1471" i="1"/>
  <c r="I1472" i="1"/>
  <c r="J1472" i="1"/>
  <c r="I1473" i="1"/>
  <c r="J1473" i="1"/>
  <c r="I1474" i="1"/>
  <c r="J1474" i="1"/>
  <c r="I1475" i="1"/>
  <c r="J1475" i="1"/>
  <c r="I1476" i="1"/>
  <c r="J1476" i="1"/>
  <c r="I1477" i="1"/>
  <c r="J1477" i="1"/>
  <c r="I1478" i="1"/>
  <c r="J1478" i="1"/>
  <c r="I1479" i="1"/>
  <c r="J1479" i="1"/>
  <c r="I1480" i="1"/>
  <c r="J1480" i="1"/>
  <c r="I1481" i="1"/>
  <c r="J1481" i="1"/>
  <c r="I1482" i="1"/>
  <c r="J1482" i="1"/>
  <c r="I1483" i="1"/>
  <c r="J1483" i="1"/>
  <c r="I1484" i="1"/>
  <c r="J1484" i="1"/>
  <c r="I1485" i="1"/>
  <c r="J1485" i="1"/>
  <c r="I1486" i="1"/>
  <c r="J1486" i="1"/>
  <c r="I1487" i="1"/>
  <c r="J1487" i="1"/>
  <c r="I1488" i="1"/>
  <c r="J1488" i="1"/>
  <c r="I1489" i="1"/>
  <c r="J1489" i="1"/>
  <c r="I1490" i="1"/>
  <c r="J1490" i="1"/>
  <c r="I1491" i="1"/>
  <c r="J1491" i="1"/>
  <c r="I1492" i="1"/>
  <c r="J1492" i="1"/>
  <c r="I1493" i="1"/>
  <c r="J1493" i="1"/>
  <c r="I1494" i="1"/>
  <c r="J1494" i="1"/>
  <c r="I1495" i="1"/>
  <c r="J1495" i="1"/>
  <c r="I1496" i="1"/>
  <c r="J1496" i="1"/>
  <c r="I1497" i="1"/>
  <c r="J1497" i="1"/>
  <c r="I1498" i="1"/>
  <c r="J1498" i="1"/>
  <c r="I1499" i="1"/>
  <c r="J1499" i="1"/>
  <c r="I1500" i="1"/>
  <c r="J1500" i="1"/>
  <c r="I1501" i="1"/>
  <c r="J1501" i="1"/>
  <c r="I1502" i="1"/>
  <c r="J1502" i="1"/>
  <c r="I1503" i="1"/>
  <c r="J1503" i="1"/>
  <c r="I1504" i="1"/>
  <c r="J1504" i="1"/>
  <c r="I1505" i="1"/>
  <c r="J1505" i="1"/>
  <c r="I1506" i="1"/>
  <c r="J1506" i="1"/>
  <c r="I1507" i="1"/>
  <c r="J1507" i="1"/>
  <c r="I1508" i="1"/>
  <c r="J1508" i="1"/>
  <c r="I1509" i="1"/>
  <c r="J1509" i="1"/>
  <c r="I1510" i="1"/>
  <c r="J1510" i="1"/>
  <c r="I1511" i="1"/>
  <c r="J1511" i="1"/>
  <c r="I1512" i="1"/>
  <c r="J1512" i="1"/>
  <c r="I1513" i="1"/>
  <c r="J1513" i="1"/>
  <c r="I1514" i="1"/>
  <c r="J1514" i="1"/>
  <c r="I1515" i="1"/>
  <c r="J1515" i="1"/>
  <c r="I1516" i="1"/>
  <c r="J1516" i="1"/>
  <c r="I1517" i="1"/>
  <c r="J1517" i="1"/>
  <c r="I1518" i="1"/>
  <c r="J1518" i="1"/>
  <c r="I1519" i="1"/>
  <c r="J1519" i="1"/>
  <c r="I1520" i="1"/>
  <c r="J1520" i="1"/>
  <c r="I1521" i="1"/>
  <c r="J1521" i="1"/>
  <c r="I1522" i="1"/>
  <c r="J1522" i="1"/>
  <c r="I1523" i="1"/>
  <c r="J1523" i="1"/>
  <c r="I1524" i="1"/>
  <c r="J1524" i="1"/>
  <c r="I1525" i="1"/>
  <c r="J1525" i="1"/>
  <c r="I1526" i="1"/>
  <c r="J1526" i="1"/>
  <c r="I1527" i="1"/>
  <c r="J1527" i="1"/>
  <c r="I1528" i="1"/>
  <c r="J1528" i="1"/>
  <c r="I1529" i="1"/>
  <c r="J1529" i="1"/>
  <c r="I1530" i="1"/>
  <c r="J1530" i="1"/>
  <c r="I1531" i="1"/>
  <c r="J1531" i="1"/>
  <c r="I1532" i="1"/>
  <c r="J1532" i="1"/>
  <c r="I1533" i="1"/>
  <c r="J1533" i="1"/>
  <c r="I1534" i="1"/>
  <c r="J1534" i="1"/>
  <c r="I1535" i="1"/>
  <c r="J1535" i="1"/>
  <c r="I1536" i="1"/>
  <c r="J1536" i="1"/>
  <c r="I1537" i="1"/>
  <c r="J1537" i="1"/>
  <c r="I1538" i="1"/>
  <c r="J1538" i="1"/>
  <c r="I1539" i="1"/>
  <c r="J1539" i="1"/>
  <c r="I1540" i="1"/>
  <c r="J1540" i="1"/>
  <c r="I1541" i="1"/>
  <c r="J1541" i="1"/>
  <c r="I1542" i="1"/>
  <c r="J1542" i="1"/>
  <c r="I1543" i="1"/>
  <c r="J1543" i="1"/>
  <c r="I1544" i="1"/>
  <c r="J1544" i="1"/>
  <c r="I1545" i="1"/>
  <c r="J1545" i="1"/>
  <c r="I1546" i="1"/>
  <c r="J1546" i="1"/>
  <c r="I1547" i="1"/>
  <c r="J1547" i="1"/>
  <c r="I1548" i="1"/>
  <c r="J1548" i="1"/>
  <c r="I1549" i="1"/>
  <c r="J1549" i="1"/>
  <c r="I1550" i="1"/>
  <c r="J1550" i="1"/>
  <c r="I1551" i="1"/>
  <c r="J1551" i="1"/>
  <c r="I1552" i="1"/>
  <c r="J1552" i="1"/>
  <c r="I1553" i="1"/>
  <c r="J1553" i="1"/>
  <c r="I1554" i="1"/>
  <c r="J1554" i="1"/>
  <c r="I1555" i="1"/>
  <c r="J1555" i="1"/>
  <c r="I1556" i="1"/>
  <c r="J1556" i="1"/>
  <c r="I1557" i="1"/>
  <c r="J1557" i="1"/>
  <c r="I1558" i="1"/>
  <c r="J1558" i="1"/>
  <c r="I1559" i="1"/>
  <c r="J1559" i="1"/>
  <c r="I1560" i="1"/>
  <c r="J1560" i="1"/>
  <c r="I1561" i="1"/>
  <c r="J1561" i="1"/>
  <c r="I1562" i="1"/>
  <c r="J1562" i="1"/>
  <c r="I1563" i="1"/>
  <c r="J1563" i="1"/>
  <c r="I1564" i="1"/>
  <c r="J1564" i="1"/>
  <c r="I1565" i="1"/>
  <c r="J1565" i="1"/>
  <c r="I1566" i="1"/>
  <c r="J1566" i="1"/>
  <c r="I1567" i="1"/>
  <c r="J1567" i="1"/>
  <c r="I1568" i="1"/>
  <c r="J1568" i="1"/>
  <c r="I1569" i="1"/>
  <c r="J1569" i="1"/>
  <c r="I1570" i="1"/>
  <c r="J1570" i="1"/>
  <c r="I1571" i="1"/>
  <c r="J1571" i="1"/>
  <c r="I1572" i="1"/>
  <c r="J1572" i="1"/>
  <c r="I1573" i="1"/>
  <c r="J1573" i="1"/>
  <c r="I1574" i="1"/>
  <c r="J1574" i="1"/>
  <c r="I1575" i="1"/>
  <c r="J1575" i="1"/>
  <c r="I1576" i="1"/>
  <c r="J1576" i="1"/>
  <c r="I1577" i="1"/>
  <c r="J1577" i="1"/>
  <c r="I1578" i="1"/>
  <c r="J1578" i="1"/>
  <c r="I1579" i="1"/>
  <c r="J1579" i="1"/>
  <c r="I1580" i="1"/>
  <c r="J1580" i="1"/>
  <c r="I1581" i="1"/>
  <c r="J1581" i="1"/>
  <c r="I1582" i="1"/>
  <c r="J1582" i="1"/>
  <c r="I1583" i="1"/>
  <c r="J1583" i="1"/>
  <c r="I1584" i="1"/>
  <c r="J1584" i="1"/>
  <c r="I1585" i="1"/>
  <c r="J1585" i="1"/>
  <c r="I1586" i="1"/>
  <c r="J1586" i="1"/>
  <c r="I1587" i="1"/>
  <c r="J1587" i="1"/>
  <c r="I1588" i="1"/>
  <c r="J1588" i="1"/>
  <c r="I1589" i="1"/>
  <c r="J1589" i="1"/>
  <c r="I1590" i="1"/>
  <c r="J1590" i="1"/>
  <c r="I1591" i="1"/>
  <c r="J1591" i="1"/>
  <c r="I1592" i="1"/>
  <c r="J1592" i="1"/>
  <c r="I1593" i="1"/>
  <c r="J1593" i="1"/>
  <c r="I1594" i="1"/>
  <c r="J1594" i="1"/>
  <c r="I1595" i="1"/>
  <c r="J1595" i="1"/>
  <c r="I1596" i="1"/>
  <c r="J1596" i="1"/>
  <c r="I1597" i="1"/>
  <c r="J1597" i="1"/>
  <c r="I1598" i="1"/>
  <c r="J1598" i="1"/>
  <c r="I1599" i="1"/>
  <c r="J1599" i="1"/>
  <c r="I1600" i="1"/>
  <c r="J1600" i="1"/>
  <c r="I1601" i="1"/>
  <c r="J1601" i="1"/>
  <c r="I1602" i="1"/>
  <c r="J1602" i="1"/>
  <c r="I1603" i="1"/>
  <c r="J1603" i="1"/>
  <c r="I1604" i="1"/>
  <c r="J1604" i="1"/>
  <c r="I1605" i="1"/>
  <c r="J1605" i="1"/>
  <c r="I1606" i="1"/>
  <c r="J1606" i="1"/>
  <c r="I1607" i="1"/>
  <c r="J1607" i="1"/>
  <c r="I1608" i="1"/>
  <c r="J1608" i="1"/>
  <c r="I1609" i="1"/>
  <c r="J1609" i="1"/>
  <c r="I1610" i="1"/>
  <c r="J1610" i="1"/>
  <c r="I1611" i="1"/>
  <c r="J1611" i="1"/>
  <c r="I1612" i="1"/>
  <c r="J1612" i="1"/>
  <c r="I1613" i="1"/>
  <c r="J1613" i="1"/>
  <c r="I1614" i="1"/>
  <c r="J1614" i="1"/>
  <c r="I1615" i="1"/>
  <c r="J1615" i="1"/>
  <c r="I1616" i="1"/>
  <c r="J1616" i="1"/>
  <c r="I1617" i="1"/>
  <c r="J1617" i="1"/>
  <c r="I1618" i="1"/>
  <c r="J1618" i="1"/>
  <c r="I1619" i="1"/>
  <c r="J1619" i="1"/>
  <c r="I1620" i="1"/>
  <c r="J1620" i="1"/>
  <c r="I1621" i="1"/>
  <c r="J1621" i="1"/>
  <c r="I1622" i="1"/>
  <c r="J1622" i="1"/>
  <c r="I1623" i="1"/>
  <c r="J1623" i="1"/>
  <c r="I1624" i="1"/>
  <c r="J1624" i="1"/>
  <c r="I1625" i="1"/>
  <c r="J1625" i="1"/>
  <c r="I1626" i="1"/>
  <c r="J1626" i="1"/>
  <c r="I1627" i="1"/>
  <c r="J1627" i="1"/>
  <c r="I1628" i="1"/>
  <c r="J1628" i="1"/>
  <c r="I1629" i="1"/>
  <c r="J1629" i="1"/>
  <c r="I1630" i="1"/>
  <c r="J1630" i="1"/>
  <c r="I1631" i="1"/>
  <c r="J1631" i="1"/>
  <c r="I1632" i="1"/>
  <c r="J1632" i="1"/>
  <c r="I1633" i="1"/>
  <c r="J1633" i="1"/>
  <c r="I1634" i="1"/>
  <c r="J1634" i="1"/>
  <c r="I1635" i="1"/>
  <c r="J1635" i="1"/>
  <c r="I1636" i="1"/>
  <c r="J1636" i="1"/>
  <c r="I1637" i="1"/>
  <c r="J1637" i="1"/>
  <c r="I1638" i="1"/>
  <c r="J1638" i="1"/>
  <c r="I1639" i="1"/>
  <c r="J1639" i="1"/>
  <c r="I1640" i="1"/>
  <c r="J1640" i="1"/>
  <c r="I1641" i="1"/>
  <c r="J1641" i="1"/>
  <c r="I1642" i="1"/>
  <c r="J1642" i="1"/>
  <c r="I1643" i="1"/>
  <c r="J1643" i="1"/>
  <c r="I1644" i="1"/>
  <c r="J1644" i="1"/>
  <c r="I1645" i="1"/>
  <c r="J1645" i="1"/>
  <c r="I1646" i="1"/>
  <c r="J1646" i="1"/>
  <c r="I1647" i="1"/>
  <c r="J1647" i="1"/>
  <c r="I1648" i="1"/>
  <c r="J1648" i="1"/>
  <c r="I1649" i="1"/>
  <c r="J1649" i="1"/>
  <c r="I1650" i="1"/>
  <c r="J1650" i="1"/>
  <c r="I1651" i="1"/>
  <c r="J1651" i="1"/>
  <c r="I1652" i="1"/>
  <c r="J1652" i="1"/>
  <c r="I1653" i="1"/>
  <c r="J1653" i="1"/>
  <c r="I1654" i="1"/>
  <c r="J1654" i="1"/>
  <c r="I1655" i="1"/>
  <c r="J1655" i="1"/>
  <c r="I1656" i="1"/>
  <c r="J1656" i="1"/>
  <c r="I1657" i="1"/>
  <c r="J1657" i="1"/>
  <c r="I1658" i="1"/>
  <c r="J1658" i="1"/>
  <c r="I1659" i="1"/>
  <c r="J1659" i="1"/>
  <c r="I1660" i="1"/>
  <c r="J1660" i="1"/>
  <c r="I1661" i="1"/>
  <c r="J1661" i="1"/>
  <c r="I1662" i="1"/>
  <c r="J1662" i="1"/>
  <c r="I1663" i="1"/>
  <c r="J1663" i="1"/>
  <c r="I1664" i="1"/>
  <c r="J1664" i="1"/>
  <c r="I1665" i="1"/>
  <c r="J1665" i="1"/>
  <c r="I1666" i="1"/>
  <c r="J1666" i="1"/>
  <c r="I1667" i="1"/>
  <c r="J1667" i="1"/>
  <c r="I1668" i="1"/>
  <c r="J1668" i="1"/>
  <c r="I1669" i="1"/>
  <c r="J1669" i="1"/>
  <c r="I1670" i="1"/>
  <c r="J1670" i="1"/>
  <c r="I1671" i="1"/>
  <c r="J1671" i="1"/>
  <c r="I1672" i="1"/>
  <c r="J1672" i="1"/>
  <c r="I1673" i="1"/>
  <c r="J1673" i="1"/>
  <c r="I1674" i="1"/>
  <c r="J1674" i="1"/>
  <c r="I1675" i="1"/>
  <c r="J1675" i="1"/>
  <c r="I1676" i="1"/>
  <c r="J1676" i="1"/>
  <c r="I1677" i="1"/>
  <c r="J1677" i="1"/>
  <c r="I1678" i="1"/>
  <c r="J1678" i="1"/>
  <c r="I1679" i="1"/>
  <c r="J1679" i="1"/>
  <c r="I1680" i="1"/>
  <c r="J1680" i="1"/>
  <c r="I1681" i="1"/>
  <c r="J1681" i="1"/>
  <c r="I1682" i="1"/>
  <c r="J1682" i="1"/>
  <c r="I1683" i="1"/>
  <c r="J1683" i="1"/>
  <c r="I1684" i="1"/>
  <c r="J1684" i="1"/>
  <c r="I1685" i="1"/>
  <c r="J1685" i="1"/>
  <c r="I1686" i="1"/>
  <c r="J1686" i="1"/>
  <c r="I1687" i="1"/>
  <c r="J1687" i="1"/>
  <c r="I1688" i="1"/>
  <c r="J1688" i="1"/>
  <c r="I1689" i="1"/>
  <c r="J1689" i="1"/>
  <c r="I1690" i="1"/>
  <c r="J1690" i="1"/>
  <c r="I1691" i="1"/>
  <c r="J1691" i="1"/>
  <c r="I1692" i="1"/>
  <c r="J1692" i="1"/>
  <c r="I1693" i="1"/>
  <c r="J1693" i="1"/>
  <c r="I1694" i="1"/>
  <c r="J1694" i="1"/>
  <c r="I1695" i="1"/>
  <c r="J1695" i="1"/>
  <c r="I1696" i="1"/>
  <c r="J1696" i="1"/>
  <c r="I1697" i="1"/>
  <c r="J1697" i="1"/>
  <c r="I1698" i="1"/>
  <c r="J1698" i="1"/>
  <c r="I1699" i="1"/>
  <c r="J1699" i="1"/>
  <c r="I1700" i="1"/>
  <c r="J1700" i="1"/>
  <c r="I1701" i="1"/>
  <c r="J1701" i="1"/>
  <c r="I1702" i="1"/>
  <c r="J1702" i="1"/>
  <c r="I1703" i="1"/>
  <c r="J1703" i="1"/>
  <c r="I1704" i="1"/>
  <c r="J1704" i="1"/>
  <c r="I1705" i="1"/>
  <c r="J1705" i="1"/>
  <c r="I1706" i="1"/>
  <c r="J1706" i="1"/>
  <c r="I1707" i="1"/>
  <c r="J1707" i="1"/>
  <c r="I1708" i="1"/>
  <c r="J1708" i="1"/>
  <c r="I1709" i="1"/>
  <c r="J1709" i="1"/>
  <c r="I1710" i="1"/>
  <c r="J1710" i="1"/>
  <c r="I1711" i="1"/>
  <c r="J1711" i="1"/>
  <c r="I1712" i="1"/>
  <c r="J1712" i="1"/>
  <c r="I1713" i="1"/>
  <c r="J1713" i="1"/>
  <c r="I1714" i="1"/>
  <c r="J1714" i="1"/>
  <c r="I1715" i="1"/>
  <c r="J1715" i="1"/>
  <c r="I1716" i="1"/>
  <c r="J1716" i="1"/>
  <c r="I1717" i="1"/>
  <c r="J1717" i="1"/>
  <c r="I1718" i="1"/>
  <c r="J1718" i="1"/>
  <c r="I1719" i="1"/>
  <c r="J1719" i="1"/>
  <c r="I1720" i="1"/>
  <c r="J1720" i="1"/>
  <c r="I1721" i="1"/>
  <c r="J1721" i="1"/>
  <c r="I1722" i="1"/>
  <c r="J1722" i="1"/>
  <c r="I1723" i="1"/>
  <c r="J1723" i="1"/>
  <c r="I1724" i="1"/>
  <c r="J1724" i="1"/>
  <c r="I1725" i="1"/>
  <c r="J1725" i="1"/>
  <c r="I1726" i="1"/>
  <c r="J1726" i="1"/>
  <c r="I1727" i="1"/>
  <c r="J1727" i="1"/>
  <c r="I1728" i="1"/>
  <c r="J1728" i="1"/>
  <c r="I1729" i="1"/>
  <c r="J1729" i="1"/>
  <c r="I1730" i="1"/>
  <c r="J1730" i="1"/>
  <c r="I1731" i="1"/>
  <c r="J1731" i="1"/>
  <c r="I1732" i="1"/>
  <c r="J1732" i="1"/>
  <c r="I1733" i="1"/>
  <c r="J1733" i="1"/>
  <c r="I1734" i="1"/>
  <c r="J1734" i="1"/>
  <c r="I1735" i="1"/>
  <c r="J1735" i="1"/>
  <c r="I1736" i="1"/>
  <c r="J1736" i="1"/>
  <c r="I1737" i="1"/>
  <c r="J1737" i="1"/>
  <c r="I1738" i="1"/>
  <c r="J1738" i="1"/>
  <c r="I1739" i="1"/>
  <c r="J1739" i="1"/>
  <c r="I1740" i="1"/>
  <c r="J1740" i="1"/>
  <c r="I1741" i="1"/>
  <c r="J1741" i="1"/>
  <c r="I1742" i="1"/>
  <c r="J1742" i="1"/>
  <c r="I1743" i="1"/>
  <c r="J1743" i="1"/>
  <c r="I1744" i="1"/>
  <c r="J1744" i="1"/>
  <c r="I1745" i="1"/>
  <c r="J1745" i="1"/>
  <c r="I1746" i="1"/>
  <c r="J1746" i="1"/>
  <c r="I1747" i="1"/>
  <c r="J1747" i="1"/>
  <c r="I1748" i="1"/>
  <c r="J1748" i="1"/>
  <c r="I1749" i="1"/>
  <c r="J1749" i="1"/>
  <c r="I1750" i="1"/>
  <c r="J1750" i="1"/>
  <c r="I1751" i="1"/>
  <c r="J1751" i="1"/>
  <c r="I1752" i="1"/>
  <c r="J1752" i="1"/>
  <c r="I1753" i="1"/>
  <c r="J1753" i="1"/>
  <c r="I1754" i="1"/>
  <c r="J1754" i="1"/>
  <c r="I1755" i="1"/>
  <c r="J1755" i="1"/>
  <c r="I1756" i="1"/>
  <c r="J1756" i="1"/>
  <c r="I1757" i="1"/>
  <c r="J1757" i="1"/>
  <c r="I1758" i="1"/>
  <c r="J1758" i="1"/>
  <c r="I1759" i="1"/>
  <c r="J1759" i="1"/>
  <c r="I1760" i="1"/>
  <c r="J1760" i="1"/>
  <c r="I1761" i="1"/>
  <c r="J1761" i="1"/>
  <c r="I1762" i="1"/>
  <c r="J1762" i="1"/>
  <c r="I1763" i="1"/>
  <c r="J1763" i="1"/>
  <c r="I1764" i="1"/>
  <c r="J1764" i="1"/>
  <c r="I1765" i="1"/>
  <c r="J1765" i="1"/>
  <c r="I1766" i="1"/>
  <c r="J1766" i="1"/>
  <c r="I1767" i="1"/>
  <c r="J1767" i="1"/>
  <c r="I1768" i="1"/>
  <c r="J1768" i="1"/>
  <c r="I1769" i="1"/>
  <c r="J1769" i="1"/>
  <c r="I1770" i="1"/>
  <c r="J1770" i="1"/>
  <c r="I1771" i="1"/>
  <c r="J1771" i="1"/>
  <c r="I1772" i="1"/>
  <c r="J1772" i="1"/>
  <c r="I1773" i="1"/>
  <c r="J1773" i="1"/>
  <c r="I1774" i="1"/>
  <c r="J1774" i="1"/>
  <c r="I1775" i="1"/>
  <c r="J1775" i="1"/>
  <c r="I1776" i="1"/>
  <c r="J1776" i="1"/>
  <c r="I1777" i="1"/>
  <c r="J1777" i="1"/>
  <c r="I1778" i="1"/>
  <c r="J1778" i="1"/>
  <c r="I1779" i="1"/>
  <c r="J1779" i="1"/>
  <c r="I1780" i="1"/>
  <c r="J1780" i="1"/>
  <c r="I1781" i="1"/>
  <c r="J1781" i="1"/>
  <c r="I1782" i="1"/>
  <c r="J1782" i="1"/>
  <c r="I1783" i="1"/>
  <c r="J1783" i="1"/>
  <c r="I1784" i="1"/>
  <c r="J1784" i="1"/>
  <c r="I1785" i="1"/>
  <c r="J1785" i="1"/>
  <c r="I1786" i="1"/>
  <c r="J1786" i="1"/>
  <c r="I1787" i="1"/>
  <c r="J1787" i="1"/>
  <c r="I1788" i="1"/>
  <c r="J1788" i="1"/>
  <c r="I1789" i="1"/>
  <c r="J1789" i="1"/>
  <c r="I1790" i="1"/>
  <c r="J1790" i="1"/>
  <c r="I1791" i="1"/>
  <c r="J1791" i="1"/>
  <c r="I1792" i="1"/>
  <c r="J1792" i="1"/>
  <c r="I1793" i="1"/>
  <c r="J1793" i="1"/>
  <c r="I1794" i="1"/>
  <c r="J1794" i="1"/>
  <c r="I1795" i="1"/>
  <c r="J1795" i="1"/>
  <c r="I1796" i="1"/>
  <c r="J1796" i="1"/>
  <c r="I1797" i="1"/>
  <c r="J1797" i="1"/>
  <c r="I1798" i="1"/>
  <c r="J1798" i="1"/>
  <c r="I1799" i="1"/>
  <c r="J1799" i="1"/>
  <c r="I1800" i="1"/>
  <c r="J1800" i="1"/>
  <c r="I1801" i="1"/>
  <c r="J1801" i="1"/>
  <c r="I1802" i="1"/>
  <c r="J1802" i="1"/>
  <c r="I1803" i="1"/>
  <c r="J1803" i="1"/>
  <c r="I1804" i="1"/>
  <c r="J1804" i="1"/>
  <c r="I1805" i="1"/>
  <c r="J1805" i="1"/>
  <c r="I1806" i="1"/>
  <c r="J1806" i="1"/>
  <c r="I1807" i="1"/>
  <c r="J1807" i="1"/>
  <c r="I1808" i="1"/>
  <c r="J1808" i="1"/>
  <c r="I1809" i="1"/>
  <c r="J1809" i="1"/>
  <c r="I1810" i="1"/>
  <c r="J1810" i="1"/>
  <c r="I1811" i="1"/>
  <c r="J1811" i="1"/>
  <c r="I1812" i="1"/>
  <c r="J1812" i="1"/>
  <c r="I1813" i="1"/>
  <c r="J1813" i="1"/>
  <c r="I1814" i="1"/>
  <c r="J1814" i="1"/>
  <c r="I1815" i="1"/>
  <c r="J1815" i="1"/>
  <c r="I1816" i="1"/>
  <c r="J1816" i="1"/>
  <c r="I1817" i="1"/>
  <c r="J1817" i="1"/>
  <c r="I1818" i="1"/>
  <c r="J1818" i="1"/>
  <c r="I1819" i="1"/>
  <c r="J1819" i="1"/>
  <c r="I1820" i="1"/>
  <c r="J1820" i="1"/>
  <c r="I1821" i="1"/>
  <c r="J1821" i="1"/>
  <c r="I1822" i="1"/>
  <c r="J1822" i="1"/>
  <c r="I1823" i="1"/>
  <c r="J1823" i="1"/>
  <c r="I1824" i="1"/>
  <c r="J1824" i="1"/>
  <c r="I1825" i="1"/>
  <c r="J1825" i="1"/>
  <c r="I1826" i="1"/>
  <c r="J1826" i="1"/>
  <c r="I1827" i="1"/>
  <c r="J1827" i="1"/>
  <c r="I1828" i="1"/>
  <c r="J1828" i="1"/>
  <c r="I1829" i="1"/>
  <c r="J1829" i="1"/>
  <c r="I1830" i="1"/>
  <c r="J1830" i="1"/>
  <c r="I1831" i="1"/>
  <c r="J1831" i="1"/>
  <c r="I1832" i="1"/>
  <c r="J1832" i="1"/>
  <c r="I1833" i="1"/>
  <c r="J1833" i="1"/>
  <c r="I1834" i="1"/>
  <c r="J1834" i="1"/>
  <c r="I1835" i="1"/>
  <c r="J1835" i="1"/>
  <c r="I1836" i="1"/>
  <c r="J1836" i="1"/>
  <c r="I1837" i="1"/>
  <c r="J1837" i="1"/>
  <c r="I1838" i="1"/>
  <c r="J1838" i="1"/>
  <c r="I1839" i="1"/>
  <c r="J1839" i="1"/>
  <c r="I1840" i="1"/>
  <c r="J1840" i="1"/>
  <c r="I1841" i="1"/>
  <c r="J1841" i="1"/>
  <c r="I1842" i="1"/>
  <c r="J1842" i="1"/>
  <c r="I1843" i="1"/>
  <c r="J1843" i="1"/>
  <c r="I1844" i="1"/>
  <c r="J1844" i="1"/>
  <c r="I1845" i="1"/>
  <c r="J1845" i="1"/>
  <c r="I1846" i="1"/>
  <c r="J1846" i="1"/>
  <c r="I1847" i="1"/>
  <c r="J1847" i="1"/>
  <c r="I1848" i="1"/>
  <c r="J1848" i="1"/>
  <c r="I1849" i="1"/>
  <c r="J1849" i="1"/>
  <c r="I1850" i="1"/>
  <c r="J1850" i="1"/>
  <c r="I1851" i="1"/>
  <c r="J1851" i="1"/>
  <c r="I1852" i="1"/>
  <c r="J1852" i="1"/>
  <c r="I1853" i="1"/>
  <c r="J1853" i="1"/>
  <c r="I1854" i="1"/>
  <c r="J1854" i="1"/>
  <c r="I1855" i="1"/>
  <c r="J1855" i="1"/>
  <c r="I1856" i="1"/>
  <c r="J1856" i="1"/>
  <c r="I1857" i="1"/>
  <c r="J1857" i="1"/>
  <c r="I1858" i="1"/>
  <c r="J1858" i="1"/>
  <c r="I1859" i="1"/>
  <c r="J1859" i="1"/>
  <c r="I1860" i="1"/>
  <c r="J1860" i="1"/>
  <c r="I1861" i="1"/>
  <c r="J1861" i="1"/>
  <c r="I1862" i="1"/>
  <c r="J1862" i="1"/>
  <c r="I1863" i="1"/>
  <c r="J1863" i="1"/>
  <c r="I1864" i="1"/>
  <c r="J1864" i="1"/>
  <c r="I1865" i="1"/>
  <c r="J1865" i="1"/>
  <c r="I1866" i="1"/>
  <c r="J1866" i="1"/>
  <c r="I1867" i="1"/>
  <c r="J1867" i="1"/>
  <c r="I1868" i="1"/>
  <c r="J1868" i="1"/>
  <c r="I1869" i="1"/>
  <c r="J1869" i="1"/>
  <c r="I1870" i="1"/>
  <c r="J1870" i="1"/>
  <c r="I1871" i="1"/>
  <c r="J1871" i="1"/>
  <c r="I1872" i="1"/>
  <c r="J1872" i="1"/>
  <c r="I1873" i="1"/>
  <c r="J1873" i="1"/>
  <c r="I1874" i="1"/>
  <c r="J1874" i="1"/>
  <c r="I1875" i="1"/>
  <c r="J1875" i="1"/>
  <c r="I1876" i="1"/>
  <c r="J1876" i="1"/>
  <c r="I1877" i="1"/>
  <c r="J1877" i="1"/>
  <c r="I1878" i="1"/>
  <c r="J1878" i="1"/>
  <c r="I1879" i="1"/>
  <c r="J1879" i="1"/>
  <c r="I1880" i="1"/>
  <c r="J1880" i="1"/>
  <c r="I1881" i="1"/>
  <c r="J1881" i="1"/>
  <c r="I1882" i="1"/>
  <c r="J1882" i="1"/>
  <c r="I1883" i="1"/>
  <c r="J1883" i="1"/>
  <c r="I1884" i="1"/>
  <c r="J1884" i="1"/>
  <c r="I1885" i="1"/>
  <c r="J1885" i="1"/>
  <c r="I1886" i="1"/>
  <c r="J1886" i="1"/>
  <c r="I1887" i="1"/>
  <c r="J1887" i="1"/>
  <c r="I1888" i="1"/>
  <c r="J1888" i="1"/>
  <c r="I1889" i="1"/>
  <c r="J1889" i="1"/>
  <c r="I1890" i="1"/>
  <c r="J1890" i="1"/>
  <c r="I1891" i="1"/>
  <c r="J1891" i="1"/>
  <c r="I1892" i="1"/>
  <c r="J1892" i="1"/>
  <c r="I1893" i="1"/>
  <c r="J1893" i="1"/>
  <c r="I1894" i="1"/>
  <c r="J1894" i="1"/>
  <c r="I1895" i="1"/>
  <c r="J1895" i="1"/>
  <c r="I1896" i="1"/>
  <c r="J1896" i="1"/>
  <c r="I1897" i="1"/>
  <c r="J1897" i="1"/>
  <c r="I1898" i="1"/>
  <c r="J1898" i="1"/>
  <c r="I1899" i="1"/>
  <c r="J1899" i="1"/>
  <c r="I1900" i="1"/>
  <c r="J1900" i="1"/>
  <c r="I1901" i="1"/>
  <c r="J1901" i="1"/>
  <c r="I1902" i="1"/>
  <c r="J1902" i="1"/>
  <c r="I1903" i="1"/>
  <c r="J1903" i="1"/>
  <c r="I1904" i="1"/>
  <c r="J1904" i="1"/>
  <c r="I1905" i="1"/>
  <c r="J1905" i="1"/>
  <c r="I1906" i="1"/>
  <c r="J1906" i="1"/>
  <c r="I1907" i="1"/>
  <c r="J1907" i="1"/>
  <c r="I1908" i="1"/>
  <c r="J1908" i="1"/>
  <c r="I1909" i="1"/>
  <c r="J1909" i="1"/>
  <c r="I1910" i="1"/>
  <c r="J1910" i="1"/>
  <c r="I1911" i="1"/>
  <c r="J1911" i="1"/>
  <c r="I1912" i="1"/>
  <c r="J1912" i="1"/>
  <c r="I1913" i="1"/>
  <c r="J1913" i="1"/>
  <c r="I1914" i="1"/>
  <c r="J1914" i="1"/>
  <c r="I1915" i="1"/>
  <c r="J1915" i="1"/>
  <c r="I1916" i="1"/>
  <c r="J1916" i="1"/>
  <c r="I1917" i="1"/>
  <c r="J1917" i="1"/>
  <c r="I1918" i="1"/>
  <c r="J1918" i="1"/>
  <c r="I1919" i="1"/>
  <c r="J1919" i="1"/>
  <c r="I1920" i="1"/>
  <c r="J1920" i="1"/>
  <c r="I1921" i="1"/>
  <c r="J1921" i="1"/>
  <c r="I1922" i="1"/>
  <c r="J1922" i="1"/>
  <c r="I1923" i="1"/>
  <c r="J1923" i="1"/>
  <c r="I1924" i="1"/>
  <c r="J1924" i="1"/>
  <c r="I1925" i="1"/>
  <c r="J1925" i="1"/>
  <c r="I1926" i="1"/>
  <c r="J1926" i="1"/>
  <c r="I1927" i="1"/>
  <c r="J1927" i="1"/>
  <c r="I1928" i="1"/>
  <c r="J1928" i="1"/>
  <c r="I1929" i="1"/>
  <c r="J1929" i="1"/>
  <c r="I1930" i="1"/>
  <c r="J1930" i="1"/>
  <c r="I1931" i="1"/>
  <c r="J1931" i="1"/>
  <c r="I1932" i="1"/>
  <c r="J1932" i="1"/>
  <c r="I1933" i="1"/>
  <c r="J1933" i="1"/>
  <c r="I1934" i="1"/>
  <c r="J1934" i="1"/>
  <c r="I1935" i="1"/>
  <c r="J1935" i="1"/>
  <c r="I1936" i="1"/>
  <c r="J1936" i="1"/>
  <c r="I1937" i="1"/>
  <c r="J1937" i="1"/>
  <c r="I1938" i="1"/>
  <c r="J1938" i="1"/>
  <c r="I1939" i="1"/>
  <c r="J1939" i="1"/>
  <c r="I1940" i="1"/>
  <c r="J1940" i="1"/>
  <c r="I1941" i="1"/>
  <c r="J1941" i="1"/>
  <c r="I1942" i="1"/>
  <c r="J1942" i="1"/>
  <c r="I1943" i="1"/>
  <c r="J1943" i="1"/>
  <c r="I1944" i="1"/>
  <c r="J1944" i="1"/>
  <c r="I1945" i="1"/>
  <c r="J1945" i="1"/>
  <c r="I1946" i="1"/>
  <c r="J1946" i="1"/>
  <c r="I1947" i="1"/>
  <c r="J1947" i="1"/>
  <c r="I1948" i="1"/>
  <c r="J1948" i="1"/>
  <c r="I1949" i="1"/>
  <c r="J1949" i="1"/>
  <c r="I1950" i="1"/>
  <c r="J1950" i="1"/>
  <c r="I1951" i="1"/>
  <c r="J1951" i="1"/>
  <c r="I1952" i="1"/>
  <c r="J1952" i="1"/>
  <c r="I1953" i="1"/>
  <c r="J1953" i="1"/>
  <c r="I1954" i="1"/>
  <c r="J1954" i="1"/>
  <c r="I1955" i="1"/>
  <c r="J1955" i="1"/>
  <c r="I1956" i="1"/>
  <c r="J1956" i="1"/>
  <c r="I1957" i="1"/>
  <c r="J1957" i="1"/>
  <c r="I1958" i="1"/>
  <c r="J1958" i="1"/>
  <c r="I1959" i="1"/>
  <c r="J1959" i="1"/>
  <c r="I1960" i="1"/>
  <c r="J1960" i="1"/>
  <c r="I1961" i="1"/>
  <c r="J1961" i="1"/>
  <c r="I1962" i="1"/>
  <c r="J1962" i="1"/>
  <c r="I1963" i="1"/>
  <c r="J1963" i="1"/>
  <c r="I1964" i="1"/>
  <c r="J1964" i="1"/>
  <c r="I1965" i="1"/>
  <c r="J1965" i="1"/>
  <c r="I1966" i="1"/>
  <c r="J1966" i="1"/>
  <c r="I1967" i="1"/>
  <c r="J1967" i="1"/>
  <c r="I1968" i="1"/>
  <c r="J1968" i="1"/>
  <c r="I1969" i="1"/>
  <c r="J1969" i="1"/>
  <c r="I1970" i="1"/>
  <c r="J1970" i="1"/>
  <c r="I1971" i="1"/>
  <c r="J1971" i="1"/>
  <c r="I1972" i="1"/>
  <c r="J1972" i="1"/>
  <c r="I1973" i="1"/>
  <c r="J1973" i="1"/>
  <c r="I1974" i="1"/>
  <c r="J1974" i="1"/>
  <c r="I1975" i="1"/>
  <c r="J1975" i="1"/>
  <c r="I1976" i="1"/>
  <c r="J1976" i="1"/>
  <c r="I1977" i="1"/>
  <c r="J1977" i="1"/>
  <c r="I1978" i="1"/>
  <c r="J1978" i="1"/>
  <c r="I1979" i="1"/>
  <c r="J1979" i="1"/>
  <c r="I1980" i="1"/>
  <c r="J1980" i="1"/>
  <c r="I1981" i="1"/>
  <c r="J1981" i="1"/>
  <c r="I1982" i="1"/>
  <c r="J1982" i="1"/>
  <c r="J4" i="1"/>
  <c r="I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4" i="1"/>
  <c r="F7" i="1"/>
  <c r="F4" i="1"/>
  <c r="F5" i="1"/>
  <c r="F6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3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F547" i="1" s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2" i="1"/>
</calcChain>
</file>

<file path=xl/sharedStrings.xml><?xml version="1.0" encoding="utf-8"?>
<sst xmlns="http://schemas.openxmlformats.org/spreadsheetml/2006/main" count="42" uniqueCount="41">
  <si>
    <t>Index</t>
  </si>
  <si>
    <t>CrudeOil</t>
  </si>
  <si>
    <t>ULSD</t>
  </si>
  <si>
    <t>RBOB</t>
  </si>
  <si>
    <t>CrackSpread</t>
  </si>
  <si>
    <t>CrackSpread1</t>
  </si>
  <si>
    <t>CrackSpread2</t>
  </si>
  <si>
    <t>D.CrudeOil1</t>
  </si>
  <si>
    <t>D.USLD1</t>
  </si>
  <si>
    <t>D.RBOB1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</si>
  <si>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</si>
  <si>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</si>
  <si>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</si>
  <si>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</si>
  <si>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</si>
  <si>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</si>
  <si>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</si>
  <si>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</si>
  <si>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</si>
  <si>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</si>
  <si>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</si>
  <si>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</si>
  <si>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</si>
  <si>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</si>
  <si>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</si>
  <si>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</si>
  <si>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</si>
  <si>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</si>
  <si>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</si>
  <si>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</si>
  <si>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</si>
  <si>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</si>
  <si>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</si>
  <si>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</si>
  <si>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</si>
  <si>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X Variable 2</t>
  </si>
  <si>
    <t>X Variable 3</t>
  </si>
  <si>
    <t>X Variable 4</t>
  </si>
  <si>
    <t>X Variable 5</t>
  </si>
  <si>
    <t>Lower 95% Confidence Interval</t>
  </si>
  <si>
    <t>Upper 95% Confidence Interval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</si>
</sst>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0" fillId="0" borderId="0" xfId="0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5946159308177"/>
          <c:y val="7.3477421835294737E-2"/>
          <c:w val="0.80382791884258575"/>
          <c:h val="0.655463938959916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square"/>
              <c:size val="9"/>
              <c:spPr>
                <a:solidFill>
                  <a:schemeClr val="accent1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spPr>
              <a:ln w="6032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29DC-4AE5-ABC0-1ECB8BBEA73B}"/>
              </c:ext>
            </c:extLst>
          </c:dPt>
          <c:xVal>
            <c:numRef>
              <c:f>'CrackSpread-1'!$A$2:$A$1982</c:f>
              <c:numCache>
                <c:formatCode>m/d/yyyy</c:formatCode>
                <c:ptCount val="1981"/>
                <c:pt idx="0">
                  <c:v>40182</c:v>
                </c:pt>
                <c:pt idx="1">
                  <c:v>40184</c:v>
                </c:pt>
                <c:pt idx="2">
                  <c:v>40185</c:v>
                </c:pt>
                <c:pt idx="3">
                  <c:v>40186</c:v>
                </c:pt>
                <c:pt idx="4">
                  <c:v>40189</c:v>
                </c:pt>
                <c:pt idx="5">
                  <c:v>40190</c:v>
                </c:pt>
                <c:pt idx="6">
                  <c:v>40191</c:v>
                </c:pt>
                <c:pt idx="7">
                  <c:v>40192</c:v>
                </c:pt>
                <c:pt idx="8">
                  <c:v>40193</c:v>
                </c:pt>
                <c:pt idx="9">
                  <c:v>40197</c:v>
                </c:pt>
                <c:pt idx="10">
                  <c:v>40198</c:v>
                </c:pt>
                <c:pt idx="11">
                  <c:v>40199</c:v>
                </c:pt>
                <c:pt idx="12">
                  <c:v>40200</c:v>
                </c:pt>
                <c:pt idx="13">
                  <c:v>40203</c:v>
                </c:pt>
                <c:pt idx="14">
                  <c:v>40204</c:v>
                </c:pt>
                <c:pt idx="15">
                  <c:v>40205</c:v>
                </c:pt>
                <c:pt idx="16">
                  <c:v>40206</c:v>
                </c:pt>
                <c:pt idx="17">
                  <c:v>40207</c:v>
                </c:pt>
                <c:pt idx="18">
                  <c:v>40210</c:v>
                </c:pt>
                <c:pt idx="19">
                  <c:v>40211</c:v>
                </c:pt>
                <c:pt idx="20">
                  <c:v>40212</c:v>
                </c:pt>
                <c:pt idx="21">
                  <c:v>40213</c:v>
                </c:pt>
                <c:pt idx="22">
                  <c:v>40214</c:v>
                </c:pt>
                <c:pt idx="23">
                  <c:v>40217</c:v>
                </c:pt>
                <c:pt idx="24">
                  <c:v>40218</c:v>
                </c:pt>
                <c:pt idx="25">
                  <c:v>40219</c:v>
                </c:pt>
                <c:pt idx="26">
                  <c:v>40220</c:v>
                </c:pt>
                <c:pt idx="27">
                  <c:v>40221</c:v>
                </c:pt>
                <c:pt idx="28">
                  <c:v>40225</c:v>
                </c:pt>
                <c:pt idx="29">
                  <c:v>40226</c:v>
                </c:pt>
                <c:pt idx="30">
                  <c:v>40227</c:v>
                </c:pt>
                <c:pt idx="31">
                  <c:v>40228</c:v>
                </c:pt>
                <c:pt idx="32">
                  <c:v>40231</c:v>
                </c:pt>
                <c:pt idx="33">
                  <c:v>40233</c:v>
                </c:pt>
                <c:pt idx="34">
                  <c:v>40234</c:v>
                </c:pt>
                <c:pt idx="35">
                  <c:v>40235</c:v>
                </c:pt>
                <c:pt idx="36">
                  <c:v>40238</c:v>
                </c:pt>
                <c:pt idx="37">
                  <c:v>40239</c:v>
                </c:pt>
                <c:pt idx="38">
                  <c:v>40240</c:v>
                </c:pt>
                <c:pt idx="39">
                  <c:v>40241</c:v>
                </c:pt>
                <c:pt idx="40">
                  <c:v>40242</c:v>
                </c:pt>
                <c:pt idx="41">
                  <c:v>40245</c:v>
                </c:pt>
                <c:pt idx="42">
                  <c:v>40246</c:v>
                </c:pt>
                <c:pt idx="43">
                  <c:v>40247</c:v>
                </c:pt>
                <c:pt idx="44">
                  <c:v>40248</c:v>
                </c:pt>
                <c:pt idx="45">
                  <c:v>40249</c:v>
                </c:pt>
                <c:pt idx="46">
                  <c:v>40252</c:v>
                </c:pt>
                <c:pt idx="47">
                  <c:v>40253</c:v>
                </c:pt>
                <c:pt idx="48">
                  <c:v>40254</c:v>
                </c:pt>
                <c:pt idx="49">
                  <c:v>40255</c:v>
                </c:pt>
                <c:pt idx="50">
                  <c:v>40256</c:v>
                </c:pt>
                <c:pt idx="51">
                  <c:v>40259</c:v>
                </c:pt>
                <c:pt idx="52">
                  <c:v>40260</c:v>
                </c:pt>
                <c:pt idx="53">
                  <c:v>40261</c:v>
                </c:pt>
                <c:pt idx="54">
                  <c:v>40262</c:v>
                </c:pt>
                <c:pt idx="55">
                  <c:v>40263</c:v>
                </c:pt>
                <c:pt idx="56">
                  <c:v>40266</c:v>
                </c:pt>
                <c:pt idx="57">
                  <c:v>40267</c:v>
                </c:pt>
                <c:pt idx="58">
                  <c:v>40268</c:v>
                </c:pt>
                <c:pt idx="59">
                  <c:v>40269</c:v>
                </c:pt>
                <c:pt idx="60">
                  <c:v>40273</c:v>
                </c:pt>
                <c:pt idx="61">
                  <c:v>40274</c:v>
                </c:pt>
                <c:pt idx="62">
                  <c:v>40275</c:v>
                </c:pt>
                <c:pt idx="63">
                  <c:v>40276</c:v>
                </c:pt>
                <c:pt idx="64">
                  <c:v>40277</c:v>
                </c:pt>
                <c:pt idx="65">
                  <c:v>40280</c:v>
                </c:pt>
                <c:pt idx="66">
                  <c:v>40281</c:v>
                </c:pt>
                <c:pt idx="67">
                  <c:v>40282</c:v>
                </c:pt>
                <c:pt idx="68">
                  <c:v>40283</c:v>
                </c:pt>
                <c:pt idx="69">
                  <c:v>40284</c:v>
                </c:pt>
                <c:pt idx="70">
                  <c:v>40287</c:v>
                </c:pt>
                <c:pt idx="71">
                  <c:v>40288</c:v>
                </c:pt>
                <c:pt idx="72">
                  <c:v>40289</c:v>
                </c:pt>
                <c:pt idx="73">
                  <c:v>40290</c:v>
                </c:pt>
                <c:pt idx="74">
                  <c:v>40291</c:v>
                </c:pt>
                <c:pt idx="75">
                  <c:v>40294</c:v>
                </c:pt>
                <c:pt idx="76">
                  <c:v>40295</c:v>
                </c:pt>
                <c:pt idx="77">
                  <c:v>40296</c:v>
                </c:pt>
                <c:pt idx="78">
                  <c:v>40297</c:v>
                </c:pt>
                <c:pt idx="79">
                  <c:v>40298</c:v>
                </c:pt>
                <c:pt idx="80">
                  <c:v>40301</c:v>
                </c:pt>
                <c:pt idx="81">
                  <c:v>40302</c:v>
                </c:pt>
                <c:pt idx="82">
                  <c:v>40303</c:v>
                </c:pt>
                <c:pt idx="83">
                  <c:v>40304</c:v>
                </c:pt>
                <c:pt idx="84">
                  <c:v>40305</c:v>
                </c:pt>
                <c:pt idx="85">
                  <c:v>40308</c:v>
                </c:pt>
                <c:pt idx="86">
                  <c:v>40309</c:v>
                </c:pt>
                <c:pt idx="87">
                  <c:v>40310</c:v>
                </c:pt>
                <c:pt idx="88">
                  <c:v>40311</c:v>
                </c:pt>
                <c:pt idx="89">
                  <c:v>40312</c:v>
                </c:pt>
                <c:pt idx="90">
                  <c:v>40315</c:v>
                </c:pt>
                <c:pt idx="91">
                  <c:v>40316</c:v>
                </c:pt>
                <c:pt idx="92">
                  <c:v>40317</c:v>
                </c:pt>
                <c:pt idx="93">
                  <c:v>40318</c:v>
                </c:pt>
                <c:pt idx="94">
                  <c:v>40319</c:v>
                </c:pt>
                <c:pt idx="95">
                  <c:v>40322</c:v>
                </c:pt>
                <c:pt idx="96">
                  <c:v>40323</c:v>
                </c:pt>
                <c:pt idx="97">
                  <c:v>40324</c:v>
                </c:pt>
                <c:pt idx="98">
                  <c:v>40325</c:v>
                </c:pt>
                <c:pt idx="99">
                  <c:v>40326</c:v>
                </c:pt>
                <c:pt idx="100">
                  <c:v>40330</c:v>
                </c:pt>
                <c:pt idx="101">
                  <c:v>40331</c:v>
                </c:pt>
                <c:pt idx="102">
                  <c:v>40332</c:v>
                </c:pt>
                <c:pt idx="103">
                  <c:v>40333</c:v>
                </c:pt>
                <c:pt idx="104">
                  <c:v>40336</c:v>
                </c:pt>
                <c:pt idx="105">
                  <c:v>40337</c:v>
                </c:pt>
                <c:pt idx="106">
                  <c:v>40338</c:v>
                </c:pt>
                <c:pt idx="107">
                  <c:v>40339</c:v>
                </c:pt>
                <c:pt idx="108">
                  <c:v>40340</c:v>
                </c:pt>
                <c:pt idx="109">
                  <c:v>40343</c:v>
                </c:pt>
                <c:pt idx="110">
                  <c:v>40344</c:v>
                </c:pt>
                <c:pt idx="111">
                  <c:v>40345</c:v>
                </c:pt>
                <c:pt idx="112">
                  <c:v>40346</c:v>
                </c:pt>
                <c:pt idx="113">
                  <c:v>40347</c:v>
                </c:pt>
                <c:pt idx="114">
                  <c:v>40350</c:v>
                </c:pt>
                <c:pt idx="115">
                  <c:v>40351</c:v>
                </c:pt>
                <c:pt idx="116">
                  <c:v>40352</c:v>
                </c:pt>
                <c:pt idx="117">
                  <c:v>40353</c:v>
                </c:pt>
                <c:pt idx="118">
                  <c:v>40354</c:v>
                </c:pt>
                <c:pt idx="119">
                  <c:v>40357</c:v>
                </c:pt>
                <c:pt idx="120">
                  <c:v>40358</c:v>
                </c:pt>
                <c:pt idx="121">
                  <c:v>40359</c:v>
                </c:pt>
                <c:pt idx="122">
                  <c:v>40360</c:v>
                </c:pt>
                <c:pt idx="123">
                  <c:v>40361</c:v>
                </c:pt>
                <c:pt idx="124">
                  <c:v>40365</c:v>
                </c:pt>
                <c:pt idx="125">
                  <c:v>40366</c:v>
                </c:pt>
                <c:pt idx="126">
                  <c:v>40367</c:v>
                </c:pt>
                <c:pt idx="127">
                  <c:v>40368</c:v>
                </c:pt>
                <c:pt idx="128">
                  <c:v>40371</c:v>
                </c:pt>
                <c:pt idx="129">
                  <c:v>40372</c:v>
                </c:pt>
                <c:pt idx="130">
                  <c:v>40373</c:v>
                </c:pt>
                <c:pt idx="131">
                  <c:v>40374</c:v>
                </c:pt>
                <c:pt idx="132">
                  <c:v>40375</c:v>
                </c:pt>
                <c:pt idx="133">
                  <c:v>40378</c:v>
                </c:pt>
                <c:pt idx="134">
                  <c:v>40379</c:v>
                </c:pt>
                <c:pt idx="135">
                  <c:v>40380</c:v>
                </c:pt>
                <c:pt idx="136">
                  <c:v>40381</c:v>
                </c:pt>
                <c:pt idx="137">
                  <c:v>40382</c:v>
                </c:pt>
                <c:pt idx="138">
                  <c:v>40385</c:v>
                </c:pt>
                <c:pt idx="139">
                  <c:v>40386</c:v>
                </c:pt>
                <c:pt idx="140">
                  <c:v>40387</c:v>
                </c:pt>
                <c:pt idx="141">
                  <c:v>40388</c:v>
                </c:pt>
                <c:pt idx="142">
                  <c:v>40389</c:v>
                </c:pt>
                <c:pt idx="143">
                  <c:v>40392</c:v>
                </c:pt>
                <c:pt idx="144">
                  <c:v>40393</c:v>
                </c:pt>
                <c:pt idx="145">
                  <c:v>40394</c:v>
                </c:pt>
                <c:pt idx="146">
                  <c:v>40395</c:v>
                </c:pt>
                <c:pt idx="147">
                  <c:v>40396</c:v>
                </c:pt>
                <c:pt idx="148">
                  <c:v>40399</c:v>
                </c:pt>
                <c:pt idx="149">
                  <c:v>40400</c:v>
                </c:pt>
                <c:pt idx="150">
                  <c:v>40401</c:v>
                </c:pt>
                <c:pt idx="151">
                  <c:v>40402</c:v>
                </c:pt>
                <c:pt idx="152">
                  <c:v>40403</c:v>
                </c:pt>
                <c:pt idx="153">
                  <c:v>40406</c:v>
                </c:pt>
                <c:pt idx="154">
                  <c:v>40407</c:v>
                </c:pt>
                <c:pt idx="155">
                  <c:v>40408</c:v>
                </c:pt>
                <c:pt idx="156">
                  <c:v>40409</c:v>
                </c:pt>
                <c:pt idx="157">
                  <c:v>40410</c:v>
                </c:pt>
                <c:pt idx="158">
                  <c:v>40413</c:v>
                </c:pt>
                <c:pt idx="159">
                  <c:v>40414</c:v>
                </c:pt>
                <c:pt idx="160">
                  <c:v>40415</c:v>
                </c:pt>
                <c:pt idx="161">
                  <c:v>40416</c:v>
                </c:pt>
                <c:pt idx="162">
                  <c:v>40417</c:v>
                </c:pt>
                <c:pt idx="163">
                  <c:v>40420</c:v>
                </c:pt>
                <c:pt idx="164">
                  <c:v>40421</c:v>
                </c:pt>
                <c:pt idx="165">
                  <c:v>40422</c:v>
                </c:pt>
                <c:pt idx="166">
                  <c:v>40423</c:v>
                </c:pt>
                <c:pt idx="167">
                  <c:v>40424</c:v>
                </c:pt>
                <c:pt idx="168">
                  <c:v>40428</c:v>
                </c:pt>
                <c:pt idx="169">
                  <c:v>40430</c:v>
                </c:pt>
                <c:pt idx="170">
                  <c:v>40431</c:v>
                </c:pt>
                <c:pt idx="171">
                  <c:v>40434</c:v>
                </c:pt>
                <c:pt idx="172">
                  <c:v>40435</c:v>
                </c:pt>
                <c:pt idx="173">
                  <c:v>40436</c:v>
                </c:pt>
                <c:pt idx="174">
                  <c:v>40437</c:v>
                </c:pt>
                <c:pt idx="175">
                  <c:v>40438</c:v>
                </c:pt>
                <c:pt idx="176">
                  <c:v>40441</c:v>
                </c:pt>
                <c:pt idx="177">
                  <c:v>40442</c:v>
                </c:pt>
                <c:pt idx="178">
                  <c:v>40443</c:v>
                </c:pt>
                <c:pt idx="179">
                  <c:v>40444</c:v>
                </c:pt>
                <c:pt idx="180">
                  <c:v>40445</c:v>
                </c:pt>
                <c:pt idx="181">
                  <c:v>40448</c:v>
                </c:pt>
                <c:pt idx="182">
                  <c:v>40450</c:v>
                </c:pt>
                <c:pt idx="183">
                  <c:v>40451</c:v>
                </c:pt>
                <c:pt idx="184">
                  <c:v>40452</c:v>
                </c:pt>
                <c:pt idx="185">
                  <c:v>40455</c:v>
                </c:pt>
                <c:pt idx="186">
                  <c:v>40456</c:v>
                </c:pt>
                <c:pt idx="187">
                  <c:v>40457</c:v>
                </c:pt>
                <c:pt idx="188">
                  <c:v>40458</c:v>
                </c:pt>
                <c:pt idx="189">
                  <c:v>40459</c:v>
                </c:pt>
                <c:pt idx="190">
                  <c:v>40462</c:v>
                </c:pt>
                <c:pt idx="191">
                  <c:v>40463</c:v>
                </c:pt>
                <c:pt idx="192">
                  <c:v>40464</c:v>
                </c:pt>
                <c:pt idx="193">
                  <c:v>40465</c:v>
                </c:pt>
                <c:pt idx="194">
                  <c:v>40466</c:v>
                </c:pt>
                <c:pt idx="195">
                  <c:v>40469</c:v>
                </c:pt>
                <c:pt idx="196">
                  <c:v>40470</c:v>
                </c:pt>
                <c:pt idx="197">
                  <c:v>40471</c:v>
                </c:pt>
                <c:pt idx="198">
                  <c:v>40472</c:v>
                </c:pt>
                <c:pt idx="199">
                  <c:v>40473</c:v>
                </c:pt>
                <c:pt idx="200">
                  <c:v>40476</c:v>
                </c:pt>
                <c:pt idx="201">
                  <c:v>40477</c:v>
                </c:pt>
                <c:pt idx="202">
                  <c:v>40478</c:v>
                </c:pt>
                <c:pt idx="203">
                  <c:v>40479</c:v>
                </c:pt>
                <c:pt idx="204">
                  <c:v>40480</c:v>
                </c:pt>
                <c:pt idx="205">
                  <c:v>40483</c:v>
                </c:pt>
                <c:pt idx="206">
                  <c:v>40484</c:v>
                </c:pt>
                <c:pt idx="207">
                  <c:v>40485</c:v>
                </c:pt>
                <c:pt idx="208">
                  <c:v>40486</c:v>
                </c:pt>
                <c:pt idx="209">
                  <c:v>40487</c:v>
                </c:pt>
                <c:pt idx="210">
                  <c:v>40490</c:v>
                </c:pt>
                <c:pt idx="211">
                  <c:v>40491</c:v>
                </c:pt>
                <c:pt idx="212">
                  <c:v>40492</c:v>
                </c:pt>
                <c:pt idx="213">
                  <c:v>40493</c:v>
                </c:pt>
                <c:pt idx="214">
                  <c:v>40494</c:v>
                </c:pt>
                <c:pt idx="215">
                  <c:v>40497</c:v>
                </c:pt>
                <c:pt idx="216">
                  <c:v>40498</c:v>
                </c:pt>
                <c:pt idx="217">
                  <c:v>40499</c:v>
                </c:pt>
                <c:pt idx="218">
                  <c:v>40500</c:v>
                </c:pt>
                <c:pt idx="219">
                  <c:v>40501</c:v>
                </c:pt>
                <c:pt idx="220">
                  <c:v>40504</c:v>
                </c:pt>
                <c:pt idx="221">
                  <c:v>40505</c:v>
                </c:pt>
                <c:pt idx="222">
                  <c:v>40506</c:v>
                </c:pt>
                <c:pt idx="223">
                  <c:v>40508</c:v>
                </c:pt>
                <c:pt idx="224">
                  <c:v>40511</c:v>
                </c:pt>
                <c:pt idx="225">
                  <c:v>40512</c:v>
                </c:pt>
                <c:pt idx="226">
                  <c:v>40513</c:v>
                </c:pt>
                <c:pt idx="227">
                  <c:v>40514</c:v>
                </c:pt>
                <c:pt idx="228">
                  <c:v>40515</c:v>
                </c:pt>
                <c:pt idx="229">
                  <c:v>40518</c:v>
                </c:pt>
                <c:pt idx="230">
                  <c:v>40519</c:v>
                </c:pt>
                <c:pt idx="231">
                  <c:v>40520</c:v>
                </c:pt>
                <c:pt idx="232">
                  <c:v>40521</c:v>
                </c:pt>
                <c:pt idx="233">
                  <c:v>40522</c:v>
                </c:pt>
                <c:pt idx="234">
                  <c:v>40525</c:v>
                </c:pt>
                <c:pt idx="235">
                  <c:v>40526</c:v>
                </c:pt>
                <c:pt idx="236">
                  <c:v>40527</c:v>
                </c:pt>
                <c:pt idx="237">
                  <c:v>40528</c:v>
                </c:pt>
                <c:pt idx="238">
                  <c:v>40529</c:v>
                </c:pt>
                <c:pt idx="239">
                  <c:v>40532</c:v>
                </c:pt>
                <c:pt idx="240">
                  <c:v>40533</c:v>
                </c:pt>
                <c:pt idx="241">
                  <c:v>40534</c:v>
                </c:pt>
                <c:pt idx="242">
                  <c:v>40535</c:v>
                </c:pt>
                <c:pt idx="243">
                  <c:v>40539</c:v>
                </c:pt>
                <c:pt idx="244">
                  <c:v>40540</c:v>
                </c:pt>
                <c:pt idx="245">
                  <c:v>40541</c:v>
                </c:pt>
                <c:pt idx="246">
                  <c:v>40542</c:v>
                </c:pt>
                <c:pt idx="247">
                  <c:v>40543</c:v>
                </c:pt>
                <c:pt idx="248">
                  <c:v>40546</c:v>
                </c:pt>
                <c:pt idx="249">
                  <c:v>40547</c:v>
                </c:pt>
                <c:pt idx="250">
                  <c:v>40548</c:v>
                </c:pt>
                <c:pt idx="251">
                  <c:v>40549</c:v>
                </c:pt>
                <c:pt idx="252">
                  <c:v>40550</c:v>
                </c:pt>
                <c:pt idx="253">
                  <c:v>40553</c:v>
                </c:pt>
                <c:pt idx="254">
                  <c:v>40554</c:v>
                </c:pt>
                <c:pt idx="255">
                  <c:v>40555</c:v>
                </c:pt>
                <c:pt idx="256">
                  <c:v>40556</c:v>
                </c:pt>
                <c:pt idx="257">
                  <c:v>40557</c:v>
                </c:pt>
                <c:pt idx="258">
                  <c:v>40561</c:v>
                </c:pt>
                <c:pt idx="259">
                  <c:v>40562</c:v>
                </c:pt>
                <c:pt idx="260">
                  <c:v>40563</c:v>
                </c:pt>
                <c:pt idx="261">
                  <c:v>40564</c:v>
                </c:pt>
                <c:pt idx="262">
                  <c:v>40567</c:v>
                </c:pt>
                <c:pt idx="263">
                  <c:v>40568</c:v>
                </c:pt>
                <c:pt idx="264">
                  <c:v>40569</c:v>
                </c:pt>
                <c:pt idx="265">
                  <c:v>40570</c:v>
                </c:pt>
                <c:pt idx="266">
                  <c:v>40571</c:v>
                </c:pt>
                <c:pt idx="267">
                  <c:v>40574</c:v>
                </c:pt>
                <c:pt idx="268">
                  <c:v>40575</c:v>
                </c:pt>
                <c:pt idx="269">
                  <c:v>40576</c:v>
                </c:pt>
                <c:pt idx="270">
                  <c:v>40577</c:v>
                </c:pt>
                <c:pt idx="271">
                  <c:v>40578</c:v>
                </c:pt>
                <c:pt idx="272">
                  <c:v>40581</c:v>
                </c:pt>
                <c:pt idx="273">
                  <c:v>40582</c:v>
                </c:pt>
                <c:pt idx="274">
                  <c:v>40583</c:v>
                </c:pt>
                <c:pt idx="275">
                  <c:v>40584</c:v>
                </c:pt>
                <c:pt idx="276">
                  <c:v>40585</c:v>
                </c:pt>
                <c:pt idx="277">
                  <c:v>40588</c:v>
                </c:pt>
                <c:pt idx="278">
                  <c:v>40589</c:v>
                </c:pt>
                <c:pt idx="279">
                  <c:v>40590</c:v>
                </c:pt>
                <c:pt idx="280">
                  <c:v>40591</c:v>
                </c:pt>
                <c:pt idx="281">
                  <c:v>40592</c:v>
                </c:pt>
                <c:pt idx="282">
                  <c:v>40596</c:v>
                </c:pt>
                <c:pt idx="283">
                  <c:v>40597</c:v>
                </c:pt>
                <c:pt idx="284">
                  <c:v>40598</c:v>
                </c:pt>
                <c:pt idx="285">
                  <c:v>40599</c:v>
                </c:pt>
                <c:pt idx="286">
                  <c:v>40602</c:v>
                </c:pt>
                <c:pt idx="287">
                  <c:v>40603</c:v>
                </c:pt>
                <c:pt idx="288">
                  <c:v>40604</c:v>
                </c:pt>
                <c:pt idx="289">
                  <c:v>40605</c:v>
                </c:pt>
                <c:pt idx="290">
                  <c:v>40606</c:v>
                </c:pt>
                <c:pt idx="291">
                  <c:v>40609</c:v>
                </c:pt>
                <c:pt idx="292">
                  <c:v>40610</c:v>
                </c:pt>
                <c:pt idx="293">
                  <c:v>40611</c:v>
                </c:pt>
                <c:pt idx="294">
                  <c:v>40612</c:v>
                </c:pt>
                <c:pt idx="295">
                  <c:v>40613</c:v>
                </c:pt>
                <c:pt idx="296">
                  <c:v>40616</c:v>
                </c:pt>
                <c:pt idx="297">
                  <c:v>40617</c:v>
                </c:pt>
                <c:pt idx="298">
                  <c:v>40618</c:v>
                </c:pt>
                <c:pt idx="299">
                  <c:v>40619</c:v>
                </c:pt>
                <c:pt idx="300">
                  <c:v>40620</c:v>
                </c:pt>
                <c:pt idx="301">
                  <c:v>40623</c:v>
                </c:pt>
                <c:pt idx="302">
                  <c:v>40625</c:v>
                </c:pt>
                <c:pt idx="303">
                  <c:v>40626</c:v>
                </c:pt>
                <c:pt idx="304">
                  <c:v>40627</c:v>
                </c:pt>
                <c:pt idx="305">
                  <c:v>40630</c:v>
                </c:pt>
                <c:pt idx="306">
                  <c:v>40631</c:v>
                </c:pt>
                <c:pt idx="307">
                  <c:v>40632</c:v>
                </c:pt>
                <c:pt idx="308">
                  <c:v>40633</c:v>
                </c:pt>
                <c:pt idx="309">
                  <c:v>40634</c:v>
                </c:pt>
                <c:pt idx="310">
                  <c:v>40637</c:v>
                </c:pt>
                <c:pt idx="311">
                  <c:v>40638</c:v>
                </c:pt>
                <c:pt idx="312">
                  <c:v>40639</c:v>
                </c:pt>
                <c:pt idx="313">
                  <c:v>40640</c:v>
                </c:pt>
                <c:pt idx="314">
                  <c:v>40641</c:v>
                </c:pt>
                <c:pt idx="315">
                  <c:v>40645</c:v>
                </c:pt>
                <c:pt idx="316">
                  <c:v>40646</c:v>
                </c:pt>
                <c:pt idx="317">
                  <c:v>40647</c:v>
                </c:pt>
                <c:pt idx="318">
                  <c:v>40648</c:v>
                </c:pt>
                <c:pt idx="319">
                  <c:v>40651</c:v>
                </c:pt>
                <c:pt idx="320">
                  <c:v>40652</c:v>
                </c:pt>
                <c:pt idx="321">
                  <c:v>40653</c:v>
                </c:pt>
                <c:pt idx="322">
                  <c:v>40654</c:v>
                </c:pt>
                <c:pt idx="323">
                  <c:v>40658</c:v>
                </c:pt>
                <c:pt idx="324">
                  <c:v>40659</c:v>
                </c:pt>
                <c:pt idx="325">
                  <c:v>40660</c:v>
                </c:pt>
                <c:pt idx="326">
                  <c:v>40661</c:v>
                </c:pt>
                <c:pt idx="327">
                  <c:v>40662</c:v>
                </c:pt>
                <c:pt idx="328">
                  <c:v>40665</c:v>
                </c:pt>
                <c:pt idx="329">
                  <c:v>40666</c:v>
                </c:pt>
                <c:pt idx="330">
                  <c:v>40667</c:v>
                </c:pt>
                <c:pt idx="331">
                  <c:v>40668</c:v>
                </c:pt>
                <c:pt idx="332">
                  <c:v>40669</c:v>
                </c:pt>
                <c:pt idx="333">
                  <c:v>40672</c:v>
                </c:pt>
                <c:pt idx="334">
                  <c:v>40673</c:v>
                </c:pt>
                <c:pt idx="335">
                  <c:v>40674</c:v>
                </c:pt>
                <c:pt idx="336">
                  <c:v>40675</c:v>
                </c:pt>
                <c:pt idx="337">
                  <c:v>40676</c:v>
                </c:pt>
                <c:pt idx="338">
                  <c:v>40679</c:v>
                </c:pt>
                <c:pt idx="339">
                  <c:v>40680</c:v>
                </c:pt>
                <c:pt idx="340">
                  <c:v>40681</c:v>
                </c:pt>
                <c:pt idx="341">
                  <c:v>40682</c:v>
                </c:pt>
                <c:pt idx="342">
                  <c:v>40683</c:v>
                </c:pt>
                <c:pt idx="343">
                  <c:v>40686</c:v>
                </c:pt>
                <c:pt idx="344">
                  <c:v>40687</c:v>
                </c:pt>
                <c:pt idx="345">
                  <c:v>40688</c:v>
                </c:pt>
                <c:pt idx="346">
                  <c:v>40689</c:v>
                </c:pt>
                <c:pt idx="347">
                  <c:v>40690</c:v>
                </c:pt>
                <c:pt idx="348">
                  <c:v>40694</c:v>
                </c:pt>
                <c:pt idx="349">
                  <c:v>40695</c:v>
                </c:pt>
                <c:pt idx="350">
                  <c:v>40696</c:v>
                </c:pt>
                <c:pt idx="351">
                  <c:v>40697</c:v>
                </c:pt>
                <c:pt idx="352">
                  <c:v>40700</c:v>
                </c:pt>
                <c:pt idx="353">
                  <c:v>40701</c:v>
                </c:pt>
                <c:pt idx="354">
                  <c:v>40702</c:v>
                </c:pt>
                <c:pt idx="355">
                  <c:v>40703</c:v>
                </c:pt>
                <c:pt idx="356">
                  <c:v>40704</c:v>
                </c:pt>
                <c:pt idx="357">
                  <c:v>40707</c:v>
                </c:pt>
                <c:pt idx="358">
                  <c:v>40708</c:v>
                </c:pt>
                <c:pt idx="359">
                  <c:v>40709</c:v>
                </c:pt>
                <c:pt idx="360">
                  <c:v>40710</c:v>
                </c:pt>
                <c:pt idx="361">
                  <c:v>40711</c:v>
                </c:pt>
                <c:pt idx="362">
                  <c:v>40714</c:v>
                </c:pt>
                <c:pt idx="363">
                  <c:v>40715</c:v>
                </c:pt>
                <c:pt idx="364">
                  <c:v>40716</c:v>
                </c:pt>
                <c:pt idx="365">
                  <c:v>40717</c:v>
                </c:pt>
                <c:pt idx="366">
                  <c:v>40718</c:v>
                </c:pt>
                <c:pt idx="367">
                  <c:v>40721</c:v>
                </c:pt>
                <c:pt idx="368">
                  <c:v>40722</c:v>
                </c:pt>
                <c:pt idx="369">
                  <c:v>40723</c:v>
                </c:pt>
                <c:pt idx="370">
                  <c:v>40724</c:v>
                </c:pt>
                <c:pt idx="371">
                  <c:v>40725</c:v>
                </c:pt>
                <c:pt idx="372">
                  <c:v>40729</c:v>
                </c:pt>
                <c:pt idx="373">
                  <c:v>40730</c:v>
                </c:pt>
                <c:pt idx="374">
                  <c:v>40731</c:v>
                </c:pt>
                <c:pt idx="375">
                  <c:v>40732</c:v>
                </c:pt>
                <c:pt idx="376">
                  <c:v>40735</c:v>
                </c:pt>
                <c:pt idx="377">
                  <c:v>40736</c:v>
                </c:pt>
                <c:pt idx="378">
                  <c:v>40737</c:v>
                </c:pt>
                <c:pt idx="379">
                  <c:v>40738</c:v>
                </c:pt>
                <c:pt idx="380">
                  <c:v>40739</c:v>
                </c:pt>
                <c:pt idx="381">
                  <c:v>40742</c:v>
                </c:pt>
                <c:pt idx="382">
                  <c:v>40743</c:v>
                </c:pt>
                <c:pt idx="383">
                  <c:v>40744</c:v>
                </c:pt>
                <c:pt idx="384">
                  <c:v>40745</c:v>
                </c:pt>
                <c:pt idx="385">
                  <c:v>40746</c:v>
                </c:pt>
                <c:pt idx="386">
                  <c:v>40749</c:v>
                </c:pt>
                <c:pt idx="387">
                  <c:v>40750</c:v>
                </c:pt>
                <c:pt idx="388">
                  <c:v>40752</c:v>
                </c:pt>
                <c:pt idx="389">
                  <c:v>40753</c:v>
                </c:pt>
                <c:pt idx="390">
                  <c:v>40756</c:v>
                </c:pt>
                <c:pt idx="391">
                  <c:v>40757</c:v>
                </c:pt>
                <c:pt idx="392">
                  <c:v>40758</c:v>
                </c:pt>
                <c:pt idx="393">
                  <c:v>40759</c:v>
                </c:pt>
                <c:pt idx="394">
                  <c:v>40760</c:v>
                </c:pt>
                <c:pt idx="395">
                  <c:v>40763</c:v>
                </c:pt>
                <c:pt idx="396">
                  <c:v>40764</c:v>
                </c:pt>
                <c:pt idx="397">
                  <c:v>40765</c:v>
                </c:pt>
                <c:pt idx="398">
                  <c:v>40766</c:v>
                </c:pt>
                <c:pt idx="399">
                  <c:v>40767</c:v>
                </c:pt>
                <c:pt idx="400">
                  <c:v>40770</c:v>
                </c:pt>
                <c:pt idx="401">
                  <c:v>40771</c:v>
                </c:pt>
                <c:pt idx="402">
                  <c:v>40772</c:v>
                </c:pt>
                <c:pt idx="403">
                  <c:v>40773</c:v>
                </c:pt>
                <c:pt idx="404">
                  <c:v>40774</c:v>
                </c:pt>
                <c:pt idx="405">
                  <c:v>40777</c:v>
                </c:pt>
                <c:pt idx="406">
                  <c:v>40778</c:v>
                </c:pt>
                <c:pt idx="407">
                  <c:v>40779</c:v>
                </c:pt>
                <c:pt idx="408">
                  <c:v>40780</c:v>
                </c:pt>
                <c:pt idx="409">
                  <c:v>40781</c:v>
                </c:pt>
                <c:pt idx="410">
                  <c:v>40784</c:v>
                </c:pt>
                <c:pt idx="411">
                  <c:v>40785</c:v>
                </c:pt>
                <c:pt idx="412">
                  <c:v>40786</c:v>
                </c:pt>
                <c:pt idx="413">
                  <c:v>40787</c:v>
                </c:pt>
                <c:pt idx="414">
                  <c:v>40788</c:v>
                </c:pt>
                <c:pt idx="415">
                  <c:v>40792</c:v>
                </c:pt>
                <c:pt idx="416">
                  <c:v>40793</c:v>
                </c:pt>
                <c:pt idx="417">
                  <c:v>40794</c:v>
                </c:pt>
                <c:pt idx="418">
                  <c:v>40795</c:v>
                </c:pt>
                <c:pt idx="419">
                  <c:v>40798</c:v>
                </c:pt>
                <c:pt idx="420">
                  <c:v>40799</c:v>
                </c:pt>
                <c:pt idx="421">
                  <c:v>40800</c:v>
                </c:pt>
                <c:pt idx="422">
                  <c:v>40801</c:v>
                </c:pt>
                <c:pt idx="423">
                  <c:v>40802</c:v>
                </c:pt>
                <c:pt idx="424">
                  <c:v>40805</c:v>
                </c:pt>
                <c:pt idx="425">
                  <c:v>40806</c:v>
                </c:pt>
                <c:pt idx="426">
                  <c:v>40807</c:v>
                </c:pt>
                <c:pt idx="427">
                  <c:v>40808</c:v>
                </c:pt>
                <c:pt idx="428">
                  <c:v>40809</c:v>
                </c:pt>
                <c:pt idx="429">
                  <c:v>40812</c:v>
                </c:pt>
                <c:pt idx="430">
                  <c:v>40813</c:v>
                </c:pt>
                <c:pt idx="431">
                  <c:v>40814</c:v>
                </c:pt>
                <c:pt idx="432">
                  <c:v>40815</c:v>
                </c:pt>
                <c:pt idx="433">
                  <c:v>40816</c:v>
                </c:pt>
                <c:pt idx="434">
                  <c:v>40819</c:v>
                </c:pt>
                <c:pt idx="435">
                  <c:v>40820</c:v>
                </c:pt>
                <c:pt idx="436">
                  <c:v>40821</c:v>
                </c:pt>
                <c:pt idx="437">
                  <c:v>40822</c:v>
                </c:pt>
                <c:pt idx="438">
                  <c:v>40823</c:v>
                </c:pt>
                <c:pt idx="439">
                  <c:v>40826</c:v>
                </c:pt>
                <c:pt idx="440">
                  <c:v>40827</c:v>
                </c:pt>
                <c:pt idx="441">
                  <c:v>40828</c:v>
                </c:pt>
                <c:pt idx="442">
                  <c:v>40829</c:v>
                </c:pt>
                <c:pt idx="443">
                  <c:v>40830</c:v>
                </c:pt>
                <c:pt idx="444">
                  <c:v>40833</c:v>
                </c:pt>
                <c:pt idx="445">
                  <c:v>40834</c:v>
                </c:pt>
                <c:pt idx="446">
                  <c:v>40835</c:v>
                </c:pt>
                <c:pt idx="447">
                  <c:v>40836</c:v>
                </c:pt>
                <c:pt idx="448">
                  <c:v>40837</c:v>
                </c:pt>
                <c:pt idx="449">
                  <c:v>40840</c:v>
                </c:pt>
                <c:pt idx="450">
                  <c:v>40841</c:v>
                </c:pt>
                <c:pt idx="451">
                  <c:v>40842</c:v>
                </c:pt>
                <c:pt idx="452">
                  <c:v>40843</c:v>
                </c:pt>
                <c:pt idx="453">
                  <c:v>40844</c:v>
                </c:pt>
                <c:pt idx="454">
                  <c:v>40847</c:v>
                </c:pt>
                <c:pt idx="455">
                  <c:v>40848</c:v>
                </c:pt>
                <c:pt idx="456">
                  <c:v>40849</c:v>
                </c:pt>
                <c:pt idx="457">
                  <c:v>40850</c:v>
                </c:pt>
                <c:pt idx="458">
                  <c:v>40851</c:v>
                </c:pt>
                <c:pt idx="459">
                  <c:v>40854</c:v>
                </c:pt>
                <c:pt idx="460">
                  <c:v>40855</c:v>
                </c:pt>
                <c:pt idx="461">
                  <c:v>40856</c:v>
                </c:pt>
                <c:pt idx="462">
                  <c:v>40857</c:v>
                </c:pt>
                <c:pt idx="463">
                  <c:v>40858</c:v>
                </c:pt>
                <c:pt idx="464">
                  <c:v>40861</c:v>
                </c:pt>
                <c:pt idx="465">
                  <c:v>40862</c:v>
                </c:pt>
                <c:pt idx="466">
                  <c:v>40863</c:v>
                </c:pt>
                <c:pt idx="467">
                  <c:v>40864</c:v>
                </c:pt>
                <c:pt idx="468">
                  <c:v>40865</c:v>
                </c:pt>
                <c:pt idx="469">
                  <c:v>40868</c:v>
                </c:pt>
                <c:pt idx="470">
                  <c:v>40869</c:v>
                </c:pt>
                <c:pt idx="471">
                  <c:v>40870</c:v>
                </c:pt>
                <c:pt idx="472">
                  <c:v>40872</c:v>
                </c:pt>
                <c:pt idx="473">
                  <c:v>40875</c:v>
                </c:pt>
                <c:pt idx="474">
                  <c:v>40876</c:v>
                </c:pt>
                <c:pt idx="475">
                  <c:v>40877</c:v>
                </c:pt>
                <c:pt idx="476">
                  <c:v>40878</c:v>
                </c:pt>
                <c:pt idx="477">
                  <c:v>40879</c:v>
                </c:pt>
                <c:pt idx="478">
                  <c:v>40882</c:v>
                </c:pt>
                <c:pt idx="479">
                  <c:v>40883</c:v>
                </c:pt>
                <c:pt idx="480">
                  <c:v>40884</c:v>
                </c:pt>
                <c:pt idx="481">
                  <c:v>40885</c:v>
                </c:pt>
                <c:pt idx="482">
                  <c:v>40886</c:v>
                </c:pt>
                <c:pt idx="483">
                  <c:v>40889</c:v>
                </c:pt>
                <c:pt idx="484">
                  <c:v>40890</c:v>
                </c:pt>
                <c:pt idx="485">
                  <c:v>40891</c:v>
                </c:pt>
                <c:pt idx="486">
                  <c:v>40892</c:v>
                </c:pt>
                <c:pt idx="487">
                  <c:v>40893</c:v>
                </c:pt>
                <c:pt idx="488">
                  <c:v>40896</c:v>
                </c:pt>
                <c:pt idx="489">
                  <c:v>40897</c:v>
                </c:pt>
                <c:pt idx="490">
                  <c:v>40898</c:v>
                </c:pt>
                <c:pt idx="491">
                  <c:v>40899</c:v>
                </c:pt>
                <c:pt idx="492">
                  <c:v>40900</c:v>
                </c:pt>
                <c:pt idx="493">
                  <c:v>40904</c:v>
                </c:pt>
                <c:pt idx="494">
                  <c:v>40905</c:v>
                </c:pt>
                <c:pt idx="495">
                  <c:v>40906</c:v>
                </c:pt>
                <c:pt idx="496">
                  <c:v>40907</c:v>
                </c:pt>
                <c:pt idx="497">
                  <c:v>40911</c:v>
                </c:pt>
                <c:pt idx="498">
                  <c:v>40912</c:v>
                </c:pt>
                <c:pt idx="499">
                  <c:v>40913</c:v>
                </c:pt>
                <c:pt idx="500">
                  <c:v>40914</c:v>
                </c:pt>
                <c:pt idx="501">
                  <c:v>40917</c:v>
                </c:pt>
                <c:pt idx="502">
                  <c:v>40918</c:v>
                </c:pt>
                <c:pt idx="503">
                  <c:v>40919</c:v>
                </c:pt>
                <c:pt idx="504">
                  <c:v>40920</c:v>
                </c:pt>
                <c:pt idx="505">
                  <c:v>40921</c:v>
                </c:pt>
                <c:pt idx="506">
                  <c:v>40925</c:v>
                </c:pt>
                <c:pt idx="507">
                  <c:v>40926</c:v>
                </c:pt>
                <c:pt idx="508">
                  <c:v>40927</c:v>
                </c:pt>
                <c:pt idx="509">
                  <c:v>40928</c:v>
                </c:pt>
                <c:pt idx="510">
                  <c:v>40931</c:v>
                </c:pt>
                <c:pt idx="511">
                  <c:v>40932</c:v>
                </c:pt>
                <c:pt idx="512">
                  <c:v>40933</c:v>
                </c:pt>
                <c:pt idx="513">
                  <c:v>40934</c:v>
                </c:pt>
                <c:pt idx="514">
                  <c:v>40935</c:v>
                </c:pt>
                <c:pt idx="515">
                  <c:v>40938</c:v>
                </c:pt>
                <c:pt idx="516">
                  <c:v>40939</c:v>
                </c:pt>
                <c:pt idx="517">
                  <c:v>40940</c:v>
                </c:pt>
                <c:pt idx="518">
                  <c:v>40941</c:v>
                </c:pt>
                <c:pt idx="519">
                  <c:v>40942</c:v>
                </c:pt>
                <c:pt idx="520">
                  <c:v>40945</c:v>
                </c:pt>
                <c:pt idx="521">
                  <c:v>40946</c:v>
                </c:pt>
                <c:pt idx="522">
                  <c:v>40947</c:v>
                </c:pt>
                <c:pt idx="523">
                  <c:v>40948</c:v>
                </c:pt>
                <c:pt idx="524">
                  <c:v>40949</c:v>
                </c:pt>
                <c:pt idx="525">
                  <c:v>40952</c:v>
                </c:pt>
                <c:pt idx="526">
                  <c:v>40953</c:v>
                </c:pt>
                <c:pt idx="527">
                  <c:v>40954</c:v>
                </c:pt>
                <c:pt idx="528">
                  <c:v>40955</c:v>
                </c:pt>
                <c:pt idx="529">
                  <c:v>40956</c:v>
                </c:pt>
                <c:pt idx="530">
                  <c:v>40960</c:v>
                </c:pt>
                <c:pt idx="531">
                  <c:v>40961</c:v>
                </c:pt>
                <c:pt idx="532">
                  <c:v>40962</c:v>
                </c:pt>
                <c:pt idx="533">
                  <c:v>40963</c:v>
                </c:pt>
                <c:pt idx="534">
                  <c:v>40966</c:v>
                </c:pt>
                <c:pt idx="535">
                  <c:v>40967</c:v>
                </c:pt>
                <c:pt idx="536">
                  <c:v>40968</c:v>
                </c:pt>
                <c:pt idx="537">
                  <c:v>40969</c:v>
                </c:pt>
                <c:pt idx="538">
                  <c:v>40970</c:v>
                </c:pt>
                <c:pt idx="539">
                  <c:v>40973</c:v>
                </c:pt>
                <c:pt idx="540">
                  <c:v>40974</c:v>
                </c:pt>
                <c:pt idx="541">
                  <c:v>40975</c:v>
                </c:pt>
                <c:pt idx="542">
                  <c:v>40976</c:v>
                </c:pt>
                <c:pt idx="543">
                  <c:v>40977</c:v>
                </c:pt>
                <c:pt idx="544">
                  <c:v>40980</c:v>
                </c:pt>
                <c:pt idx="545">
                  <c:v>40981</c:v>
                </c:pt>
                <c:pt idx="546">
                  <c:v>40982</c:v>
                </c:pt>
                <c:pt idx="547">
                  <c:v>40983</c:v>
                </c:pt>
                <c:pt idx="548">
                  <c:v>40984</c:v>
                </c:pt>
                <c:pt idx="549">
                  <c:v>40987</c:v>
                </c:pt>
                <c:pt idx="550">
                  <c:v>40988</c:v>
                </c:pt>
                <c:pt idx="551">
                  <c:v>40989</c:v>
                </c:pt>
                <c:pt idx="552">
                  <c:v>40990</c:v>
                </c:pt>
                <c:pt idx="553">
                  <c:v>40991</c:v>
                </c:pt>
                <c:pt idx="554">
                  <c:v>40994</c:v>
                </c:pt>
                <c:pt idx="555">
                  <c:v>40995</c:v>
                </c:pt>
                <c:pt idx="556">
                  <c:v>40996</c:v>
                </c:pt>
                <c:pt idx="557">
                  <c:v>40997</c:v>
                </c:pt>
                <c:pt idx="558">
                  <c:v>40998</c:v>
                </c:pt>
                <c:pt idx="559">
                  <c:v>41001</c:v>
                </c:pt>
                <c:pt idx="560">
                  <c:v>41002</c:v>
                </c:pt>
                <c:pt idx="561">
                  <c:v>41003</c:v>
                </c:pt>
                <c:pt idx="562">
                  <c:v>41004</c:v>
                </c:pt>
                <c:pt idx="563">
                  <c:v>41008</c:v>
                </c:pt>
                <c:pt idx="564">
                  <c:v>41009</c:v>
                </c:pt>
                <c:pt idx="565">
                  <c:v>41010</c:v>
                </c:pt>
                <c:pt idx="566">
                  <c:v>41011</c:v>
                </c:pt>
                <c:pt idx="567">
                  <c:v>41012</c:v>
                </c:pt>
                <c:pt idx="568">
                  <c:v>41015</c:v>
                </c:pt>
                <c:pt idx="569">
                  <c:v>41016</c:v>
                </c:pt>
                <c:pt idx="570">
                  <c:v>41017</c:v>
                </c:pt>
                <c:pt idx="571">
                  <c:v>41018</c:v>
                </c:pt>
                <c:pt idx="572">
                  <c:v>41019</c:v>
                </c:pt>
                <c:pt idx="573">
                  <c:v>41022</c:v>
                </c:pt>
                <c:pt idx="574">
                  <c:v>41023</c:v>
                </c:pt>
                <c:pt idx="575">
                  <c:v>41024</c:v>
                </c:pt>
                <c:pt idx="576">
                  <c:v>41025</c:v>
                </c:pt>
                <c:pt idx="577">
                  <c:v>41026</c:v>
                </c:pt>
                <c:pt idx="578">
                  <c:v>41029</c:v>
                </c:pt>
                <c:pt idx="579">
                  <c:v>41030</c:v>
                </c:pt>
                <c:pt idx="580">
                  <c:v>41031</c:v>
                </c:pt>
                <c:pt idx="581">
                  <c:v>41032</c:v>
                </c:pt>
                <c:pt idx="582">
                  <c:v>41033</c:v>
                </c:pt>
                <c:pt idx="583">
                  <c:v>41036</c:v>
                </c:pt>
                <c:pt idx="584">
                  <c:v>41037</c:v>
                </c:pt>
                <c:pt idx="585">
                  <c:v>41038</c:v>
                </c:pt>
                <c:pt idx="586">
                  <c:v>41039</c:v>
                </c:pt>
                <c:pt idx="587">
                  <c:v>41040</c:v>
                </c:pt>
                <c:pt idx="588">
                  <c:v>41043</c:v>
                </c:pt>
                <c:pt idx="589">
                  <c:v>41044</c:v>
                </c:pt>
                <c:pt idx="590">
                  <c:v>41045</c:v>
                </c:pt>
                <c:pt idx="591">
                  <c:v>41046</c:v>
                </c:pt>
                <c:pt idx="592">
                  <c:v>41047</c:v>
                </c:pt>
                <c:pt idx="593">
                  <c:v>41050</c:v>
                </c:pt>
                <c:pt idx="594">
                  <c:v>41051</c:v>
                </c:pt>
                <c:pt idx="595">
                  <c:v>41052</c:v>
                </c:pt>
                <c:pt idx="596">
                  <c:v>41053</c:v>
                </c:pt>
                <c:pt idx="597">
                  <c:v>41054</c:v>
                </c:pt>
                <c:pt idx="598">
                  <c:v>41058</c:v>
                </c:pt>
                <c:pt idx="599">
                  <c:v>41059</c:v>
                </c:pt>
                <c:pt idx="600">
                  <c:v>41060</c:v>
                </c:pt>
                <c:pt idx="601">
                  <c:v>41061</c:v>
                </c:pt>
                <c:pt idx="602">
                  <c:v>41064</c:v>
                </c:pt>
                <c:pt idx="603">
                  <c:v>41065</c:v>
                </c:pt>
                <c:pt idx="604">
                  <c:v>41066</c:v>
                </c:pt>
                <c:pt idx="605">
                  <c:v>41067</c:v>
                </c:pt>
                <c:pt idx="606">
                  <c:v>41068</c:v>
                </c:pt>
                <c:pt idx="607">
                  <c:v>41071</c:v>
                </c:pt>
                <c:pt idx="608">
                  <c:v>41072</c:v>
                </c:pt>
                <c:pt idx="609">
                  <c:v>41073</c:v>
                </c:pt>
                <c:pt idx="610">
                  <c:v>41074</c:v>
                </c:pt>
                <c:pt idx="611">
                  <c:v>41075</c:v>
                </c:pt>
                <c:pt idx="612">
                  <c:v>41078</c:v>
                </c:pt>
                <c:pt idx="613">
                  <c:v>41079</c:v>
                </c:pt>
                <c:pt idx="614">
                  <c:v>41080</c:v>
                </c:pt>
                <c:pt idx="615">
                  <c:v>41081</c:v>
                </c:pt>
                <c:pt idx="616">
                  <c:v>41082</c:v>
                </c:pt>
                <c:pt idx="617">
                  <c:v>41085</c:v>
                </c:pt>
                <c:pt idx="618">
                  <c:v>41086</c:v>
                </c:pt>
                <c:pt idx="619">
                  <c:v>41087</c:v>
                </c:pt>
                <c:pt idx="620">
                  <c:v>41088</c:v>
                </c:pt>
                <c:pt idx="621">
                  <c:v>41089</c:v>
                </c:pt>
                <c:pt idx="622">
                  <c:v>41092</c:v>
                </c:pt>
                <c:pt idx="623">
                  <c:v>41093</c:v>
                </c:pt>
                <c:pt idx="624">
                  <c:v>41095</c:v>
                </c:pt>
                <c:pt idx="625">
                  <c:v>41096</c:v>
                </c:pt>
                <c:pt idx="626">
                  <c:v>41099</c:v>
                </c:pt>
                <c:pt idx="627">
                  <c:v>41100</c:v>
                </c:pt>
                <c:pt idx="628">
                  <c:v>41101</c:v>
                </c:pt>
                <c:pt idx="629">
                  <c:v>41102</c:v>
                </c:pt>
                <c:pt idx="630">
                  <c:v>41103</c:v>
                </c:pt>
                <c:pt idx="631">
                  <c:v>41106</c:v>
                </c:pt>
                <c:pt idx="632">
                  <c:v>41107</c:v>
                </c:pt>
                <c:pt idx="633">
                  <c:v>41108</c:v>
                </c:pt>
                <c:pt idx="634">
                  <c:v>41109</c:v>
                </c:pt>
                <c:pt idx="635">
                  <c:v>41110</c:v>
                </c:pt>
                <c:pt idx="636">
                  <c:v>41113</c:v>
                </c:pt>
                <c:pt idx="637">
                  <c:v>41114</c:v>
                </c:pt>
                <c:pt idx="638">
                  <c:v>41115</c:v>
                </c:pt>
                <c:pt idx="639">
                  <c:v>41116</c:v>
                </c:pt>
                <c:pt idx="640">
                  <c:v>41117</c:v>
                </c:pt>
                <c:pt idx="641">
                  <c:v>41120</c:v>
                </c:pt>
                <c:pt idx="642">
                  <c:v>41121</c:v>
                </c:pt>
                <c:pt idx="643">
                  <c:v>41122</c:v>
                </c:pt>
                <c:pt idx="644">
                  <c:v>41123</c:v>
                </c:pt>
                <c:pt idx="645">
                  <c:v>41124</c:v>
                </c:pt>
                <c:pt idx="646">
                  <c:v>41127</c:v>
                </c:pt>
                <c:pt idx="647">
                  <c:v>41128</c:v>
                </c:pt>
                <c:pt idx="648">
                  <c:v>41129</c:v>
                </c:pt>
                <c:pt idx="649">
                  <c:v>41130</c:v>
                </c:pt>
                <c:pt idx="650">
                  <c:v>41131</c:v>
                </c:pt>
                <c:pt idx="651">
                  <c:v>41134</c:v>
                </c:pt>
                <c:pt idx="652">
                  <c:v>41135</c:v>
                </c:pt>
                <c:pt idx="653">
                  <c:v>41136</c:v>
                </c:pt>
                <c:pt idx="654">
                  <c:v>41137</c:v>
                </c:pt>
                <c:pt idx="655">
                  <c:v>41138</c:v>
                </c:pt>
                <c:pt idx="656">
                  <c:v>41141</c:v>
                </c:pt>
                <c:pt idx="657">
                  <c:v>41142</c:v>
                </c:pt>
                <c:pt idx="658">
                  <c:v>41143</c:v>
                </c:pt>
                <c:pt idx="659">
                  <c:v>41144</c:v>
                </c:pt>
                <c:pt idx="660">
                  <c:v>41145</c:v>
                </c:pt>
                <c:pt idx="661">
                  <c:v>41148</c:v>
                </c:pt>
                <c:pt idx="662">
                  <c:v>41149</c:v>
                </c:pt>
                <c:pt idx="663">
                  <c:v>41150</c:v>
                </c:pt>
                <c:pt idx="664">
                  <c:v>41151</c:v>
                </c:pt>
                <c:pt idx="665">
                  <c:v>41152</c:v>
                </c:pt>
                <c:pt idx="666">
                  <c:v>41156</c:v>
                </c:pt>
                <c:pt idx="667">
                  <c:v>41157</c:v>
                </c:pt>
                <c:pt idx="668">
                  <c:v>41158</c:v>
                </c:pt>
                <c:pt idx="669">
                  <c:v>41159</c:v>
                </c:pt>
                <c:pt idx="670">
                  <c:v>41162</c:v>
                </c:pt>
                <c:pt idx="671">
                  <c:v>41163</c:v>
                </c:pt>
                <c:pt idx="672">
                  <c:v>41164</c:v>
                </c:pt>
                <c:pt idx="673">
                  <c:v>41165</c:v>
                </c:pt>
                <c:pt idx="674">
                  <c:v>41166</c:v>
                </c:pt>
                <c:pt idx="675">
                  <c:v>41169</c:v>
                </c:pt>
                <c:pt idx="676">
                  <c:v>41170</c:v>
                </c:pt>
                <c:pt idx="677">
                  <c:v>41171</c:v>
                </c:pt>
                <c:pt idx="678">
                  <c:v>41172</c:v>
                </c:pt>
                <c:pt idx="679">
                  <c:v>41173</c:v>
                </c:pt>
                <c:pt idx="680">
                  <c:v>41176</c:v>
                </c:pt>
                <c:pt idx="681">
                  <c:v>41177</c:v>
                </c:pt>
                <c:pt idx="682">
                  <c:v>41178</c:v>
                </c:pt>
                <c:pt idx="683">
                  <c:v>41179</c:v>
                </c:pt>
                <c:pt idx="684">
                  <c:v>41180</c:v>
                </c:pt>
                <c:pt idx="685">
                  <c:v>41183</c:v>
                </c:pt>
                <c:pt idx="686">
                  <c:v>41184</c:v>
                </c:pt>
                <c:pt idx="687">
                  <c:v>41185</c:v>
                </c:pt>
                <c:pt idx="688">
                  <c:v>41186</c:v>
                </c:pt>
                <c:pt idx="689">
                  <c:v>41187</c:v>
                </c:pt>
                <c:pt idx="690">
                  <c:v>41190</c:v>
                </c:pt>
                <c:pt idx="691">
                  <c:v>41191</c:v>
                </c:pt>
                <c:pt idx="692">
                  <c:v>41192</c:v>
                </c:pt>
                <c:pt idx="693">
                  <c:v>41193</c:v>
                </c:pt>
                <c:pt idx="694">
                  <c:v>41194</c:v>
                </c:pt>
                <c:pt idx="695">
                  <c:v>41197</c:v>
                </c:pt>
                <c:pt idx="696">
                  <c:v>41198</c:v>
                </c:pt>
                <c:pt idx="697">
                  <c:v>41199</c:v>
                </c:pt>
                <c:pt idx="698">
                  <c:v>41200</c:v>
                </c:pt>
                <c:pt idx="699">
                  <c:v>41201</c:v>
                </c:pt>
                <c:pt idx="700">
                  <c:v>41204</c:v>
                </c:pt>
                <c:pt idx="701">
                  <c:v>41205</c:v>
                </c:pt>
                <c:pt idx="702">
                  <c:v>41206</c:v>
                </c:pt>
                <c:pt idx="703">
                  <c:v>41207</c:v>
                </c:pt>
                <c:pt idx="704">
                  <c:v>41208</c:v>
                </c:pt>
                <c:pt idx="705">
                  <c:v>41211</c:v>
                </c:pt>
                <c:pt idx="706">
                  <c:v>41212</c:v>
                </c:pt>
                <c:pt idx="707">
                  <c:v>41213</c:v>
                </c:pt>
                <c:pt idx="708">
                  <c:v>41214</c:v>
                </c:pt>
                <c:pt idx="709">
                  <c:v>41215</c:v>
                </c:pt>
                <c:pt idx="710">
                  <c:v>41218</c:v>
                </c:pt>
                <c:pt idx="711">
                  <c:v>41219</c:v>
                </c:pt>
                <c:pt idx="712">
                  <c:v>41220</c:v>
                </c:pt>
                <c:pt idx="713">
                  <c:v>41221</c:v>
                </c:pt>
                <c:pt idx="714">
                  <c:v>41222</c:v>
                </c:pt>
                <c:pt idx="715">
                  <c:v>41225</c:v>
                </c:pt>
                <c:pt idx="716">
                  <c:v>41226</c:v>
                </c:pt>
                <c:pt idx="717">
                  <c:v>41227</c:v>
                </c:pt>
                <c:pt idx="718">
                  <c:v>41228</c:v>
                </c:pt>
                <c:pt idx="719">
                  <c:v>41229</c:v>
                </c:pt>
                <c:pt idx="720">
                  <c:v>41232</c:v>
                </c:pt>
                <c:pt idx="721">
                  <c:v>41233</c:v>
                </c:pt>
                <c:pt idx="722">
                  <c:v>41234</c:v>
                </c:pt>
                <c:pt idx="723">
                  <c:v>41236</c:v>
                </c:pt>
                <c:pt idx="724">
                  <c:v>41239</c:v>
                </c:pt>
                <c:pt idx="725">
                  <c:v>41240</c:v>
                </c:pt>
                <c:pt idx="726">
                  <c:v>41241</c:v>
                </c:pt>
                <c:pt idx="727">
                  <c:v>41242</c:v>
                </c:pt>
                <c:pt idx="728">
                  <c:v>41243</c:v>
                </c:pt>
                <c:pt idx="729">
                  <c:v>41246</c:v>
                </c:pt>
                <c:pt idx="730">
                  <c:v>41247</c:v>
                </c:pt>
                <c:pt idx="731">
                  <c:v>41248</c:v>
                </c:pt>
                <c:pt idx="732">
                  <c:v>41249</c:v>
                </c:pt>
                <c:pt idx="733">
                  <c:v>41250</c:v>
                </c:pt>
                <c:pt idx="734">
                  <c:v>41253</c:v>
                </c:pt>
                <c:pt idx="735">
                  <c:v>41254</c:v>
                </c:pt>
                <c:pt idx="736">
                  <c:v>41255</c:v>
                </c:pt>
                <c:pt idx="737">
                  <c:v>41256</c:v>
                </c:pt>
                <c:pt idx="738">
                  <c:v>41257</c:v>
                </c:pt>
                <c:pt idx="739">
                  <c:v>41260</c:v>
                </c:pt>
                <c:pt idx="740">
                  <c:v>41261</c:v>
                </c:pt>
                <c:pt idx="741">
                  <c:v>41262</c:v>
                </c:pt>
                <c:pt idx="742">
                  <c:v>41263</c:v>
                </c:pt>
                <c:pt idx="743">
                  <c:v>41264</c:v>
                </c:pt>
                <c:pt idx="744">
                  <c:v>41267</c:v>
                </c:pt>
                <c:pt idx="745">
                  <c:v>41269</c:v>
                </c:pt>
                <c:pt idx="746">
                  <c:v>41270</c:v>
                </c:pt>
                <c:pt idx="747">
                  <c:v>41271</c:v>
                </c:pt>
                <c:pt idx="748">
                  <c:v>41274</c:v>
                </c:pt>
                <c:pt idx="749">
                  <c:v>41276</c:v>
                </c:pt>
                <c:pt idx="750">
                  <c:v>41277</c:v>
                </c:pt>
                <c:pt idx="751">
                  <c:v>41278</c:v>
                </c:pt>
                <c:pt idx="752">
                  <c:v>41281</c:v>
                </c:pt>
                <c:pt idx="753">
                  <c:v>41282</c:v>
                </c:pt>
                <c:pt idx="754">
                  <c:v>41283</c:v>
                </c:pt>
                <c:pt idx="755">
                  <c:v>41284</c:v>
                </c:pt>
                <c:pt idx="756">
                  <c:v>41285</c:v>
                </c:pt>
                <c:pt idx="757">
                  <c:v>41288</c:v>
                </c:pt>
                <c:pt idx="758">
                  <c:v>41289</c:v>
                </c:pt>
                <c:pt idx="759">
                  <c:v>41290</c:v>
                </c:pt>
                <c:pt idx="760">
                  <c:v>41291</c:v>
                </c:pt>
                <c:pt idx="761">
                  <c:v>41292</c:v>
                </c:pt>
                <c:pt idx="762">
                  <c:v>41296</c:v>
                </c:pt>
                <c:pt idx="763">
                  <c:v>41297</c:v>
                </c:pt>
                <c:pt idx="764">
                  <c:v>41298</c:v>
                </c:pt>
                <c:pt idx="765">
                  <c:v>41299</c:v>
                </c:pt>
                <c:pt idx="766">
                  <c:v>41302</c:v>
                </c:pt>
                <c:pt idx="767">
                  <c:v>41303</c:v>
                </c:pt>
                <c:pt idx="768">
                  <c:v>41304</c:v>
                </c:pt>
                <c:pt idx="769">
                  <c:v>41305</c:v>
                </c:pt>
                <c:pt idx="770">
                  <c:v>41306</c:v>
                </c:pt>
                <c:pt idx="771">
                  <c:v>41309</c:v>
                </c:pt>
                <c:pt idx="772">
                  <c:v>41310</c:v>
                </c:pt>
                <c:pt idx="773">
                  <c:v>41311</c:v>
                </c:pt>
                <c:pt idx="774">
                  <c:v>41312</c:v>
                </c:pt>
                <c:pt idx="775">
                  <c:v>41313</c:v>
                </c:pt>
                <c:pt idx="776">
                  <c:v>41316</c:v>
                </c:pt>
                <c:pt idx="777">
                  <c:v>41317</c:v>
                </c:pt>
                <c:pt idx="778">
                  <c:v>41318</c:v>
                </c:pt>
                <c:pt idx="779">
                  <c:v>41319</c:v>
                </c:pt>
                <c:pt idx="780">
                  <c:v>41320</c:v>
                </c:pt>
                <c:pt idx="781">
                  <c:v>41324</c:v>
                </c:pt>
                <c:pt idx="782">
                  <c:v>41325</c:v>
                </c:pt>
                <c:pt idx="783">
                  <c:v>41326</c:v>
                </c:pt>
                <c:pt idx="784">
                  <c:v>41327</c:v>
                </c:pt>
                <c:pt idx="785">
                  <c:v>41330</c:v>
                </c:pt>
                <c:pt idx="786">
                  <c:v>41331</c:v>
                </c:pt>
                <c:pt idx="787">
                  <c:v>41332</c:v>
                </c:pt>
                <c:pt idx="788">
                  <c:v>41333</c:v>
                </c:pt>
                <c:pt idx="789">
                  <c:v>41334</c:v>
                </c:pt>
                <c:pt idx="790">
                  <c:v>41337</c:v>
                </c:pt>
                <c:pt idx="791">
                  <c:v>41338</c:v>
                </c:pt>
                <c:pt idx="792">
                  <c:v>41339</c:v>
                </c:pt>
                <c:pt idx="793">
                  <c:v>41340</c:v>
                </c:pt>
                <c:pt idx="794">
                  <c:v>41341</c:v>
                </c:pt>
                <c:pt idx="795">
                  <c:v>41344</c:v>
                </c:pt>
                <c:pt idx="796">
                  <c:v>41345</c:v>
                </c:pt>
                <c:pt idx="797">
                  <c:v>41346</c:v>
                </c:pt>
                <c:pt idx="798">
                  <c:v>41347</c:v>
                </c:pt>
                <c:pt idx="799">
                  <c:v>41348</c:v>
                </c:pt>
                <c:pt idx="800">
                  <c:v>41351</c:v>
                </c:pt>
                <c:pt idx="801">
                  <c:v>41352</c:v>
                </c:pt>
                <c:pt idx="802">
                  <c:v>41353</c:v>
                </c:pt>
                <c:pt idx="803">
                  <c:v>41354</c:v>
                </c:pt>
                <c:pt idx="804">
                  <c:v>41355</c:v>
                </c:pt>
                <c:pt idx="805">
                  <c:v>41358</c:v>
                </c:pt>
                <c:pt idx="806">
                  <c:v>41359</c:v>
                </c:pt>
                <c:pt idx="807">
                  <c:v>41360</c:v>
                </c:pt>
                <c:pt idx="808">
                  <c:v>41361</c:v>
                </c:pt>
                <c:pt idx="809">
                  <c:v>41365</c:v>
                </c:pt>
                <c:pt idx="810">
                  <c:v>41366</c:v>
                </c:pt>
                <c:pt idx="811">
                  <c:v>41367</c:v>
                </c:pt>
                <c:pt idx="812">
                  <c:v>41368</c:v>
                </c:pt>
                <c:pt idx="813">
                  <c:v>41369</c:v>
                </c:pt>
                <c:pt idx="814">
                  <c:v>41372</c:v>
                </c:pt>
                <c:pt idx="815">
                  <c:v>41373</c:v>
                </c:pt>
                <c:pt idx="816">
                  <c:v>41374</c:v>
                </c:pt>
                <c:pt idx="817">
                  <c:v>41375</c:v>
                </c:pt>
                <c:pt idx="818">
                  <c:v>41376</c:v>
                </c:pt>
                <c:pt idx="819">
                  <c:v>41379</c:v>
                </c:pt>
                <c:pt idx="820">
                  <c:v>41380</c:v>
                </c:pt>
                <c:pt idx="821">
                  <c:v>41381</c:v>
                </c:pt>
                <c:pt idx="822">
                  <c:v>41382</c:v>
                </c:pt>
                <c:pt idx="823">
                  <c:v>41383</c:v>
                </c:pt>
                <c:pt idx="824">
                  <c:v>41386</c:v>
                </c:pt>
                <c:pt idx="825">
                  <c:v>41387</c:v>
                </c:pt>
                <c:pt idx="826">
                  <c:v>41388</c:v>
                </c:pt>
                <c:pt idx="827">
                  <c:v>41389</c:v>
                </c:pt>
                <c:pt idx="828">
                  <c:v>41390</c:v>
                </c:pt>
                <c:pt idx="829">
                  <c:v>41393</c:v>
                </c:pt>
                <c:pt idx="830">
                  <c:v>41394</c:v>
                </c:pt>
                <c:pt idx="831">
                  <c:v>41395</c:v>
                </c:pt>
                <c:pt idx="832">
                  <c:v>41396</c:v>
                </c:pt>
                <c:pt idx="833">
                  <c:v>41397</c:v>
                </c:pt>
                <c:pt idx="834">
                  <c:v>41400</c:v>
                </c:pt>
                <c:pt idx="835">
                  <c:v>41401</c:v>
                </c:pt>
                <c:pt idx="836">
                  <c:v>41402</c:v>
                </c:pt>
                <c:pt idx="837">
                  <c:v>41403</c:v>
                </c:pt>
                <c:pt idx="838">
                  <c:v>41404</c:v>
                </c:pt>
                <c:pt idx="839">
                  <c:v>41407</c:v>
                </c:pt>
                <c:pt idx="840">
                  <c:v>41408</c:v>
                </c:pt>
                <c:pt idx="841">
                  <c:v>41409</c:v>
                </c:pt>
                <c:pt idx="842">
                  <c:v>41410</c:v>
                </c:pt>
                <c:pt idx="843">
                  <c:v>41411</c:v>
                </c:pt>
                <c:pt idx="844">
                  <c:v>41414</c:v>
                </c:pt>
                <c:pt idx="845">
                  <c:v>41415</c:v>
                </c:pt>
                <c:pt idx="846">
                  <c:v>41416</c:v>
                </c:pt>
                <c:pt idx="847">
                  <c:v>41417</c:v>
                </c:pt>
                <c:pt idx="848">
                  <c:v>41418</c:v>
                </c:pt>
                <c:pt idx="849">
                  <c:v>41422</c:v>
                </c:pt>
                <c:pt idx="850">
                  <c:v>41423</c:v>
                </c:pt>
                <c:pt idx="851">
                  <c:v>41424</c:v>
                </c:pt>
                <c:pt idx="852">
                  <c:v>41425</c:v>
                </c:pt>
                <c:pt idx="853">
                  <c:v>41428</c:v>
                </c:pt>
                <c:pt idx="854">
                  <c:v>41429</c:v>
                </c:pt>
                <c:pt idx="855">
                  <c:v>41430</c:v>
                </c:pt>
                <c:pt idx="856">
                  <c:v>41431</c:v>
                </c:pt>
                <c:pt idx="857">
                  <c:v>41432</c:v>
                </c:pt>
                <c:pt idx="858">
                  <c:v>41435</c:v>
                </c:pt>
                <c:pt idx="859">
                  <c:v>41436</c:v>
                </c:pt>
                <c:pt idx="860">
                  <c:v>41437</c:v>
                </c:pt>
                <c:pt idx="861">
                  <c:v>41438</c:v>
                </c:pt>
                <c:pt idx="862">
                  <c:v>41439</c:v>
                </c:pt>
                <c:pt idx="863">
                  <c:v>41442</c:v>
                </c:pt>
                <c:pt idx="864">
                  <c:v>41443</c:v>
                </c:pt>
                <c:pt idx="865">
                  <c:v>41444</c:v>
                </c:pt>
                <c:pt idx="866">
                  <c:v>41445</c:v>
                </c:pt>
                <c:pt idx="867">
                  <c:v>41446</c:v>
                </c:pt>
                <c:pt idx="868">
                  <c:v>41449</c:v>
                </c:pt>
                <c:pt idx="869">
                  <c:v>41450</c:v>
                </c:pt>
                <c:pt idx="870">
                  <c:v>41451</c:v>
                </c:pt>
                <c:pt idx="871">
                  <c:v>41452</c:v>
                </c:pt>
                <c:pt idx="872">
                  <c:v>41453</c:v>
                </c:pt>
                <c:pt idx="873">
                  <c:v>41456</c:v>
                </c:pt>
                <c:pt idx="874">
                  <c:v>41457</c:v>
                </c:pt>
                <c:pt idx="875">
                  <c:v>41458</c:v>
                </c:pt>
                <c:pt idx="876">
                  <c:v>41460</c:v>
                </c:pt>
                <c:pt idx="877">
                  <c:v>41463</c:v>
                </c:pt>
                <c:pt idx="878">
                  <c:v>41464</c:v>
                </c:pt>
                <c:pt idx="879">
                  <c:v>41465</c:v>
                </c:pt>
                <c:pt idx="880">
                  <c:v>41466</c:v>
                </c:pt>
                <c:pt idx="881">
                  <c:v>41467</c:v>
                </c:pt>
                <c:pt idx="882">
                  <c:v>41470</c:v>
                </c:pt>
                <c:pt idx="883">
                  <c:v>41471</c:v>
                </c:pt>
                <c:pt idx="884">
                  <c:v>41472</c:v>
                </c:pt>
                <c:pt idx="885">
                  <c:v>41473</c:v>
                </c:pt>
                <c:pt idx="886">
                  <c:v>41474</c:v>
                </c:pt>
                <c:pt idx="887">
                  <c:v>41477</c:v>
                </c:pt>
                <c:pt idx="888">
                  <c:v>41478</c:v>
                </c:pt>
                <c:pt idx="889">
                  <c:v>41479</c:v>
                </c:pt>
                <c:pt idx="890">
                  <c:v>41480</c:v>
                </c:pt>
                <c:pt idx="891">
                  <c:v>41481</c:v>
                </c:pt>
                <c:pt idx="892">
                  <c:v>41484</c:v>
                </c:pt>
                <c:pt idx="893">
                  <c:v>41485</c:v>
                </c:pt>
                <c:pt idx="894">
                  <c:v>41486</c:v>
                </c:pt>
                <c:pt idx="895">
                  <c:v>41487</c:v>
                </c:pt>
                <c:pt idx="896">
                  <c:v>41488</c:v>
                </c:pt>
                <c:pt idx="897">
                  <c:v>41491</c:v>
                </c:pt>
                <c:pt idx="898">
                  <c:v>41492</c:v>
                </c:pt>
                <c:pt idx="899">
                  <c:v>41493</c:v>
                </c:pt>
                <c:pt idx="900">
                  <c:v>41494</c:v>
                </c:pt>
                <c:pt idx="901">
                  <c:v>41495</c:v>
                </c:pt>
                <c:pt idx="902">
                  <c:v>41498</c:v>
                </c:pt>
                <c:pt idx="903">
                  <c:v>41499</c:v>
                </c:pt>
                <c:pt idx="904">
                  <c:v>41500</c:v>
                </c:pt>
                <c:pt idx="905">
                  <c:v>41501</c:v>
                </c:pt>
                <c:pt idx="906">
                  <c:v>41502</c:v>
                </c:pt>
                <c:pt idx="907">
                  <c:v>41505</c:v>
                </c:pt>
                <c:pt idx="908">
                  <c:v>41506</c:v>
                </c:pt>
                <c:pt idx="909">
                  <c:v>41507</c:v>
                </c:pt>
                <c:pt idx="910">
                  <c:v>41508</c:v>
                </c:pt>
                <c:pt idx="911">
                  <c:v>41509</c:v>
                </c:pt>
                <c:pt idx="912">
                  <c:v>41512</c:v>
                </c:pt>
                <c:pt idx="913">
                  <c:v>41513</c:v>
                </c:pt>
                <c:pt idx="914">
                  <c:v>41514</c:v>
                </c:pt>
                <c:pt idx="915">
                  <c:v>41515</c:v>
                </c:pt>
                <c:pt idx="916">
                  <c:v>41516</c:v>
                </c:pt>
                <c:pt idx="917">
                  <c:v>41520</c:v>
                </c:pt>
                <c:pt idx="918">
                  <c:v>41521</c:v>
                </c:pt>
                <c:pt idx="919">
                  <c:v>41522</c:v>
                </c:pt>
                <c:pt idx="920">
                  <c:v>41523</c:v>
                </c:pt>
                <c:pt idx="921">
                  <c:v>41526</c:v>
                </c:pt>
                <c:pt idx="922">
                  <c:v>41527</c:v>
                </c:pt>
                <c:pt idx="923">
                  <c:v>41528</c:v>
                </c:pt>
                <c:pt idx="924">
                  <c:v>41529</c:v>
                </c:pt>
                <c:pt idx="925">
                  <c:v>41530</c:v>
                </c:pt>
                <c:pt idx="926">
                  <c:v>41533</c:v>
                </c:pt>
                <c:pt idx="927">
                  <c:v>41534</c:v>
                </c:pt>
                <c:pt idx="928">
                  <c:v>41535</c:v>
                </c:pt>
                <c:pt idx="929">
                  <c:v>41536</c:v>
                </c:pt>
                <c:pt idx="930">
                  <c:v>41537</c:v>
                </c:pt>
                <c:pt idx="931">
                  <c:v>41540</c:v>
                </c:pt>
                <c:pt idx="932">
                  <c:v>41541</c:v>
                </c:pt>
                <c:pt idx="933">
                  <c:v>41542</c:v>
                </c:pt>
                <c:pt idx="934">
                  <c:v>41543</c:v>
                </c:pt>
                <c:pt idx="935">
                  <c:v>41544</c:v>
                </c:pt>
                <c:pt idx="936">
                  <c:v>41547</c:v>
                </c:pt>
                <c:pt idx="937">
                  <c:v>41548</c:v>
                </c:pt>
                <c:pt idx="938">
                  <c:v>41549</c:v>
                </c:pt>
                <c:pt idx="939">
                  <c:v>41550</c:v>
                </c:pt>
                <c:pt idx="940">
                  <c:v>41551</c:v>
                </c:pt>
                <c:pt idx="941">
                  <c:v>41554</c:v>
                </c:pt>
                <c:pt idx="942">
                  <c:v>41555</c:v>
                </c:pt>
                <c:pt idx="943">
                  <c:v>41556</c:v>
                </c:pt>
                <c:pt idx="944">
                  <c:v>41557</c:v>
                </c:pt>
                <c:pt idx="945">
                  <c:v>41558</c:v>
                </c:pt>
                <c:pt idx="946">
                  <c:v>41561</c:v>
                </c:pt>
                <c:pt idx="947">
                  <c:v>41562</c:v>
                </c:pt>
                <c:pt idx="948">
                  <c:v>41563</c:v>
                </c:pt>
                <c:pt idx="949">
                  <c:v>41564</c:v>
                </c:pt>
                <c:pt idx="950">
                  <c:v>41565</c:v>
                </c:pt>
                <c:pt idx="951">
                  <c:v>41568</c:v>
                </c:pt>
                <c:pt idx="952">
                  <c:v>41569</c:v>
                </c:pt>
                <c:pt idx="953">
                  <c:v>41570</c:v>
                </c:pt>
                <c:pt idx="954">
                  <c:v>41571</c:v>
                </c:pt>
                <c:pt idx="955">
                  <c:v>41572</c:v>
                </c:pt>
                <c:pt idx="956">
                  <c:v>41575</c:v>
                </c:pt>
                <c:pt idx="957">
                  <c:v>41576</c:v>
                </c:pt>
                <c:pt idx="958">
                  <c:v>41577</c:v>
                </c:pt>
                <c:pt idx="959">
                  <c:v>41578</c:v>
                </c:pt>
                <c:pt idx="960">
                  <c:v>41579</c:v>
                </c:pt>
                <c:pt idx="961">
                  <c:v>41582</c:v>
                </c:pt>
                <c:pt idx="962">
                  <c:v>41583</c:v>
                </c:pt>
                <c:pt idx="963">
                  <c:v>41584</c:v>
                </c:pt>
                <c:pt idx="964">
                  <c:v>41585</c:v>
                </c:pt>
                <c:pt idx="965">
                  <c:v>41586</c:v>
                </c:pt>
                <c:pt idx="966">
                  <c:v>41589</c:v>
                </c:pt>
                <c:pt idx="967">
                  <c:v>41590</c:v>
                </c:pt>
                <c:pt idx="968">
                  <c:v>41591</c:v>
                </c:pt>
                <c:pt idx="969">
                  <c:v>41592</c:v>
                </c:pt>
                <c:pt idx="970">
                  <c:v>41593</c:v>
                </c:pt>
                <c:pt idx="971">
                  <c:v>41596</c:v>
                </c:pt>
                <c:pt idx="972">
                  <c:v>41597</c:v>
                </c:pt>
                <c:pt idx="973">
                  <c:v>41598</c:v>
                </c:pt>
                <c:pt idx="974">
                  <c:v>41599</c:v>
                </c:pt>
                <c:pt idx="975">
                  <c:v>41600</c:v>
                </c:pt>
                <c:pt idx="976">
                  <c:v>41603</c:v>
                </c:pt>
                <c:pt idx="977">
                  <c:v>41604</c:v>
                </c:pt>
                <c:pt idx="978">
                  <c:v>41605</c:v>
                </c:pt>
                <c:pt idx="979">
                  <c:v>41607</c:v>
                </c:pt>
                <c:pt idx="980">
                  <c:v>41610</c:v>
                </c:pt>
                <c:pt idx="981">
                  <c:v>41611</c:v>
                </c:pt>
                <c:pt idx="982">
                  <c:v>41612</c:v>
                </c:pt>
                <c:pt idx="983">
                  <c:v>41613</c:v>
                </c:pt>
                <c:pt idx="984">
                  <c:v>41614</c:v>
                </c:pt>
                <c:pt idx="985">
                  <c:v>41617</c:v>
                </c:pt>
                <c:pt idx="986">
                  <c:v>41618</c:v>
                </c:pt>
                <c:pt idx="987">
                  <c:v>41619</c:v>
                </c:pt>
                <c:pt idx="988">
                  <c:v>41620</c:v>
                </c:pt>
                <c:pt idx="989">
                  <c:v>41621</c:v>
                </c:pt>
                <c:pt idx="990">
                  <c:v>41624</c:v>
                </c:pt>
                <c:pt idx="991">
                  <c:v>41625</c:v>
                </c:pt>
                <c:pt idx="992">
                  <c:v>41626</c:v>
                </c:pt>
                <c:pt idx="993">
                  <c:v>41627</c:v>
                </c:pt>
                <c:pt idx="994">
                  <c:v>41628</c:v>
                </c:pt>
                <c:pt idx="995">
                  <c:v>41631</c:v>
                </c:pt>
                <c:pt idx="996">
                  <c:v>41632</c:v>
                </c:pt>
                <c:pt idx="997">
                  <c:v>41634</c:v>
                </c:pt>
                <c:pt idx="998">
                  <c:v>41635</c:v>
                </c:pt>
                <c:pt idx="999">
                  <c:v>41638</c:v>
                </c:pt>
                <c:pt idx="1000">
                  <c:v>41639</c:v>
                </c:pt>
                <c:pt idx="1001">
                  <c:v>41641</c:v>
                </c:pt>
                <c:pt idx="1002">
                  <c:v>41642</c:v>
                </c:pt>
                <c:pt idx="1003">
                  <c:v>41645</c:v>
                </c:pt>
                <c:pt idx="1004">
                  <c:v>41646</c:v>
                </c:pt>
                <c:pt idx="1005">
                  <c:v>41647</c:v>
                </c:pt>
                <c:pt idx="1006">
                  <c:v>41648</c:v>
                </c:pt>
                <c:pt idx="1007">
                  <c:v>41649</c:v>
                </c:pt>
                <c:pt idx="1008">
                  <c:v>41652</c:v>
                </c:pt>
                <c:pt idx="1009">
                  <c:v>41653</c:v>
                </c:pt>
                <c:pt idx="1010">
                  <c:v>41654</c:v>
                </c:pt>
                <c:pt idx="1011">
                  <c:v>41655</c:v>
                </c:pt>
                <c:pt idx="1012">
                  <c:v>41656</c:v>
                </c:pt>
                <c:pt idx="1013">
                  <c:v>41660</c:v>
                </c:pt>
                <c:pt idx="1014">
                  <c:v>41661</c:v>
                </c:pt>
                <c:pt idx="1015">
                  <c:v>41662</c:v>
                </c:pt>
                <c:pt idx="1016">
                  <c:v>41663</c:v>
                </c:pt>
                <c:pt idx="1017">
                  <c:v>41666</c:v>
                </c:pt>
                <c:pt idx="1018">
                  <c:v>41667</c:v>
                </c:pt>
                <c:pt idx="1019">
                  <c:v>41668</c:v>
                </c:pt>
                <c:pt idx="1020">
                  <c:v>41669</c:v>
                </c:pt>
                <c:pt idx="1021">
                  <c:v>41670</c:v>
                </c:pt>
                <c:pt idx="1022">
                  <c:v>41673</c:v>
                </c:pt>
                <c:pt idx="1023">
                  <c:v>41674</c:v>
                </c:pt>
                <c:pt idx="1024">
                  <c:v>41675</c:v>
                </c:pt>
                <c:pt idx="1025">
                  <c:v>41676</c:v>
                </c:pt>
                <c:pt idx="1026">
                  <c:v>41677</c:v>
                </c:pt>
                <c:pt idx="1027">
                  <c:v>41680</c:v>
                </c:pt>
                <c:pt idx="1028">
                  <c:v>41681</c:v>
                </c:pt>
                <c:pt idx="1029">
                  <c:v>41682</c:v>
                </c:pt>
                <c:pt idx="1030">
                  <c:v>41683</c:v>
                </c:pt>
                <c:pt idx="1031">
                  <c:v>41684</c:v>
                </c:pt>
                <c:pt idx="1032">
                  <c:v>41688</c:v>
                </c:pt>
                <c:pt idx="1033">
                  <c:v>41689</c:v>
                </c:pt>
                <c:pt idx="1034">
                  <c:v>41690</c:v>
                </c:pt>
                <c:pt idx="1035">
                  <c:v>41691</c:v>
                </c:pt>
                <c:pt idx="1036">
                  <c:v>41694</c:v>
                </c:pt>
                <c:pt idx="1037">
                  <c:v>41695</c:v>
                </c:pt>
                <c:pt idx="1038">
                  <c:v>41696</c:v>
                </c:pt>
                <c:pt idx="1039">
                  <c:v>41697</c:v>
                </c:pt>
                <c:pt idx="1040">
                  <c:v>41698</c:v>
                </c:pt>
                <c:pt idx="1041">
                  <c:v>41701</c:v>
                </c:pt>
                <c:pt idx="1042">
                  <c:v>41702</c:v>
                </c:pt>
                <c:pt idx="1043">
                  <c:v>41703</c:v>
                </c:pt>
                <c:pt idx="1044">
                  <c:v>41704</c:v>
                </c:pt>
                <c:pt idx="1045">
                  <c:v>41705</c:v>
                </c:pt>
                <c:pt idx="1046">
                  <c:v>41708</c:v>
                </c:pt>
                <c:pt idx="1047">
                  <c:v>41709</c:v>
                </c:pt>
                <c:pt idx="1048">
                  <c:v>41710</c:v>
                </c:pt>
                <c:pt idx="1049">
                  <c:v>41711</c:v>
                </c:pt>
                <c:pt idx="1050">
                  <c:v>41712</c:v>
                </c:pt>
                <c:pt idx="1051">
                  <c:v>41715</c:v>
                </c:pt>
                <c:pt idx="1052">
                  <c:v>41716</c:v>
                </c:pt>
                <c:pt idx="1053">
                  <c:v>41717</c:v>
                </c:pt>
                <c:pt idx="1054">
                  <c:v>41718</c:v>
                </c:pt>
                <c:pt idx="1055">
                  <c:v>41719</c:v>
                </c:pt>
                <c:pt idx="1056">
                  <c:v>41722</c:v>
                </c:pt>
                <c:pt idx="1057">
                  <c:v>41723</c:v>
                </c:pt>
                <c:pt idx="1058">
                  <c:v>41724</c:v>
                </c:pt>
                <c:pt idx="1059">
                  <c:v>41725</c:v>
                </c:pt>
                <c:pt idx="1060">
                  <c:v>41726</c:v>
                </c:pt>
                <c:pt idx="1061">
                  <c:v>41729</c:v>
                </c:pt>
                <c:pt idx="1062">
                  <c:v>41730</c:v>
                </c:pt>
                <c:pt idx="1063">
                  <c:v>41731</c:v>
                </c:pt>
                <c:pt idx="1064">
                  <c:v>41732</c:v>
                </c:pt>
                <c:pt idx="1065">
                  <c:v>41733</c:v>
                </c:pt>
                <c:pt idx="1066">
                  <c:v>41736</c:v>
                </c:pt>
                <c:pt idx="1067">
                  <c:v>41737</c:v>
                </c:pt>
                <c:pt idx="1068">
                  <c:v>41738</c:v>
                </c:pt>
                <c:pt idx="1069">
                  <c:v>41739</c:v>
                </c:pt>
                <c:pt idx="1070">
                  <c:v>41740</c:v>
                </c:pt>
                <c:pt idx="1071">
                  <c:v>41743</c:v>
                </c:pt>
                <c:pt idx="1072">
                  <c:v>41744</c:v>
                </c:pt>
                <c:pt idx="1073">
                  <c:v>41745</c:v>
                </c:pt>
                <c:pt idx="1074">
                  <c:v>41746</c:v>
                </c:pt>
                <c:pt idx="1075">
                  <c:v>41750</c:v>
                </c:pt>
                <c:pt idx="1076">
                  <c:v>41751</c:v>
                </c:pt>
                <c:pt idx="1077">
                  <c:v>41752</c:v>
                </c:pt>
                <c:pt idx="1078">
                  <c:v>41753</c:v>
                </c:pt>
                <c:pt idx="1079">
                  <c:v>41754</c:v>
                </c:pt>
                <c:pt idx="1080">
                  <c:v>41757</c:v>
                </c:pt>
                <c:pt idx="1081">
                  <c:v>41758</c:v>
                </c:pt>
                <c:pt idx="1082">
                  <c:v>41759</c:v>
                </c:pt>
                <c:pt idx="1083">
                  <c:v>41760</c:v>
                </c:pt>
                <c:pt idx="1084">
                  <c:v>41761</c:v>
                </c:pt>
                <c:pt idx="1085">
                  <c:v>41764</c:v>
                </c:pt>
                <c:pt idx="1086">
                  <c:v>41765</c:v>
                </c:pt>
                <c:pt idx="1087">
                  <c:v>41766</c:v>
                </c:pt>
                <c:pt idx="1088">
                  <c:v>41767</c:v>
                </c:pt>
                <c:pt idx="1089">
                  <c:v>41768</c:v>
                </c:pt>
                <c:pt idx="1090">
                  <c:v>41771</c:v>
                </c:pt>
                <c:pt idx="1091">
                  <c:v>41772</c:v>
                </c:pt>
                <c:pt idx="1092">
                  <c:v>41773</c:v>
                </c:pt>
                <c:pt idx="1093">
                  <c:v>41774</c:v>
                </c:pt>
                <c:pt idx="1094">
                  <c:v>41775</c:v>
                </c:pt>
                <c:pt idx="1095">
                  <c:v>41778</c:v>
                </c:pt>
                <c:pt idx="1096">
                  <c:v>41779</c:v>
                </c:pt>
                <c:pt idx="1097">
                  <c:v>41780</c:v>
                </c:pt>
                <c:pt idx="1098">
                  <c:v>41781</c:v>
                </c:pt>
                <c:pt idx="1099">
                  <c:v>41782</c:v>
                </c:pt>
                <c:pt idx="1100">
                  <c:v>41786</c:v>
                </c:pt>
                <c:pt idx="1101">
                  <c:v>41787</c:v>
                </c:pt>
                <c:pt idx="1102">
                  <c:v>41788</c:v>
                </c:pt>
                <c:pt idx="1103">
                  <c:v>41789</c:v>
                </c:pt>
                <c:pt idx="1104">
                  <c:v>41792</c:v>
                </c:pt>
                <c:pt idx="1105">
                  <c:v>41793</c:v>
                </c:pt>
                <c:pt idx="1106">
                  <c:v>41794</c:v>
                </c:pt>
                <c:pt idx="1107">
                  <c:v>41795</c:v>
                </c:pt>
                <c:pt idx="1108">
                  <c:v>41796</c:v>
                </c:pt>
                <c:pt idx="1109">
                  <c:v>41799</c:v>
                </c:pt>
                <c:pt idx="1110">
                  <c:v>41800</c:v>
                </c:pt>
                <c:pt idx="1111">
                  <c:v>41801</c:v>
                </c:pt>
                <c:pt idx="1112">
                  <c:v>41802</c:v>
                </c:pt>
                <c:pt idx="1113">
                  <c:v>41803</c:v>
                </c:pt>
                <c:pt idx="1114">
                  <c:v>41806</c:v>
                </c:pt>
                <c:pt idx="1115">
                  <c:v>41807</c:v>
                </c:pt>
                <c:pt idx="1116">
                  <c:v>41808</c:v>
                </c:pt>
                <c:pt idx="1117">
                  <c:v>41809</c:v>
                </c:pt>
                <c:pt idx="1118">
                  <c:v>41810</c:v>
                </c:pt>
                <c:pt idx="1119">
                  <c:v>41813</c:v>
                </c:pt>
                <c:pt idx="1120">
                  <c:v>41814</c:v>
                </c:pt>
                <c:pt idx="1121">
                  <c:v>41815</c:v>
                </c:pt>
                <c:pt idx="1122">
                  <c:v>41816</c:v>
                </c:pt>
                <c:pt idx="1123">
                  <c:v>41817</c:v>
                </c:pt>
                <c:pt idx="1124">
                  <c:v>41820</c:v>
                </c:pt>
                <c:pt idx="1125">
                  <c:v>41821</c:v>
                </c:pt>
                <c:pt idx="1126">
                  <c:v>41822</c:v>
                </c:pt>
                <c:pt idx="1127">
                  <c:v>41823</c:v>
                </c:pt>
                <c:pt idx="1128">
                  <c:v>41827</c:v>
                </c:pt>
                <c:pt idx="1129">
                  <c:v>41828</c:v>
                </c:pt>
                <c:pt idx="1130">
                  <c:v>41829</c:v>
                </c:pt>
                <c:pt idx="1131">
                  <c:v>41830</c:v>
                </c:pt>
                <c:pt idx="1132">
                  <c:v>41831</c:v>
                </c:pt>
                <c:pt idx="1133">
                  <c:v>41834</c:v>
                </c:pt>
                <c:pt idx="1134">
                  <c:v>41835</c:v>
                </c:pt>
                <c:pt idx="1135">
                  <c:v>41836</c:v>
                </c:pt>
                <c:pt idx="1136">
                  <c:v>41837</c:v>
                </c:pt>
                <c:pt idx="1137">
                  <c:v>41838</c:v>
                </c:pt>
                <c:pt idx="1138">
                  <c:v>41841</c:v>
                </c:pt>
                <c:pt idx="1139">
                  <c:v>41842</c:v>
                </c:pt>
                <c:pt idx="1140">
                  <c:v>41843</c:v>
                </c:pt>
                <c:pt idx="1141">
                  <c:v>41844</c:v>
                </c:pt>
                <c:pt idx="1142">
                  <c:v>41845</c:v>
                </c:pt>
                <c:pt idx="1143">
                  <c:v>41848</c:v>
                </c:pt>
                <c:pt idx="1144">
                  <c:v>41849</c:v>
                </c:pt>
                <c:pt idx="1145">
                  <c:v>41850</c:v>
                </c:pt>
                <c:pt idx="1146">
                  <c:v>41851</c:v>
                </c:pt>
                <c:pt idx="1147">
                  <c:v>41852</c:v>
                </c:pt>
                <c:pt idx="1148">
                  <c:v>41855</c:v>
                </c:pt>
                <c:pt idx="1149">
                  <c:v>41856</c:v>
                </c:pt>
                <c:pt idx="1150">
                  <c:v>41857</c:v>
                </c:pt>
                <c:pt idx="1151">
                  <c:v>41858</c:v>
                </c:pt>
                <c:pt idx="1152">
                  <c:v>41859</c:v>
                </c:pt>
                <c:pt idx="1153">
                  <c:v>41862</c:v>
                </c:pt>
                <c:pt idx="1154">
                  <c:v>41863</c:v>
                </c:pt>
                <c:pt idx="1155">
                  <c:v>41864</c:v>
                </c:pt>
                <c:pt idx="1156">
                  <c:v>41865</c:v>
                </c:pt>
                <c:pt idx="1157">
                  <c:v>41866</c:v>
                </c:pt>
                <c:pt idx="1158">
                  <c:v>41869</c:v>
                </c:pt>
                <c:pt idx="1159">
                  <c:v>41870</c:v>
                </c:pt>
                <c:pt idx="1160">
                  <c:v>41871</c:v>
                </c:pt>
                <c:pt idx="1161">
                  <c:v>41872</c:v>
                </c:pt>
                <c:pt idx="1162">
                  <c:v>41873</c:v>
                </c:pt>
                <c:pt idx="1163">
                  <c:v>41876</c:v>
                </c:pt>
                <c:pt idx="1164">
                  <c:v>41877</c:v>
                </c:pt>
                <c:pt idx="1165">
                  <c:v>41878</c:v>
                </c:pt>
                <c:pt idx="1166">
                  <c:v>41879</c:v>
                </c:pt>
                <c:pt idx="1167">
                  <c:v>41880</c:v>
                </c:pt>
                <c:pt idx="1168">
                  <c:v>41884</c:v>
                </c:pt>
                <c:pt idx="1169">
                  <c:v>41885</c:v>
                </c:pt>
                <c:pt idx="1170">
                  <c:v>41886</c:v>
                </c:pt>
                <c:pt idx="1171">
                  <c:v>41887</c:v>
                </c:pt>
                <c:pt idx="1172">
                  <c:v>41890</c:v>
                </c:pt>
                <c:pt idx="1173">
                  <c:v>41891</c:v>
                </c:pt>
                <c:pt idx="1174">
                  <c:v>41892</c:v>
                </c:pt>
                <c:pt idx="1175">
                  <c:v>41893</c:v>
                </c:pt>
                <c:pt idx="1176">
                  <c:v>41894</c:v>
                </c:pt>
                <c:pt idx="1177">
                  <c:v>41897</c:v>
                </c:pt>
                <c:pt idx="1178">
                  <c:v>41898</c:v>
                </c:pt>
                <c:pt idx="1179">
                  <c:v>41899</c:v>
                </c:pt>
                <c:pt idx="1180">
                  <c:v>41900</c:v>
                </c:pt>
                <c:pt idx="1181">
                  <c:v>41901</c:v>
                </c:pt>
                <c:pt idx="1182">
                  <c:v>41904</c:v>
                </c:pt>
                <c:pt idx="1183">
                  <c:v>41905</c:v>
                </c:pt>
                <c:pt idx="1184">
                  <c:v>41906</c:v>
                </c:pt>
                <c:pt idx="1185">
                  <c:v>41907</c:v>
                </c:pt>
                <c:pt idx="1186">
                  <c:v>41908</c:v>
                </c:pt>
                <c:pt idx="1187">
                  <c:v>41911</c:v>
                </c:pt>
                <c:pt idx="1188">
                  <c:v>41912</c:v>
                </c:pt>
                <c:pt idx="1189">
                  <c:v>41913</c:v>
                </c:pt>
                <c:pt idx="1190">
                  <c:v>41914</c:v>
                </c:pt>
                <c:pt idx="1191">
                  <c:v>41915</c:v>
                </c:pt>
                <c:pt idx="1192">
                  <c:v>41918</c:v>
                </c:pt>
                <c:pt idx="1193">
                  <c:v>41919</c:v>
                </c:pt>
                <c:pt idx="1194">
                  <c:v>41920</c:v>
                </c:pt>
                <c:pt idx="1195">
                  <c:v>41921</c:v>
                </c:pt>
                <c:pt idx="1196">
                  <c:v>41922</c:v>
                </c:pt>
                <c:pt idx="1197">
                  <c:v>41925</c:v>
                </c:pt>
                <c:pt idx="1198">
                  <c:v>41926</c:v>
                </c:pt>
                <c:pt idx="1199">
                  <c:v>41927</c:v>
                </c:pt>
                <c:pt idx="1200">
                  <c:v>41928</c:v>
                </c:pt>
                <c:pt idx="1201">
                  <c:v>41929</c:v>
                </c:pt>
                <c:pt idx="1202">
                  <c:v>41932</c:v>
                </c:pt>
                <c:pt idx="1203">
                  <c:v>41933</c:v>
                </c:pt>
                <c:pt idx="1204">
                  <c:v>41934</c:v>
                </c:pt>
                <c:pt idx="1205">
                  <c:v>41935</c:v>
                </c:pt>
                <c:pt idx="1206">
                  <c:v>41936</c:v>
                </c:pt>
                <c:pt idx="1207">
                  <c:v>41939</c:v>
                </c:pt>
                <c:pt idx="1208">
                  <c:v>41940</c:v>
                </c:pt>
                <c:pt idx="1209">
                  <c:v>41941</c:v>
                </c:pt>
                <c:pt idx="1210">
                  <c:v>41942</c:v>
                </c:pt>
                <c:pt idx="1211">
                  <c:v>41943</c:v>
                </c:pt>
                <c:pt idx="1212">
                  <c:v>41946</c:v>
                </c:pt>
                <c:pt idx="1213">
                  <c:v>41947</c:v>
                </c:pt>
                <c:pt idx="1214">
                  <c:v>41948</c:v>
                </c:pt>
                <c:pt idx="1215">
                  <c:v>41949</c:v>
                </c:pt>
                <c:pt idx="1216">
                  <c:v>41950</c:v>
                </c:pt>
                <c:pt idx="1217">
                  <c:v>41953</c:v>
                </c:pt>
                <c:pt idx="1218">
                  <c:v>41954</c:v>
                </c:pt>
                <c:pt idx="1219">
                  <c:v>41955</c:v>
                </c:pt>
                <c:pt idx="1220">
                  <c:v>41956</c:v>
                </c:pt>
                <c:pt idx="1221">
                  <c:v>41957</c:v>
                </c:pt>
                <c:pt idx="1222">
                  <c:v>41960</c:v>
                </c:pt>
                <c:pt idx="1223">
                  <c:v>41961</c:v>
                </c:pt>
                <c:pt idx="1224">
                  <c:v>41962</c:v>
                </c:pt>
                <c:pt idx="1225">
                  <c:v>41963</c:v>
                </c:pt>
                <c:pt idx="1226">
                  <c:v>41964</c:v>
                </c:pt>
                <c:pt idx="1227">
                  <c:v>41967</c:v>
                </c:pt>
                <c:pt idx="1228">
                  <c:v>41968</c:v>
                </c:pt>
                <c:pt idx="1229">
                  <c:v>41969</c:v>
                </c:pt>
                <c:pt idx="1230">
                  <c:v>41971</c:v>
                </c:pt>
                <c:pt idx="1231">
                  <c:v>41974</c:v>
                </c:pt>
                <c:pt idx="1232">
                  <c:v>41975</c:v>
                </c:pt>
                <c:pt idx="1233">
                  <c:v>41976</c:v>
                </c:pt>
                <c:pt idx="1234">
                  <c:v>41977</c:v>
                </c:pt>
                <c:pt idx="1235">
                  <c:v>41978</c:v>
                </c:pt>
                <c:pt idx="1236">
                  <c:v>41981</c:v>
                </c:pt>
                <c:pt idx="1237">
                  <c:v>41982</c:v>
                </c:pt>
                <c:pt idx="1238">
                  <c:v>41983</c:v>
                </c:pt>
                <c:pt idx="1239">
                  <c:v>41984</c:v>
                </c:pt>
                <c:pt idx="1240">
                  <c:v>41985</c:v>
                </c:pt>
                <c:pt idx="1241">
                  <c:v>41988</c:v>
                </c:pt>
                <c:pt idx="1242">
                  <c:v>41989</c:v>
                </c:pt>
                <c:pt idx="1243">
                  <c:v>41990</c:v>
                </c:pt>
                <c:pt idx="1244">
                  <c:v>41991</c:v>
                </c:pt>
                <c:pt idx="1245">
                  <c:v>41992</c:v>
                </c:pt>
                <c:pt idx="1246">
                  <c:v>41995</c:v>
                </c:pt>
                <c:pt idx="1247">
                  <c:v>41996</c:v>
                </c:pt>
                <c:pt idx="1248">
                  <c:v>41997</c:v>
                </c:pt>
                <c:pt idx="1249">
                  <c:v>41999</c:v>
                </c:pt>
                <c:pt idx="1250">
                  <c:v>42002</c:v>
                </c:pt>
                <c:pt idx="1251">
                  <c:v>42003</c:v>
                </c:pt>
                <c:pt idx="1252">
                  <c:v>42004</c:v>
                </c:pt>
                <c:pt idx="1253">
                  <c:v>42006</c:v>
                </c:pt>
                <c:pt idx="1254">
                  <c:v>42009</c:v>
                </c:pt>
                <c:pt idx="1255">
                  <c:v>42010</c:v>
                </c:pt>
                <c:pt idx="1256">
                  <c:v>42011</c:v>
                </c:pt>
                <c:pt idx="1257">
                  <c:v>42012</c:v>
                </c:pt>
                <c:pt idx="1258">
                  <c:v>42013</c:v>
                </c:pt>
                <c:pt idx="1259">
                  <c:v>42016</c:v>
                </c:pt>
                <c:pt idx="1260">
                  <c:v>42017</c:v>
                </c:pt>
                <c:pt idx="1261">
                  <c:v>42018</c:v>
                </c:pt>
                <c:pt idx="1262">
                  <c:v>42019</c:v>
                </c:pt>
                <c:pt idx="1263">
                  <c:v>42020</c:v>
                </c:pt>
                <c:pt idx="1264">
                  <c:v>42024</c:v>
                </c:pt>
                <c:pt idx="1265">
                  <c:v>42025</c:v>
                </c:pt>
                <c:pt idx="1266">
                  <c:v>42026</c:v>
                </c:pt>
                <c:pt idx="1267">
                  <c:v>42027</c:v>
                </c:pt>
                <c:pt idx="1268">
                  <c:v>42030</c:v>
                </c:pt>
                <c:pt idx="1269">
                  <c:v>42031</c:v>
                </c:pt>
                <c:pt idx="1270">
                  <c:v>42032</c:v>
                </c:pt>
                <c:pt idx="1271">
                  <c:v>42033</c:v>
                </c:pt>
                <c:pt idx="1272">
                  <c:v>42034</c:v>
                </c:pt>
                <c:pt idx="1273">
                  <c:v>42037</c:v>
                </c:pt>
                <c:pt idx="1274">
                  <c:v>42038</c:v>
                </c:pt>
                <c:pt idx="1275">
                  <c:v>42039</c:v>
                </c:pt>
                <c:pt idx="1276">
                  <c:v>42040</c:v>
                </c:pt>
                <c:pt idx="1277">
                  <c:v>42041</c:v>
                </c:pt>
                <c:pt idx="1278">
                  <c:v>42044</c:v>
                </c:pt>
                <c:pt idx="1279">
                  <c:v>42045</c:v>
                </c:pt>
                <c:pt idx="1280">
                  <c:v>42046</c:v>
                </c:pt>
                <c:pt idx="1281">
                  <c:v>42047</c:v>
                </c:pt>
                <c:pt idx="1282">
                  <c:v>42048</c:v>
                </c:pt>
                <c:pt idx="1283">
                  <c:v>42052</c:v>
                </c:pt>
                <c:pt idx="1284">
                  <c:v>42053</c:v>
                </c:pt>
                <c:pt idx="1285">
                  <c:v>42054</c:v>
                </c:pt>
                <c:pt idx="1286">
                  <c:v>42055</c:v>
                </c:pt>
                <c:pt idx="1287">
                  <c:v>42058</c:v>
                </c:pt>
                <c:pt idx="1288">
                  <c:v>42059</c:v>
                </c:pt>
                <c:pt idx="1289">
                  <c:v>42060</c:v>
                </c:pt>
                <c:pt idx="1290">
                  <c:v>42061</c:v>
                </c:pt>
                <c:pt idx="1291">
                  <c:v>42062</c:v>
                </c:pt>
                <c:pt idx="1292">
                  <c:v>42065</c:v>
                </c:pt>
                <c:pt idx="1293">
                  <c:v>42066</c:v>
                </c:pt>
                <c:pt idx="1294">
                  <c:v>42067</c:v>
                </c:pt>
                <c:pt idx="1295">
                  <c:v>42068</c:v>
                </c:pt>
                <c:pt idx="1296">
                  <c:v>42069</c:v>
                </c:pt>
                <c:pt idx="1297">
                  <c:v>42072</c:v>
                </c:pt>
                <c:pt idx="1298">
                  <c:v>42073</c:v>
                </c:pt>
                <c:pt idx="1299">
                  <c:v>42074</c:v>
                </c:pt>
                <c:pt idx="1300">
                  <c:v>42075</c:v>
                </c:pt>
                <c:pt idx="1301">
                  <c:v>42076</c:v>
                </c:pt>
                <c:pt idx="1302">
                  <c:v>42079</c:v>
                </c:pt>
                <c:pt idx="1303">
                  <c:v>42080</c:v>
                </c:pt>
                <c:pt idx="1304">
                  <c:v>42081</c:v>
                </c:pt>
                <c:pt idx="1305">
                  <c:v>42082</c:v>
                </c:pt>
                <c:pt idx="1306">
                  <c:v>42083</c:v>
                </c:pt>
                <c:pt idx="1307">
                  <c:v>42086</c:v>
                </c:pt>
                <c:pt idx="1308">
                  <c:v>42087</c:v>
                </c:pt>
                <c:pt idx="1309">
                  <c:v>42088</c:v>
                </c:pt>
                <c:pt idx="1310">
                  <c:v>42089</c:v>
                </c:pt>
                <c:pt idx="1311">
                  <c:v>42090</c:v>
                </c:pt>
                <c:pt idx="1312">
                  <c:v>42093</c:v>
                </c:pt>
                <c:pt idx="1313">
                  <c:v>42094</c:v>
                </c:pt>
                <c:pt idx="1314">
                  <c:v>42095</c:v>
                </c:pt>
                <c:pt idx="1315">
                  <c:v>42096</c:v>
                </c:pt>
                <c:pt idx="1316">
                  <c:v>42100</c:v>
                </c:pt>
                <c:pt idx="1317">
                  <c:v>42101</c:v>
                </c:pt>
                <c:pt idx="1318">
                  <c:v>42102</c:v>
                </c:pt>
                <c:pt idx="1319">
                  <c:v>42103</c:v>
                </c:pt>
                <c:pt idx="1320">
                  <c:v>42104</c:v>
                </c:pt>
                <c:pt idx="1321">
                  <c:v>42107</c:v>
                </c:pt>
                <c:pt idx="1322">
                  <c:v>42108</c:v>
                </c:pt>
                <c:pt idx="1323">
                  <c:v>42109</c:v>
                </c:pt>
                <c:pt idx="1324">
                  <c:v>42110</c:v>
                </c:pt>
                <c:pt idx="1325">
                  <c:v>42111</c:v>
                </c:pt>
                <c:pt idx="1326">
                  <c:v>42114</c:v>
                </c:pt>
                <c:pt idx="1327">
                  <c:v>42115</c:v>
                </c:pt>
                <c:pt idx="1328">
                  <c:v>42116</c:v>
                </c:pt>
                <c:pt idx="1329">
                  <c:v>42117</c:v>
                </c:pt>
                <c:pt idx="1330">
                  <c:v>42118</c:v>
                </c:pt>
                <c:pt idx="1331">
                  <c:v>42121</c:v>
                </c:pt>
                <c:pt idx="1332">
                  <c:v>42122</c:v>
                </c:pt>
                <c:pt idx="1333">
                  <c:v>42123</c:v>
                </c:pt>
                <c:pt idx="1334">
                  <c:v>42124</c:v>
                </c:pt>
                <c:pt idx="1335">
                  <c:v>42125</c:v>
                </c:pt>
                <c:pt idx="1336">
                  <c:v>42128</c:v>
                </c:pt>
                <c:pt idx="1337">
                  <c:v>42129</c:v>
                </c:pt>
                <c:pt idx="1338">
                  <c:v>42130</c:v>
                </c:pt>
                <c:pt idx="1339">
                  <c:v>42131</c:v>
                </c:pt>
                <c:pt idx="1340">
                  <c:v>42132</c:v>
                </c:pt>
                <c:pt idx="1341">
                  <c:v>42135</c:v>
                </c:pt>
                <c:pt idx="1342">
                  <c:v>42136</c:v>
                </c:pt>
                <c:pt idx="1343">
                  <c:v>42137</c:v>
                </c:pt>
                <c:pt idx="1344">
                  <c:v>42138</c:v>
                </c:pt>
                <c:pt idx="1345">
                  <c:v>42139</c:v>
                </c:pt>
                <c:pt idx="1346">
                  <c:v>42142</c:v>
                </c:pt>
                <c:pt idx="1347">
                  <c:v>42143</c:v>
                </c:pt>
                <c:pt idx="1348">
                  <c:v>42144</c:v>
                </c:pt>
                <c:pt idx="1349">
                  <c:v>42145</c:v>
                </c:pt>
                <c:pt idx="1350">
                  <c:v>42146</c:v>
                </c:pt>
                <c:pt idx="1351">
                  <c:v>42150</c:v>
                </c:pt>
                <c:pt idx="1352">
                  <c:v>42151</c:v>
                </c:pt>
                <c:pt idx="1353">
                  <c:v>42152</c:v>
                </c:pt>
                <c:pt idx="1354">
                  <c:v>42153</c:v>
                </c:pt>
                <c:pt idx="1355">
                  <c:v>42156</c:v>
                </c:pt>
                <c:pt idx="1356">
                  <c:v>42157</c:v>
                </c:pt>
                <c:pt idx="1357">
                  <c:v>42158</c:v>
                </c:pt>
                <c:pt idx="1358">
                  <c:v>42159</c:v>
                </c:pt>
                <c:pt idx="1359">
                  <c:v>42160</c:v>
                </c:pt>
                <c:pt idx="1360">
                  <c:v>42163</c:v>
                </c:pt>
                <c:pt idx="1361">
                  <c:v>42164</c:v>
                </c:pt>
                <c:pt idx="1362">
                  <c:v>42165</c:v>
                </c:pt>
                <c:pt idx="1363">
                  <c:v>42166</c:v>
                </c:pt>
                <c:pt idx="1364">
                  <c:v>42167</c:v>
                </c:pt>
                <c:pt idx="1365">
                  <c:v>42170</c:v>
                </c:pt>
                <c:pt idx="1366">
                  <c:v>42171</c:v>
                </c:pt>
                <c:pt idx="1367">
                  <c:v>42172</c:v>
                </c:pt>
                <c:pt idx="1368">
                  <c:v>42173</c:v>
                </c:pt>
                <c:pt idx="1369">
                  <c:v>42174</c:v>
                </c:pt>
                <c:pt idx="1370">
                  <c:v>42177</c:v>
                </c:pt>
                <c:pt idx="1371">
                  <c:v>42178</c:v>
                </c:pt>
                <c:pt idx="1372">
                  <c:v>42179</c:v>
                </c:pt>
                <c:pt idx="1373">
                  <c:v>42180</c:v>
                </c:pt>
                <c:pt idx="1374">
                  <c:v>42181</c:v>
                </c:pt>
                <c:pt idx="1375">
                  <c:v>42184</c:v>
                </c:pt>
                <c:pt idx="1376">
                  <c:v>42185</c:v>
                </c:pt>
                <c:pt idx="1377">
                  <c:v>42186</c:v>
                </c:pt>
                <c:pt idx="1378">
                  <c:v>42187</c:v>
                </c:pt>
                <c:pt idx="1379">
                  <c:v>42191</c:v>
                </c:pt>
                <c:pt idx="1380">
                  <c:v>42192</c:v>
                </c:pt>
                <c:pt idx="1381">
                  <c:v>42193</c:v>
                </c:pt>
                <c:pt idx="1382">
                  <c:v>42194</c:v>
                </c:pt>
                <c:pt idx="1383">
                  <c:v>42195</c:v>
                </c:pt>
                <c:pt idx="1384">
                  <c:v>42198</c:v>
                </c:pt>
                <c:pt idx="1385">
                  <c:v>42199</c:v>
                </c:pt>
                <c:pt idx="1386">
                  <c:v>42200</c:v>
                </c:pt>
                <c:pt idx="1387">
                  <c:v>42201</c:v>
                </c:pt>
                <c:pt idx="1388">
                  <c:v>42202</c:v>
                </c:pt>
                <c:pt idx="1389">
                  <c:v>42205</c:v>
                </c:pt>
                <c:pt idx="1390">
                  <c:v>42206</c:v>
                </c:pt>
                <c:pt idx="1391">
                  <c:v>42207</c:v>
                </c:pt>
                <c:pt idx="1392">
                  <c:v>42208</c:v>
                </c:pt>
                <c:pt idx="1393">
                  <c:v>42209</c:v>
                </c:pt>
                <c:pt idx="1394">
                  <c:v>42212</c:v>
                </c:pt>
                <c:pt idx="1395">
                  <c:v>42213</c:v>
                </c:pt>
                <c:pt idx="1396">
                  <c:v>42214</c:v>
                </c:pt>
                <c:pt idx="1397">
                  <c:v>42215</c:v>
                </c:pt>
                <c:pt idx="1398">
                  <c:v>42216</c:v>
                </c:pt>
                <c:pt idx="1399">
                  <c:v>42219</c:v>
                </c:pt>
                <c:pt idx="1400">
                  <c:v>42220</c:v>
                </c:pt>
                <c:pt idx="1401">
                  <c:v>42221</c:v>
                </c:pt>
                <c:pt idx="1402">
                  <c:v>42222</c:v>
                </c:pt>
                <c:pt idx="1403">
                  <c:v>42223</c:v>
                </c:pt>
                <c:pt idx="1404">
                  <c:v>42226</c:v>
                </c:pt>
                <c:pt idx="1405">
                  <c:v>42227</c:v>
                </c:pt>
                <c:pt idx="1406">
                  <c:v>42228</c:v>
                </c:pt>
                <c:pt idx="1407">
                  <c:v>42229</c:v>
                </c:pt>
                <c:pt idx="1408">
                  <c:v>42230</c:v>
                </c:pt>
                <c:pt idx="1409">
                  <c:v>42233</c:v>
                </c:pt>
                <c:pt idx="1410">
                  <c:v>42234</c:v>
                </c:pt>
                <c:pt idx="1411">
                  <c:v>42235</c:v>
                </c:pt>
                <c:pt idx="1412">
                  <c:v>42236</c:v>
                </c:pt>
                <c:pt idx="1413">
                  <c:v>42237</c:v>
                </c:pt>
                <c:pt idx="1414">
                  <c:v>42240</c:v>
                </c:pt>
                <c:pt idx="1415">
                  <c:v>42241</c:v>
                </c:pt>
                <c:pt idx="1416">
                  <c:v>42242</c:v>
                </c:pt>
                <c:pt idx="1417">
                  <c:v>42243</c:v>
                </c:pt>
                <c:pt idx="1418">
                  <c:v>42244</c:v>
                </c:pt>
                <c:pt idx="1419">
                  <c:v>42247</c:v>
                </c:pt>
                <c:pt idx="1420">
                  <c:v>42248</c:v>
                </c:pt>
                <c:pt idx="1421">
                  <c:v>42249</c:v>
                </c:pt>
                <c:pt idx="1422">
                  <c:v>42250</c:v>
                </c:pt>
                <c:pt idx="1423">
                  <c:v>42251</c:v>
                </c:pt>
                <c:pt idx="1424">
                  <c:v>42255</c:v>
                </c:pt>
                <c:pt idx="1425">
                  <c:v>42256</c:v>
                </c:pt>
                <c:pt idx="1426">
                  <c:v>42257</c:v>
                </c:pt>
                <c:pt idx="1427">
                  <c:v>42258</c:v>
                </c:pt>
                <c:pt idx="1428">
                  <c:v>42261</c:v>
                </c:pt>
                <c:pt idx="1429">
                  <c:v>42262</c:v>
                </c:pt>
                <c:pt idx="1430">
                  <c:v>42263</c:v>
                </c:pt>
                <c:pt idx="1431">
                  <c:v>42264</c:v>
                </c:pt>
                <c:pt idx="1432">
                  <c:v>42265</c:v>
                </c:pt>
                <c:pt idx="1433">
                  <c:v>42268</c:v>
                </c:pt>
                <c:pt idx="1434">
                  <c:v>42269</c:v>
                </c:pt>
                <c:pt idx="1435">
                  <c:v>42270</c:v>
                </c:pt>
                <c:pt idx="1436">
                  <c:v>42271</c:v>
                </c:pt>
                <c:pt idx="1437">
                  <c:v>42272</c:v>
                </c:pt>
                <c:pt idx="1438">
                  <c:v>42275</c:v>
                </c:pt>
                <c:pt idx="1439">
                  <c:v>42276</c:v>
                </c:pt>
                <c:pt idx="1440">
                  <c:v>42277</c:v>
                </c:pt>
                <c:pt idx="1441">
                  <c:v>42278</c:v>
                </c:pt>
                <c:pt idx="1442">
                  <c:v>42279</c:v>
                </c:pt>
                <c:pt idx="1443">
                  <c:v>42282</c:v>
                </c:pt>
                <c:pt idx="1444">
                  <c:v>42283</c:v>
                </c:pt>
                <c:pt idx="1445">
                  <c:v>42284</c:v>
                </c:pt>
                <c:pt idx="1446">
                  <c:v>42285</c:v>
                </c:pt>
                <c:pt idx="1447">
                  <c:v>42286</c:v>
                </c:pt>
                <c:pt idx="1448">
                  <c:v>42289</c:v>
                </c:pt>
                <c:pt idx="1449">
                  <c:v>42290</c:v>
                </c:pt>
                <c:pt idx="1450">
                  <c:v>42291</c:v>
                </c:pt>
                <c:pt idx="1451">
                  <c:v>42292</c:v>
                </c:pt>
                <c:pt idx="1452">
                  <c:v>42293</c:v>
                </c:pt>
                <c:pt idx="1453">
                  <c:v>42296</c:v>
                </c:pt>
                <c:pt idx="1454">
                  <c:v>42297</c:v>
                </c:pt>
                <c:pt idx="1455">
                  <c:v>42298</c:v>
                </c:pt>
                <c:pt idx="1456">
                  <c:v>42299</c:v>
                </c:pt>
                <c:pt idx="1457">
                  <c:v>42300</c:v>
                </c:pt>
                <c:pt idx="1458">
                  <c:v>42303</c:v>
                </c:pt>
                <c:pt idx="1459">
                  <c:v>42304</c:v>
                </c:pt>
                <c:pt idx="1460">
                  <c:v>42305</c:v>
                </c:pt>
                <c:pt idx="1461">
                  <c:v>42306</c:v>
                </c:pt>
                <c:pt idx="1462">
                  <c:v>42307</c:v>
                </c:pt>
                <c:pt idx="1463">
                  <c:v>42310</c:v>
                </c:pt>
                <c:pt idx="1464">
                  <c:v>42311</c:v>
                </c:pt>
                <c:pt idx="1465">
                  <c:v>42312</c:v>
                </c:pt>
                <c:pt idx="1466">
                  <c:v>42313</c:v>
                </c:pt>
                <c:pt idx="1467">
                  <c:v>42314</c:v>
                </c:pt>
                <c:pt idx="1468">
                  <c:v>42317</c:v>
                </c:pt>
                <c:pt idx="1469">
                  <c:v>42318</c:v>
                </c:pt>
                <c:pt idx="1470">
                  <c:v>42319</c:v>
                </c:pt>
                <c:pt idx="1471">
                  <c:v>42320</c:v>
                </c:pt>
                <c:pt idx="1472">
                  <c:v>42321</c:v>
                </c:pt>
                <c:pt idx="1473">
                  <c:v>42324</c:v>
                </c:pt>
                <c:pt idx="1474">
                  <c:v>42325</c:v>
                </c:pt>
                <c:pt idx="1475">
                  <c:v>42326</c:v>
                </c:pt>
                <c:pt idx="1476">
                  <c:v>42327</c:v>
                </c:pt>
                <c:pt idx="1477">
                  <c:v>42328</c:v>
                </c:pt>
                <c:pt idx="1478">
                  <c:v>42331</c:v>
                </c:pt>
                <c:pt idx="1479">
                  <c:v>42332</c:v>
                </c:pt>
                <c:pt idx="1480">
                  <c:v>42333</c:v>
                </c:pt>
                <c:pt idx="1481">
                  <c:v>42335</c:v>
                </c:pt>
                <c:pt idx="1482">
                  <c:v>42338</c:v>
                </c:pt>
                <c:pt idx="1483">
                  <c:v>42339</c:v>
                </c:pt>
                <c:pt idx="1484">
                  <c:v>42340</c:v>
                </c:pt>
                <c:pt idx="1485">
                  <c:v>42341</c:v>
                </c:pt>
                <c:pt idx="1486">
                  <c:v>42342</c:v>
                </c:pt>
                <c:pt idx="1487">
                  <c:v>42345</c:v>
                </c:pt>
                <c:pt idx="1488">
                  <c:v>42346</c:v>
                </c:pt>
                <c:pt idx="1489">
                  <c:v>42347</c:v>
                </c:pt>
                <c:pt idx="1490">
                  <c:v>42348</c:v>
                </c:pt>
                <c:pt idx="1491">
                  <c:v>42349</c:v>
                </c:pt>
                <c:pt idx="1492">
                  <c:v>42352</c:v>
                </c:pt>
                <c:pt idx="1493">
                  <c:v>42353</c:v>
                </c:pt>
                <c:pt idx="1494">
                  <c:v>42354</c:v>
                </c:pt>
                <c:pt idx="1495">
                  <c:v>42355</c:v>
                </c:pt>
                <c:pt idx="1496">
                  <c:v>42356</c:v>
                </c:pt>
                <c:pt idx="1497">
                  <c:v>42359</c:v>
                </c:pt>
                <c:pt idx="1498">
                  <c:v>42360</c:v>
                </c:pt>
                <c:pt idx="1499">
                  <c:v>42361</c:v>
                </c:pt>
                <c:pt idx="1500">
                  <c:v>42362</c:v>
                </c:pt>
                <c:pt idx="1501">
                  <c:v>42366</c:v>
                </c:pt>
                <c:pt idx="1502">
                  <c:v>42367</c:v>
                </c:pt>
                <c:pt idx="1503">
                  <c:v>42368</c:v>
                </c:pt>
                <c:pt idx="1504">
                  <c:v>42369</c:v>
                </c:pt>
                <c:pt idx="1505">
                  <c:v>42373</c:v>
                </c:pt>
                <c:pt idx="1506">
                  <c:v>42374</c:v>
                </c:pt>
                <c:pt idx="1507">
                  <c:v>42375</c:v>
                </c:pt>
                <c:pt idx="1508">
                  <c:v>42376</c:v>
                </c:pt>
                <c:pt idx="1509">
                  <c:v>42377</c:v>
                </c:pt>
                <c:pt idx="1510">
                  <c:v>42380</c:v>
                </c:pt>
                <c:pt idx="1511">
                  <c:v>42381</c:v>
                </c:pt>
                <c:pt idx="1512">
                  <c:v>42382</c:v>
                </c:pt>
                <c:pt idx="1513">
                  <c:v>42383</c:v>
                </c:pt>
                <c:pt idx="1514">
                  <c:v>42384</c:v>
                </c:pt>
                <c:pt idx="1515">
                  <c:v>42388</c:v>
                </c:pt>
                <c:pt idx="1516">
                  <c:v>42389</c:v>
                </c:pt>
                <c:pt idx="1517">
                  <c:v>42390</c:v>
                </c:pt>
                <c:pt idx="1518">
                  <c:v>42391</c:v>
                </c:pt>
                <c:pt idx="1519">
                  <c:v>42394</c:v>
                </c:pt>
                <c:pt idx="1520">
                  <c:v>42395</c:v>
                </c:pt>
                <c:pt idx="1521">
                  <c:v>42396</c:v>
                </c:pt>
                <c:pt idx="1522">
                  <c:v>42397</c:v>
                </c:pt>
                <c:pt idx="1523">
                  <c:v>42398</c:v>
                </c:pt>
                <c:pt idx="1524">
                  <c:v>42401</c:v>
                </c:pt>
                <c:pt idx="1525">
                  <c:v>42402</c:v>
                </c:pt>
                <c:pt idx="1526">
                  <c:v>42403</c:v>
                </c:pt>
                <c:pt idx="1527">
                  <c:v>42404</c:v>
                </c:pt>
                <c:pt idx="1528">
                  <c:v>42405</c:v>
                </c:pt>
                <c:pt idx="1529">
                  <c:v>42408</c:v>
                </c:pt>
                <c:pt idx="1530">
                  <c:v>42409</c:v>
                </c:pt>
                <c:pt idx="1531">
                  <c:v>42410</c:v>
                </c:pt>
                <c:pt idx="1532">
                  <c:v>42411</c:v>
                </c:pt>
                <c:pt idx="1533">
                  <c:v>42412</c:v>
                </c:pt>
                <c:pt idx="1534">
                  <c:v>42416</c:v>
                </c:pt>
                <c:pt idx="1535">
                  <c:v>42417</c:v>
                </c:pt>
                <c:pt idx="1536">
                  <c:v>42418</c:v>
                </c:pt>
                <c:pt idx="1537">
                  <c:v>42419</c:v>
                </c:pt>
                <c:pt idx="1538">
                  <c:v>42422</c:v>
                </c:pt>
                <c:pt idx="1539">
                  <c:v>42423</c:v>
                </c:pt>
                <c:pt idx="1540">
                  <c:v>42424</c:v>
                </c:pt>
                <c:pt idx="1541">
                  <c:v>42425</c:v>
                </c:pt>
                <c:pt idx="1542">
                  <c:v>42426</c:v>
                </c:pt>
                <c:pt idx="1543">
                  <c:v>42429</c:v>
                </c:pt>
                <c:pt idx="1544">
                  <c:v>42430</c:v>
                </c:pt>
                <c:pt idx="1545">
                  <c:v>42431</c:v>
                </c:pt>
                <c:pt idx="1546">
                  <c:v>42432</c:v>
                </c:pt>
                <c:pt idx="1547">
                  <c:v>42433</c:v>
                </c:pt>
                <c:pt idx="1548">
                  <c:v>42436</c:v>
                </c:pt>
                <c:pt idx="1549">
                  <c:v>42437</c:v>
                </c:pt>
                <c:pt idx="1550">
                  <c:v>42438</c:v>
                </c:pt>
                <c:pt idx="1551">
                  <c:v>42439</c:v>
                </c:pt>
                <c:pt idx="1552">
                  <c:v>42440</c:v>
                </c:pt>
                <c:pt idx="1553">
                  <c:v>42443</c:v>
                </c:pt>
                <c:pt idx="1554">
                  <c:v>42444</c:v>
                </c:pt>
                <c:pt idx="1555">
                  <c:v>42445</c:v>
                </c:pt>
                <c:pt idx="1556">
                  <c:v>42446</c:v>
                </c:pt>
                <c:pt idx="1557">
                  <c:v>42447</c:v>
                </c:pt>
                <c:pt idx="1558">
                  <c:v>42450</c:v>
                </c:pt>
                <c:pt idx="1559">
                  <c:v>42451</c:v>
                </c:pt>
                <c:pt idx="1560">
                  <c:v>42452</c:v>
                </c:pt>
                <c:pt idx="1561">
                  <c:v>42453</c:v>
                </c:pt>
                <c:pt idx="1562">
                  <c:v>42457</c:v>
                </c:pt>
                <c:pt idx="1563">
                  <c:v>42458</c:v>
                </c:pt>
                <c:pt idx="1564">
                  <c:v>42459</c:v>
                </c:pt>
                <c:pt idx="1565">
                  <c:v>42460</c:v>
                </c:pt>
                <c:pt idx="1566">
                  <c:v>42461</c:v>
                </c:pt>
                <c:pt idx="1567">
                  <c:v>42464</c:v>
                </c:pt>
                <c:pt idx="1568">
                  <c:v>42465</c:v>
                </c:pt>
                <c:pt idx="1569">
                  <c:v>42466</c:v>
                </c:pt>
                <c:pt idx="1570">
                  <c:v>42467</c:v>
                </c:pt>
                <c:pt idx="1571">
                  <c:v>42468</c:v>
                </c:pt>
                <c:pt idx="1572">
                  <c:v>42471</c:v>
                </c:pt>
                <c:pt idx="1573">
                  <c:v>42472</c:v>
                </c:pt>
                <c:pt idx="1574">
                  <c:v>42473</c:v>
                </c:pt>
                <c:pt idx="1575">
                  <c:v>42474</c:v>
                </c:pt>
                <c:pt idx="1576">
                  <c:v>42475</c:v>
                </c:pt>
                <c:pt idx="1577">
                  <c:v>42478</c:v>
                </c:pt>
                <c:pt idx="1578">
                  <c:v>42479</c:v>
                </c:pt>
                <c:pt idx="1579">
                  <c:v>42480</c:v>
                </c:pt>
                <c:pt idx="1580">
                  <c:v>42481</c:v>
                </c:pt>
                <c:pt idx="1581">
                  <c:v>42482</c:v>
                </c:pt>
                <c:pt idx="1582">
                  <c:v>42485</c:v>
                </c:pt>
                <c:pt idx="1583">
                  <c:v>42486</c:v>
                </c:pt>
                <c:pt idx="1584">
                  <c:v>42487</c:v>
                </c:pt>
                <c:pt idx="1585">
                  <c:v>42488</c:v>
                </c:pt>
                <c:pt idx="1586">
                  <c:v>42489</c:v>
                </c:pt>
                <c:pt idx="1587">
                  <c:v>42492</c:v>
                </c:pt>
                <c:pt idx="1588">
                  <c:v>42493</c:v>
                </c:pt>
                <c:pt idx="1589">
                  <c:v>42494</c:v>
                </c:pt>
                <c:pt idx="1590">
                  <c:v>42495</c:v>
                </c:pt>
                <c:pt idx="1591">
                  <c:v>42496</c:v>
                </c:pt>
                <c:pt idx="1592">
                  <c:v>42499</c:v>
                </c:pt>
                <c:pt idx="1593">
                  <c:v>42500</c:v>
                </c:pt>
                <c:pt idx="1594">
                  <c:v>42501</c:v>
                </c:pt>
                <c:pt idx="1595">
                  <c:v>42502</c:v>
                </c:pt>
                <c:pt idx="1596">
                  <c:v>42503</c:v>
                </c:pt>
                <c:pt idx="1597">
                  <c:v>42506</c:v>
                </c:pt>
                <c:pt idx="1598">
                  <c:v>42507</c:v>
                </c:pt>
                <c:pt idx="1599">
                  <c:v>42508</c:v>
                </c:pt>
                <c:pt idx="1600">
                  <c:v>42509</c:v>
                </c:pt>
                <c:pt idx="1601">
                  <c:v>42510</c:v>
                </c:pt>
                <c:pt idx="1602">
                  <c:v>42513</c:v>
                </c:pt>
                <c:pt idx="1603">
                  <c:v>42514</c:v>
                </c:pt>
                <c:pt idx="1604">
                  <c:v>42515</c:v>
                </c:pt>
                <c:pt idx="1605">
                  <c:v>42516</c:v>
                </c:pt>
                <c:pt idx="1606">
                  <c:v>42517</c:v>
                </c:pt>
                <c:pt idx="1607">
                  <c:v>42521</c:v>
                </c:pt>
                <c:pt idx="1608">
                  <c:v>42522</c:v>
                </c:pt>
                <c:pt idx="1609">
                  <c:v>42523</c:v>
                </c:pt>
                <c:pt idx="1610">
                  <c:v>42524</c:v>
                </c:pt>
                <c:pt idx="1611">
                  <c:v>42527</c:v>
                </c:pt>
                <c:pt idx="1612">
                  <c:v>42528</c:v>
                </c:pt>
                <c:pt idx="1613">
                  <c:v>42529</c:v>
                </c:pt>
                <c:pt idx="1614">
                  <c:v>42530</c:v>
                </c:pt>
                <c:pt idx="1615">
                  <c:v>42531</c:v>
                </c:pt>
                <c:pt idx="1616">
                  <c:v>42534</c:v>
                </c:pt>
                <c:pt idx="1617">
                  <c:v>42535</c:v>
                </c:pt>
                <c:pt idx="1618">
                  <c:v>42536</c:v>
                </c:pt>
                <c:pt idx="1619">
                  <c:v>42537</c:v>
                </c:pt>
                <c:pt idx="1620">
                  <c:v>42538</c:v>
                </c:pt>
                <c:pt idx="1621">
                  <c:v>42541</c:v>
                </c:pt>
                <c:pt idx="1622">
                  <c:v>42542</c:v>
                </c:pt>
                <c:pt idx="1623">
                  <c:v>42543</c:v>
                </c:pt>
                <c:pt idx="1624">
                  <c:v>42544</c:v>
                </c:pt>
                <c:pt idx="1625">
                  <c:v>42545</c:v>
                </c:pt>
                <c:pt idx="1626">
                  <c:v>42548</c:v>
                </c:pt>
                <c:pt idx="1627">
                  <c:v>42549</c:v>
                </c:pt>
                <c:pt idx="1628">
                  <c:v>42550</c:v>
                </c:pt>
                <c:pt idx="1629">
                  <c:v>42551</c:v>
                </c:pt>
                <c:pt idx="1630">
                  <c:v>42552</c:v>
                </c:pt>
                <c:pt idx="1631">
                  <c:v>42556</c:v>
                </c:pt>
                <c:pt idx="1632">
                  <c:v>42557</c:v>
                </c:pt>
                <c:pt idx="1633">
                  <c:v>42558</c:v>
                </c:pt>
                <c:pt idx="1634">
                  <c:v>42559</c:v>
                </c:pt>
                <c:pt idx="1635">
                  <c:v>42562</c:v>
                </c:pt>
                <c:pt idx="1636">
                  <c:v>42563</c:v>
                </c:pt>
                <c:pt idx="1637">
                  <c:v>42564</c:v>
                </c:pt>
                <c:pt idx="1638">
                  <c:v>42565</c:v>
                </c:pt>
                <c:pt idx="1639">
                  <c:v>42566</c:v>
                </c:pt>
                <c:pt idx="1640">
                  <c:v>42569</c:v>
                </c:pt>
                <c:pt idx="1641">
                  <c:v>42570</c:v>
                </c:pt>
                <c:pt idx="1642">
                  <c:v>42571</c:v>
                </c:pt>
                <c:pt idx="1643">
                  <c:v>42572</c:v>
                </c:pt>
                <c:pt idx="1644">
                  <c:v>42573</c:v>
                </c:pt>
                <c:pt idx="1645">
                  <c:v>42576</c:v>
                </c:pt>
                <c:pt idx="1646">
                  <c:v>42577</c:v>
                </c:pt>
                <c:pt idx="1647">
                  <c:v>42578</c:v>
                </c:pt>
                <c:pt idx="1648">
                  <c:v>42579</c:v>
                </c:pt>
                <c:pt idx="1649">
                  <c:v>42580</c:v>
                </c:pt>
                <c:pt idx="1650">
                  <c:v>42583</c:v>
                </c:pt>
                <c:pt idx="1651">
                  <c:v>42584</c:v>
                </c:pt>
                <c:pt idx="1652">
                  <c:v>42585</c:v>
                </c:pt>
                <c:pt idx="1653">
                  <c:v>42586</c:v>
                </c:pt>
                <c:pt idx="1654">
                  <c:v>42587</c:v>
                </c:pt>
                <c:pt idx="1655">
                  <c:v>42590</c:v>
                </c:pt>
                <c:pt idx="1656">
                  <c:v>42591</c:v>
                </c:pt>
                <c:pt idx="1657">
                  <c:v>42592</c:v>
                </c:pt>
                <c:pt idx="1658">
                  <c:v>42593</c:v>
                </c:pt>
                <c:pt idx="1659">
                  <c:v>42594</c:v>
                </c:pt>
                <c:pt idx="1660">
                  <c:v>42597</c:v>
                </c:pt>
                <c:pt idx="1661">
                  <c:v>42598</c:v>
                </c:pt>
                <c:pt idx="1662">
                  <c:v>42599</c:v>
                </c:pt>
                <c:pt idx="1663">
                  <c:v>42600</c:v>
                </c:pt>
                <c:pt idx="1664">
                  <c:v>42601</c:v>
                </c:pt>
                <c:pt idx="1665">
                  <c:v>42604</c:v>
                </c:pt>
                <c:pt idx="1666">
                  <c:v>42605</c:v>
                </c:pt>
                <c:pt idx="1667">
                  <c:v>42606</c:v>
                </c:pt>
                <c:pt idx="1668">
                  <c:v>42607</c:v>
                </c:pt>
                <c:pt idx="1669">
                  <c:v>42608</c:v>
                </c:pt>
                <c:pt idx="1670">
                  <c:v>42611</c:v>
                </c:pt>
                <c:pt idx="1671">
                  <c:v>42612</c:v>
                </c:pt>
                <c:pt idx="1672">
                  <c:v>42613</c:v>
                </c:pt>
                <c:pt idx="1673">
                  <c:v>42614</c:v>
                </c:pt>
                <c:pt idx="1674">
                  <c:v>42615</c:v>
                </c:pt>
                <c:pt idx="1675">
                  <c:v>42619</c:v>
                </c:pt>
                <c:pt idx="1676">
                  <c:v>42620</c:v>
                </c:pt>
                <c:pt idx="1677">
                  <c:v>42621</c:v>
                </c:pt>
                <c:pt idx="1678">
                  <c:v>42622</c:v>
                </c:pt>
                <c:pt idx="1679">
                  <c:v>42625</c:v>
                </c:pt>
                <c:pt idx="1680">
                  <c:v>42626</c:v>
                </c:pt>
                <c:pt idx="1681">
                  <c:v>42627</c:v>
                </c:pt>
                <c:pt idx="1682">
                  <c:v>42628</c:v>
                </c:pt>
                <c:pt idx="1683">
                  <c:v>42629</c:v>
                </c:pt>
                <c:pt idx="1684">
                  <c:v>42632</c:v>
                </c:pt>
                <c:pt idx="1685">
                  <c:v>42633</c:v>
                </c:pt>
                <c:pt idx="1686">
                  <c:v>42634</c:v>
                </c:pt>
                <c:pt idx="1687">
                  <c:v>42635</c:v>
                </c:pt>
                <c:pt idx="1688">
                  <c:v>42636</c:v>
                </c:pt>
                <c:pt idx="1689">
                  <c:v>42639</c:v>
                </c:pt>
                <c:pt idx="1690">
                  <c:v>42640</c:v>
                </c:pt>
                <c:pt idx="1691">
                  <c:v>42641</c:v>
                </c:pt>
                <c:pt idx="1692">
                  <c:v>42642</c:v>
                </c:pt>
                <c:pt idx="1693">
                  <c:v>42643</c:v>
                </c:pt>
                <c:pt idx="1694">
                  <c:v>42646</c:v>
                </c:pt>
                <c:pt idx="1695">
                  <c:v>42647</c:v>
                </c:pt>
                <c:pt idx="1696">
                  <c:v>42648</c:v>
                </c:pt>
                <c:pt idx="1697">
                  <c:v>42649</c:v>
                </c:pt>
                <c:pt idx="1698">
                  <c:v>42650</c:v>
                </c:pt>
                <c:pt idx="1699">
                  <c:v>42653</c:v>
                </c:pt>
                <c:pt idx="1700">
                  <c:v>42654</c:v>
                </c:pt>
                <c:pt idx="1701">
                  <c:v>42655</c:v>
                </c:pt>
                <c:pt idx="1702">
                  <c:v>42656</c:v>
                </c:pt>
                <c:pt idx="1703">
                  <c:v>42657</c:v>
                </c:pt>
                <c:pt idx="1704">
                  <c:v>42660</c:v>
                </c:pt>
                <c:pt idx="1705">
                  <c:v>42661</c:v>
                </c:pt>
                <c:pt idx="1706">
                  <c:v>42662</c:v>
                </c:pt>
                <c:pt idx="1707">
                  <c:v>42663</c:v>
                </c:pt>
                <c:pt idx="1708">
                  <c:v>42664</c:v>
                </c:pt>
                <c:pt idx="1709">
                  <c:v>42667</c:v>
                </c:pt>
                <c:pt idx="1710">
                  <c:v>42668</c:v>
                </c:pt>
                <c:pt idx="1711">
                  <c:v>42669</c:v>
                </c:pt>
                <c:pt idx="1712">
                  <c:v>42670</c:v>
                </c:pt>
                <c:pt idx="1713">
                  <c:v>42671</c:v>
                </c:pt>
                <c:pt idx="1714">
                  <c:v>42674</c:v>
                </c:pt>
                <c:pt idx="1715">
                  <c:v>42675</c:v>
                </c:pt>
                <c:pt idx="1716">
                  <c:v>42676</c:v>
                </c:pt>
                <c:pt idx="1717">
                  <c:v>42677</c:v>
                </c:pt>
                <c:pt idx="1718">
                  <c:v>42678</c:v>
                </c:pt>
                <c:pt idx="1719">
                  <c:v>42681</c:v>
                </c:pt>
                <c:pt idx="1720">
                  <c:v>42682</c:v>
                </c:pt>
                <c:pt idx="1721">
                  <c:v>42683</c:v>
                </c:pt>
                <c:pt idx="1722">
                  <c:v>42684</c:v>
                </c:pt>
                <c:pt idx="1723">
                  <c:v>42685</c:v>
                </c:pt>
                <c:pt idx="1724">
                  <c:v>42688</c:v>
                </c:pt>
                <c:pt idx="1725">
                  <c:v>42689</c:v>
                </c:pt>
                <c:pt idx="1726">
                  <c:v>42690</c:v>
                </c:pt>
                <c:pt idx="1727">
                  <c:v>42691</c:v>
                </c:pt>
                <c:pt idx="1728">
                  <c:v>42692</c:v>
                </c:pt>
                <c:pt idx="1729">
                  <c:v>42695</c:v>
                </c:pt>
                <c:pt idx="1730">
                  <c:v>42696</c:v>
                </c:pt>
                <c:pt idx="1731">
                  <c:v>42697</c:v>
                </c:pt>
                <c:pt idx="1732">
                  <c:v>42699</c:v>
                </c:pt>
                <c:pt idx="1733">
                  <c:v>42702</c:v>
                </c:pt>
                <c:pt idx="1734">
                  <c:v>42703</c:v>
                </c:pt>
                <c:pt idx="1735">
                  <c:v>42704</c:v>
                </c:pt>
                <c:pt idx="1736">
                  <c:v>42705</c:v>
                </c:pt>
                <c:pt idx="1737">
                  <c:v>42706</c:v>
                </c:pt>
                <c:pt idx="1738">
                  <c:v>42709</c:v>
                </c:pt>
                <c:pt idx="1739">
                  <c:v>42710</c:v>
                </c:pt>
                <c:pt idx="1740">
                  <c:v>42711</c:v>
                </c:pt>
                <c:pt idx="1741">
                  <c:v>42712</c:v>
                </c:pt>
                <c:pt idx="1742">
                  <c:v>42713</c:v>
                </c:pt>
                <c:pt idx="1743">
                  <c:v>42716</c:v>
                </c:pt>
                <c:pt idx="1744">
                  <c:v>42717</c:v>
                </c:pt>
                <c:pt idx="1745">
                  <c:v>42718</c:v>
                </c:pt>
                <c:pt idx="1746">
                  <c:v>42719</c:v>
                </c:pt>
                <c:pt idx="1747">
                  <c:v>42720</c:v>
                </c:pt>
                <c:pt idx="1748">
                  <c:v>42723</c:v>
                </c:pt>
                <c:pt idx="1749">
                  <c:v>42724</c:v>
                </c:pt>
                <c:pt idx="1750">
                  <c:v>42725</c:v>
                </c:pt>
                <c:pt idx="1751">
                  <c:v>42726</c:v>
                </c:pt>
                <c:pt idx="1752">
                  <c:v>42727</c:v>
                </c:pt>
                <c:pt idx="1753">
                  <c:v>42731</c:v>
                </c:pt>
                <c:pt idx="1754">
                  <c:v>42732</c:v>
                </c:pt>
                <c:pt idx="1755">
                  <c:v>42733</c:v>
                </c:pt>
                <c:pt idx="1756">
                  <c:v>42734</c:v>
                </c:pt>
                <c:pt idx="1757">
                  <c:v>42738</c:v>
                </c:pt>
                <c:pt idx="1758">
                  <c:v>42739</c:v>
                </c:pt>
                <c:pt idx="1759">
                  <c:v>42740</c:v>
                </c:pt>
                <c:pt idx="1760">
                  <c:v>42741</c:v>
                </c:pt>
                <c:pt idx="1761">
                  <c:v>42744</c:v>
                </c:pt>
                <c:pt idx="1762">
                  <c:v>42745</c:v>
                </c:pt>
                <c:pt idx="1763">
                  <c:v>42746</c:v>
                </c:pt>
                <c:pt idx="1764">
                  <c:v>42747</c:v>
                </c:pt>
                <c:pt idx="1765">
                  <c:v>42748</c:v>
                </c:pt>
                <c:pt idx="1766">
                  <c:v>42752</c:v>
                </c:pt>
                <c:pt idx="1767">
                  <c:v>42753</c:v>
                </c:pt>
                <c:pt idx="1768">
                  <c:v>42754</c:v>
                </c:pt>
                <c:pt idx="1769">
                  <c:v>42755</c:v>
                </c:pt>
                <c:pt idx="1770">
                  <c:v>42758</c:v>
                </c:pt>
                <c:pt idx="1771">
                  <c:v>42759</c:v>
                </c:pt>
                <c:pt idx="1772">
                  <c:v>42760</c:v>
                </c:pt>
                <c:pt idx="1773">
                  <c:v>42761</c:v>
                </c:pt>
                <c:pt idx="1774">
                  <c:v>42762</c:v>
                </c:pt>
                <c:pt idx="1775">
                  <c:v>42765</c:v>
                </c:pt>
                <c:pt idx="1776">
                  <c:v>42766</c:v>
                </c:pt>
                <c:pt idx="1777">
                  <c:v>42767</c:v>
                </c:pt>
                <c:pt idx="1778">
                  <c:v>42768</c:v>
                </c:pt>
                <c:pt idx="1779">
                  <c:v>42769</c:v>
                </c:pt>
                <c:pt idx="1780">
                  <c:v>42772</c:v>
                </c:pt>
                <c:pt idx="1781">
                  <c:v>42773</c:v>
                </c:pt>
                <c:pt idx="1782">
                  <c:v>42774</c:v>
                </c:pt>
                <c:pt idx="1783">
                  <c:v>42775</c:v>
                </c:pt>
                <c:pt idx="1784">
                  <c:v>42776</c:v>
                </c:pt>
                <c:pt idx="1785">
                  <c:v>42779</c:v>
                </c:pt>
                <c:pt idx="1786">
                  <c:v>42780</c:v>
                </c:pt>
                <c:pt idx="1787">
                  <c:v>42781</c:v>
                </c:pt>
                <c:pt idx="1788">
                  <c:v>42782</c:v>
                </c:pt>
                <c:pt idx="1789">
                  <c:v>42783</c:v>
                </c:pt>
                <c:pt idx="1790">
                  <c:v>42787</c:v>
                </c:pt>
                <c:pt idx="1791">
                  <c:v>42788</c:v>
                </c:pt>
                <c:pt idx="1792">
                  <c:v>42789</c:v>
                </c:pt>
                <c:pt idx="1793">
                  <c:v>42790</c:v>
                </c:pt>
                <c:pt idx="1794">
                  <c:v>42793</c:v>
                </c:pt>
                <c:pt idx="1795">
                  <c:v>42794</c:v>
                </c:pt>
                <c:pt idx="1796">
                  <c:v>42795</c:v>
                </c:pt>
                <c:pt idx="1797">
                  <c:v>42796</c:v>
                </c:pt>
                <c:pt idx="1798">
                  <c:v>42797</c:v>
                </c:pt>
                <c:pt idx="1799">
                  <c:v>42800</c:v>
                </c:pt>
                <c:pt idx="1800">
                  <c:v>42801</c:v>
                </c:pt>
                <c:pt idx="1801">
                  <c:v>42802</c:v>
                </c:pt>
                <c:pt idx="1802">
                  <c:v>42803</c:v>
                </c:pt>
                <c:pt idx="1803">
                  <c:v>42804</c:v>
                </c:pt>
                <c:pt idx="1804">
                  <c:v>42807</c:v>
                </c:pt>
                <c:pt idx="1805">
                  <c:v>42808</c:v>
                </c:pt>
                <c:pt idx="1806">
                  <c:v>42809</c:v>
                </c:pt>
                <c:pt idx="1807">
                  <c:v>42810</c:v>
                </c:pt>
                <c:pt idx="1808">
                  <c:v>42811</c:v>
                </c:pt>
                <c:pt idx="1809">
                  <c:v>42814</c:v>
                </c:pt>
                <c:pt idx="1810">
                  <c:v>42815</c:v>
                </c:pt>
                <c:pt idx="1811">
                  <c:v>42816</c:v>
                </c:pt>
                <c:pt idx="1812">
                  <c:v>42817</c:v>
                </c:pt>
                <c:pt idx="1813">
                  <c:v>42818</c:v>
                </c:pt>
                <c:pt idx="1814">
                  <c:v>42821</c:v>
                </c:pt>
                <c:pt idx="1815">
                  <c:v>42822</c:v>
                </c:pt>
                <c:pt idx="1816">
                  <c:v>42823</c:v>
                </c:pt>
                <c:pt idx="1817">
                  <c:v>42824</c:v>
                </c:pt>
                <c:pt idx="1818">
                  <c:v>42825</c:v>
                </c:pt>
                <c:pt idx="1819">
                  <c:v>42828</c:v>
                </c:pt>
                <c:pt idx="1820">
                  <c:v>42829</c:v>
                </c:pt>
                <c:pt idx="1821">
                  <c:v>42830</c:v>
                </c:pt>
                <c:pt idx="1822">
                  <c:v>42831</c:v>
                </c:pt>
                <c:pt idx="1823">
                  <c:v>42832</c:v>
                </c:pt>
                <c:pt idx="1824">
                  <c:v>42835</c:v>
                </c:pt>
                <c:pt idx="1825">
                  <c:v>42836</c:v>
                </c:pt>
                <c:pt idx="1826">
                  <c:v>42837</c:v>
                </c:pt>
                <c:pt idx="1827">
                  <c:v>42838</c:v>
                </c:pt>
                <c:pt idx="1828">
                  <c:v>42842</c:v>
                </c:pt>
                <c:pt idx="1829">
                  <c:v>42843</c:v>
                </c:pt>
                <c:pt idx="1830">
                  <c:v>42844</c:v>
                </c:pt>
                <c:pt idx="1831">
                  <c:v>42845</c:v>
                </c:pt>
                <c:pt idx="1832">
                  <c:v>42846</c:v>
                </c:pt>
                <c:pt idx="1833">
                  <c:v>42849</c:v>
                </c:pt>
                <c:pt idx="1834">
                  <c:v>42850</c:v>
                </c:pt>
                <c:pt idx="1835">
                  <c:v>42851</c:v>
                </c:pt>
                <c:pt idx="1836">
                  <c:v>42852</c:v>
                </c:pt>
                <c:pt idx="1837">
                  <c:v>42853</c:v>
                </c:pt>
                <c:pt idx="1838">
                  <c:v>42856</c:v>
                </c:pt>
                <c:pt idx="1839">
                  <c:v>42857</c:v>
                </c:pt>
                <c:pt idx="1840">
                  <c:v>42858</c:v>
                </c:pt>
                <c:pt idx="1841">
                  <c:v>42859</c:v>
                </c:pt>
                <c:pt idx="1842">
                  <c:v>42860</c:v>
                </c:pt>
                <c:pt idx="1843">
                  <c:v>42863</c:v>
                </c:pt>
                <c:pt idx="1844">
                  <c:v>42864</c:v>
                </c:pt>
                <c:pt idx="1845">
                  <c:v>42865</c:v>
                </c:pt>
                <c:pt idx="1846">
                  <c:v>42866</c:v>
                </c:pt>
                <c:pt idx="1847">
                  <c:v>42867</c:v>
                </c:pt>
                <c:pt idx="1848">
                  <c:v>42870</c:v>
                </c:pt>
                <c:pt idx="1849">
                  <c:v>42871</c:v>
                </c:pt>
                <c:pt idx="1850">
                  <c:v>42872</c:v>
                </c:pt>
                <c:pt idx="1851">
                  <c:v>42873</c:v>
                </c:pt>
                <c:pt idx="1852">
                  <c:v>42874</c:v>
                </c:pt>
                <c:pt idx="1853">
                  <c:v>42877</c:v>
                </c:pt>
                <c:pt idx="1854">
                  <c:v>42878</c:v>
                </c:pt>
                <c:pt idx="1855">
                  <c:v>42879</c:v>
                </c:pt>
                <c:pt idx="1856">
                  <c:v>42880</c:v>
                </c:pt>
                <c:pt idx="1857">
                  <c:v>42881</c:v>
                </c:pt>
                <c:pt idx="1858">
                  <c:v>42885</c:v>
                </c:pt>
                <c:pt idx="1859">
                  <c:v>42886</c:v>
                </c:pt>
                <c:pt idx="1860">
                  <c:v>42887</c:v>
                </c:pt>
                <c:pt idx="1861">
                  <c:v>42888</c:v>
                </c:pt>
                <c:pt idx="1862">
                  <c:v>42891</c:v>
                </c:pt>
                <c:pt idx="1863">
                  <c:v>42892</c:v>
                </c:pt>
                <c:pt idx="1864">
                  <c:v>42893</c:v>
                </c:pt>
                <c:pt idx="1865">
                  <c:v>42894</c:v>
                </c:pt>
                <c:pt idx="1866">
                  <c:v>42895</c:v>
                </c:pt>
                <c:pt idx="1867">
                  <c:v>42898</c:v>
                </c:pt>
                <c:pt idx="1868">
                  <c:v>42899</c:v>
                </c:pt>
                <c:pt idx="1869">
                  <c:v>42900</c:v>
                </c:pt>
                <c:pt idx="1870">
                  <c:v>42901</c:v>
                </c:pt>
                <c:pt idx="1871">
                  <c:v>42902</c:v>
                </c:pt>
                <c:pt idx="1872">
                  <c:v>42905</c:v>
                </c:pt>
                <c:pt idx="1873">
                  <c:v>42906</c:v>
                </c:pt>
                <c:pt idx="1874">
                  <c:v>42907</c:v>
                </c:pt>
                <c:pt idx="1875">
                  <c:v>42908</c:v>
                </c:pt>
                <c:pt idx="1876">
                  <c:v>42909</c:v>
                </c:pt>
                <c:pt idx="1877">
                  <c:v>42912</c:v>
                </c:pt>
                <c:pt idx="1878">
                  <c:v>42913</c:v>
                </c:pt>
                <c:pt idx="1879">
                  <c:v>42914</c:v>
                </c:pt>
                <c:pt idx="1880">
                  <c:v>42915</c:v>
                </c:pt>
                <c:pt idx="1881">
                  <c:v>42916</c:v>
                </c:pt>
                <c:pt idx="1882">
                  <c:v>42919</c:v>
                </c:pt>
                <c:pt idx="1883">
                  <c:v>42921</c:v>
                </c:pt>
                <c:pt idx="1884">
                  <c:v>42922</c:v>
                </c:pt>
                <c:pt idx="1885">
                  <c:v>42923</c:v>
                </c:pt>
                <c:pt idx="1886">
                  <c:v>42926</c:v>
                </c:pt>
                <c:pt idx="1887">
                  <c:v>42927</c:v>
                </c:pt>
                <c:pt idx="1888">
                  <c:v>42928</c:v>
                </c:pt>
                <c:pt idx="1889">
                  <c:v>42929</c:v>
                </c:pt>
                <c:pt idx="1890">
                  <c:v>42930</c:v>
                </c:pt>
                <c:pt idx="1891">
                  <c:v>42933</c:v>
                </c:pt>
                <c:pt idx="1892">
                  <c:v>42934</c:v>
                </c:pt>
                <c:pt idx="1893">
                  <c:v>42935</c:v>
                </c:pt>
                <c:pt idx="1894">
                  <c:v>42936</c:v>
                </c:pt>
                <c:pt idx="1895">
                  <c:v>42937</c:v>
                </c:pt>
                <c:pt idx="1896">
                  <c:v>42940</c:v>
                </c:pt>
                <c:pt idx="1897">
                  <c:v>42941</c:v>
                </c:pt>
                <c:pt idx="1898">
                  <c:v>42942</c:v>
                </c:pt>
                <c:pt idx="1899">
                  <c:v>42943</c:v>
                </c:pt>
                <c:pt idx="1900">
                  <c:v>42944</c:v>
                </c:pt>
                <c:pt idx="1901">
                  <c:v>42947</c:v>
                </c:pt>
                <c:pt idx="1902">
                  <c:v>42948</c:v>
                </c:pt>
                <c:pt idx="1903">
                  <c:v>42949</c:v>
                </c:pt>
                <c:pt idx="1904">
                  <c:v>42950</c:v>
                </c:pt>
                <c:pt idx="1905">
                  <c:v>42951</c:v>
                </c:pt>
                <c:pt idx="1906">
                  <c:v>42954</c:v>
                </c:pt>
                <c:pt idx="1907">
                  <c:v>42955</c:v>
                </c:pt>
                <c:pt idx="1908">
                  <c:v>42956</c:v>
                </c:pt>
                <c:pt idx="1909">
                  <c:v>42957</c:v>
                </c:pt>
                <c:pt idx="1910">
                  <c:v>42958</c:v>
                </c:pt>
                <c:pt idx="1911">
                  <c:v>42961</c:v>
                </c:pt>
                <c:pt idx="1912">
                  <c:v>42962</c:v>
                </c:pt>
                <c:pt idx="1913">
                  <c:v>42963</c:v>
                </c:pt>
                <c:pt idx="1914">
                  <c:v>42964</c:v>
                </c:pt>
                <c:pt idx="1915">
                  <c:v>42965</c:v>
                </c:pt>
                <c:pt idx="1916">
                  <c:v>42968</c:v>
                </c:pt>
                <c:pt idx="1917">
                  <c:v>42969</c:v>
                </c:pt>
                <c:pt idx="1918">
                  <c:v>42970</c:v>
                </c:pt>
                <c:pt idx="1919">
                  <c:v>42971</c:v>
                </c:pt>
                <c:pt idx="1920">
                  <c:v>42972</c:v>
                </c:pt>
                <c:pt idx="1921">
                  <c:v>42975</c:v>
                </c:pt>
                <c:pt idx="1922">
                  <c:v>42976</c:v>
                </c:pt>
                <c:pt idx="1923">
                  <c:v>42977</c:v>
                </c:pt>
                <c:pt idx="1924">
                  <c:v>42978</c:v>
                </c:pt>
                <c:pt idx="1925">
                  <c:v>42979</c:v>
                </c:pt>
                <c:pt idx="1926">
                  <c:v>42983</c:v>
                </c:pt>
                <c:pt idx="1927">
                  <c:v>42984</c:v>
                </c:pt>
                <c:pt idx="1928">
                  <c:v>42985</c:v>
                </c:pt>
                <c:pt idx="1929">
                  <c:v>42986</c:v>
                </c:pt>
                <c:pt idx="1930">
                  <c:v>42989</c:v>
                </c:pt>
                <c:pt idx="1931">
                  <c:v>42990</c:v>
                </c:pt>
                <c:pt idx="1932">
                  <c:v>42991</c:v>
                </c:pt>
                <c:pt idx="1933">
                  <c:v>42992</c:v>
                </c:pt>
                <c:pt idx="1934">
                  <c:v>42993</c:v>
                </c:pt>
                <c:pt idx="1935">
                  <c:v>42996</c:v>
                </c:pt>
                <c:pt idx="1936">
                  <c:v>42997</c:v>
                </c:pt>
                <c:pt idx="1937">
                  <c:v>42998</c:v>
                </c:pt>
                <c:pt idx="1938">
                  <c:v>42999</c:v>
                </c:pt>
                <c:pt idx="1939">
                  <c:v>43000</c:v>
                </c:pt>
                <c:pt idx="1940">
                  <c:v>43003</c:v>
                </c:pt>
                <c:pt idx="1941">
                  <c:v>43004</c:v>
                </c:pt>
                <c:pt idx="1942">
                  <c:v>43005</c:v>
                </c:pt>
                <c:pt idx="1943">
                  <c:v>43006</c:v>
                </c:pt>
                <c:pt idx="1944">
                  <c:v>43007</c:v>
                </c:pt>
                <c:pt idx="1945">
                  <c:v>43010</c:v>
                </c:pt>
                <c:pt idx="1946">
                  <c:v>43011</c:v>
                </c:pt>
                <c:pt idx="1947">
                  <c:v>43012</c:v>
                </c:pt>
                <c:pt idx="1948">
                  <c:v>43013</c:v>
                </c:pt>
                <c:pt idx="1949">
                  <c:v>43014</c:v>
                </c:pt>
                <c:pt idx="1950">
                  <c:v>43017</c:v>
                </c:pt>
                <c:pt idx="1951">
                  <c:v>43018</c:v>
                </c:pt>
                <c:pt idx="1952">
                  <c:v>43019</c:v>
                </c:pt>
                <c:pt idx="1953">
                  <c:v>43020</c:v>
                </c:pt>
                <c:pt idx="1954">
                  <c:v>43021</c:v>
                </c:pt>
                <c:pt idx="1955">
                  <c:v>43024</c:v>
                </c:pt>
                <c:pt idx="1956">
                  <c:v>43025</c:v>
                </c:pt>
                <c:pt idx="1957">
                  <c:v>43026</c:v>
                </c:pt>
                <c:pt idx="1958">
                  <c:v>43027</c:v>
                </c:pt>
                <c:pt idx="1959">
                  <c:v>43028</c:v>
                </c:pt>
                <c:pt idx="1960">
                  <c:v>43031</c:v>
                </c:pt>
                <c:pt idx="1961">
                  <c:v>43032</c:v>
                </c:pt>
                <c:pt idx="1962">
                  <c:v>43033</c:v>
                </c:pt>
                <c:pt idx="1963">
                  <c:v>43034</c:v>
                </c:pt>
                <c:pt idx="1964">
                  <c:v>43035</c:v>
                </c:pt>
                <c:pt idx="1965">
                  <c:v>43038</c:v>
                </c:pt>
                <c:pt idx="1966">
                  <c:v>43039</c:v>
                </c:pt>
                <c:pt idx="1967">
                  <c:v>43040</c:v>
                </c:pt>
                <c:pt idx="1968">
                  <c:v>43041</c:v>
                </c:pt>
                <c:pt idx="1969">
                  <c:v>43042</c:v>
                </c:pt>
                <c:pt idx="1970">
                  <c:v>43045</c:v>
                </c:pt>
                <c:pt idx="1971">
                  <c:v>43046</c:v>
                </c:pt>
                <c:pt idx="1972">
                  <c:v>43047</c:v>
                </c:pt>
                <c:pt idx="1973">
                  <c:v>43048</c:v>
                </c:pt>
                <c:pt idx="1974">
                  <c:v>43049</c:v>
                </c:pt>
                <c:pt idx="1975">
                  <c:v>43052</c:v>
                </c:pt>
                <c:pt idx="1976">
                  <c:v>43053</c:v>
                </c:pt>
                <c:pt idx="1977">
                  <c:v>43054</c:v>
                </c:pt>
                <c:pt idx="1978">
                  <c:v>43055</c:v>
                </c:pt>
                <c:pt idx="1979">
                  <c:v>43056</c:v>
                </c:pt>
                <c:pt idx="1980">
                  <c:v>43059</c:v>
                </c:pt>
              </c:numCache>
            </c:numRef>
          </c:xVal>
          <c:yVal>
            <c:numRef>
              <c:f>'CrackSpread-1'!$E$2:$E$1982</c:f>
              <c:numCache>
                <c:formatCode>0.00</c:formatCode>
                <c:ptCount val="1981"/>
                <c:pt idx="0">
                  <c:v>8.0801999999999907</c:v>
                </c:pt>
                <c:pt idx="1">
                  <c:v>7.4895999999999958</c:v>
                </c:pt>
                <c:pt idx="2">
                  <c:v>7.6876000000000033</c:v>
                </c:pt>
                <c:pt idx="3">
                  <c:v>8.4026000000000067</c:v>
                </c:pt>
                <c:pt idx="4">
                  <c:v>7.9970000000000141</c:v>
                </c:pt>
                <c:pt idx="5">
                  <c:v>7.7935999999999881</c:v>
                </c:pt>
                <c:pt idx="6">
                  <c:v>7.3599999999999852</c:v>
                </c:pt>
                <c:pt idx="7">
                  <c:v>7.8369999999999891</c:v>
                </c:pt>
                <c:pt idx="8">
                  <c:v>7.9151999999999889</c:v>
                </c:pt>
                <c:pt idx="9">
                  <c:v>6.9704000000000024</c:v>
                </c:pt>
                <c:pt idx="10">
                  <c:v>7.8574000000000028</c:v>
                </c:pt>
                <c:pt idx="11">
                  <c:v>7.7281999999999966</c:v>
                </c:pt>
                <c:pt idx="12">
                  <c:v>8.0572000000000035</c:v>
                </c:pt>
                <c:pt idx="13">
                  <c:v>8.6027999999999825</c:v>
                </c:pt>
                <c:pt idx="14">
                  <c:v>8.1000000000000032</c:v>
                </c:pt>
                <c:pt idx="15">
                  <c:v>7.8310000000000075</c:v>
                </c:pt>
                <c:pt idx="16">
                  <c:v>7.3331999999999953</c:v>
                </c:pt>
                <c:pt idx="17">
                  <c:v>7.4671999999999912</c:v>
                </c:pt>
                <c:pt idx="18">
                  <c:v>7.037399999999991</c:v>
                </c:pt>
                <c:pt idx="19">
                  <c:v>7.7149999999999936</c:v>
                </c:pt>
                <c:pt idx="20">
                  <c:v>8.3051999999999939</c:v>
                </c:pt>
                <c:pt idx="21">
                  <c:v>8.5751999999999953</c:v>
                </c:pt>
                <c:pt idx="22">
                  <c:v>7.8764000000000083</c:v>
                </c:pt>
                <c:pt idx="23">
                  <c:v>7.538999999999997</c:v>
                </c:pt>
                <c:pt idx="24">
                  <c:v>7.3842000000000025</c:v>
                </c:pt>
                <c:pt idx="25">
                  <c:v>6.7486000000000006</c:v>
                </c:pt>
                <c:pt idx="26">
                  <c:v>6.401600000000002</c:v>
                </c:pt>
                <c:pt idx="27">
                  <c:v>6.7606000000000108</c:v>
                </c:pt>
                <c:pt idx="28">
                  <c:v>6.6077999999999975</c:v>
                </c:pt>
                <c:pt idx="29">
                  <c:v>6.9625999999999904</c:v>
                </c:pt>
                <c:pt idx="30">
                  <c:v>7.6000000000000041</c:v>
                </c:pt>
                <c:pt idx="31">
                  <c:v>7.3181999999999903</c:v>
                </c:pt>
                <c:pt idx="32">
                  <c:v>8.1671999999999993</c:v>
                </c:pt>
                <c:pt idx="33">
                  <c:v>10.542200000000017</c:v>
                </c:pt>
                <c:pt idx="34">
                  <c:v>9.9460000000000068</c:v>
                </c:pt>
                <c:pt idx="35">
                  <c:v>10.095400000000012</c:v>
                </c:pt>
                <c:pt idx="36">
                  <c:v>9.9858000000000029</c:v>
                </c:pt>
                <c:pt idx="37">
                  <c:v>10.610200000000001</c:v>
                </c:pt>
                <c:pt idx="38">
                  <c:v>11.374599999999987</c:v>
                </c:pt>
                <c:pt idx="39">
                  <c:v>11.29540000000001</c:v>
                </c:pt>
                <c:pt idx="40">
                  <c:v>11.451599999999985</c:v>
                </c:pt>
                <c:pt idx="41">
                  <c:v>11.70459999999999</c:v>
                </c:pt>
                <c:pt idx="42">
                  <c:v>11.055600000000007</c:v>
                </c:pt>
                <c:pt idx="43">
                  <c:v>11.519599999999997</c:v>
                </c:pt>
                <c:pt idx="44">
                  <c:v>11.116000000000005</c:v>
                </c:pt>
                <c:pt idx="45">
                  <c:v>11.216000000000008</c:v>
                </c:pt>
                <c:pt idx="46">
                  <c:v>11.244799999999998</c:v>
                </c:pt>
                <c:pt idx="47">
                  <c:v>11.600199999999992</c:v>
                </c:pt>
                <c:pt idx="48">
                  <c:v>11.69459999999998</c:v>
                </c:pt>
                <c:pt idx="49">
                  <c:v>11.892599999999996</c:v>
                </c:pt>
                <c:pt idx="50">
                  <c:v>11.260600000000002</c:v>
                </c:pt>
                <c:pt idx="51">
                  <c:v>10.944200000000015</c:v>
                </c:pt>
                <c:pt idx="52">
                  <c:v>11.040199999999999</c:v>
                </c:pt>
                <c:pt idx="53">
                  <c:v>10.789000000000007</c:v>
                </c:pt>
                <c:pt idx="54">
                  <c:v>10.78079999999999</c:v>
                </c:pt>
                <c:pt idx="55">
                  <c:v>10.976199999999986</c:v>
                </c:pt>
                <c:pt idx="56">
                  <c:v>10.98600000000001</c:v>
                </c:pt>
                <c:pt idx="57">
                  <c:v>11.091199999999995</c:v>
                </c:pt>
                <c:pt idx="58">
                  <c:v>11.34759999999998</c:v>
                </c:pt>
                <c:pt idx="59">
                  <c:v>7.7974000000000006</c:v>
                </c:pt>
                <c:pt idx="60">
                  <c:v>11.664199999999994</c:v>
                </c:pt>
                <c:pt idx="61">
                  <c:v>10.668600000000007</c:v>
                </c:pt>
                <c:pt idx="62">
                  <c:v>10.34620000000001</c:v>
                </c:pt>
                <c:pt idx="63">
                  <c:v>10.157199999999989</c:v>
                </c:pt>
                <c:pt idx="64">
                  <c:v>10.344400000000007</c:v>
                </c:pt>
                <c:pt idx="65">
                  <c:v>11.006999999999996</c:v>
                </c:pt>
                <c:pt idx="66">
                  <c:v>11.609200000000007</c:v>
                </c:pt>
                <c:pt idx="67">
                  <c:v>10.865000000000009</c:v>
                </c:pt>
                <c:pt idx="68">
                  <c:v>11.15579999999998</c:v>
                </c:pt>
                <c:pt idx="69">
                  <c:v>10.122599999999997</c:v>
                </c:pt>
                <c:pt idx="70">
                  <c:v>10.188400000000001</c:v>
                </c:pt>
                <c:pt idx="71">
                  <c:v>11.244999999999996</c:v>
                </c:pt>
                <c:pt idx="72">
                  <c:v>11.820999999999989</c:v>
                </c:pt>
                <c:pt idx="73">
                  <c:v>12.344199999999981</c:v>
                </c:pt>
                <c:pt idx="74">
                  <c:v>12.783399999999991</c:v>
                </c:pt>
                <c:pt idx="75">
                  <c:v>13.160199999999994</c:v>
                </c:pt>
                <c:pt idx="76">
                  <c:v>14.326600000000004</c:v>
                </c:pt>
                <c:pt idx="77">
                  <c:v>13.662800000000013</c:v>
                </c:pt>
                <c:pt idx="78">
                  <c:v>12.715200000000001</c:v>
                </c:pt>
                <c:pt idx="79">
                  <c:v>13.452999999999975</c:v>
                </c:pt>
                <c:pt idx="80">
                  <c:v>14.824199999999999</c:v>
                </c:pt>
                <c:pt idx="81">
                  <c:v>13.914600000000007</c:v>
                </c:pt>
                <c:pt idx="82">
                  <c:v>12.784200000000007</c:v>
                </c:pt>
                <c:pt idx="83">
                  <c:v>12.858200000000011</c:v>
                </c:pt>
                <c:pt idx="84">
                  <c:v>13.505800000000002</c:v>
                </c:pt>
                <c:pt idx="85">
                  <c:v>13.715600000000014</c:v>
                </c:pt>
                <c:pt idx="86">
                  <c:v>15.056999999999979</c:v>
                </c:pt>
                <c:pt idx="87">
                  <c:v>16.468599999999991</c:v>
                </c:pt>
                <c:pt idx="88">
                  <c:v>16.909399999999994</c:v>
                </c:pt>
                <c:pt idx="89">
                  <c:v>16.900799999999986</c:v>
                </c:pt>
                <c:pt idx="90">
                  <c:v>14.919599999999994</c:v>
                </c:pt>
                <c:pt idx="91">
                  <c:v>11.967799999999992</c:v>
                </c:pt>
                <c:pt idx="92">
                  <c:v>11.178400000000011</c:v>
                </c:pt>
                <c:pt idx="93">
                  <c:v>10.881600000000011</c:v>
                </c:pt>
                <c:pt idx="94">
                  <c:v>11.391</c:v>
                </c:pt>
                <c:pt idx="95">
                  <c:v>11.379200000000006</c:v>
                </c:pt>
                <c:pt idx="96">
                  <c:v>11.369200000000006</c:v>
                </c:pt>
                <c:pt idx="97">
                  <c:v>10.557999999999993</c:v>
                </c:pt>
                <c:pt idx="98">
                  <c:v>10.577000000000007</c:v>
                </c:pt>
                <c:pt idx="99">
                  <c:v>10.837800000000007</c:v>
                </c:pt>
                <c:pt idx="100">
                  <c:v>10.515599999999997</c:v>
                </c:pt>
                <c:pt idx="101">
                  <c:v>11.953400000000007</c:v>
                </c:pt>
                <c:pt idx="102">
                  <c:v>12.210999999999993</c:v>
                </c:pt>
                <c:pt idx="103">
                  <c:v>11.766199999999989</c:v>
                </c:pt>
                <c:pt idx="104">
                  <c:v>11.973399999999998</c:v>
                </c:pt>
                <c:pt idx="105">
                  <c:v>11.219000000000014</c:v>
                </c:pt>
                <c:pt idx="106">
                  <c:v>10.865999999999994</c:v>
                </c:pt>
                <c:pt idx="107">
                  <c:v>10.953200000000001</c:v>
                </c:pt>
                <c:pt idx="108">
                  <c:v>11.6858</c:v>
                </c:pt>
                <c:pt idx="109">
                  <c:v>11.381799999999998</c:v>
                </c:pt>
                <c:pt idx="110">
                  <c:v>11.421000000000012</c:v>
                </c:pt>
                <c:pt idx="111">
                  <c:v>11.937000000000012</c:v>
                </c:pt>
                <c:pt idx="112">
                  <c:v>13.865600000000009</c:v>
                </c:pt>
                <c:pt idx="113">
                  <c:v>11.677399999999997</c:v>
                </c:pt>
                <c:pt idx="114">
                  <c:v>11.431000000000003</c:v>
                </c:pt>
                <c:pt idx="115">
                  <c:v>11.513399999999999</c:v>
                </c:pt>
                <c:pt idx="116">
                  <c:v>11.028199999999998</c:v>
                </c:pt>
                <c:pt idx="117">
                  <c:v>11.058599999999975</c:v>
                </c:pt>
                <c:pt idx="118">
                  <c:v>11.454000000000008</c:v>
                </c:pt>
                <c:pt idx="119">
                  <c:v>11.035000000000005</c:v>
                </c:pt>
                <c:pt idx="120">
                  <c:v>10.580000000000004</c:v>
                </c:pt>
                <c:pt idx="121">
                  <c:v>10.2614</c:v>
                </c:pt>
                <c:pt idx="122">
                  <c:v>10.121799999999999</c:v>
                </c:pt>
                <c:pt idx="123">
                  <c:v>10.052599999999993</c:v>
                </c:pt>
                <c:pt idx="124">
                  <c:v>10.057200000000003</c:v>
                </c:pt>
                <c:pt idx="125">
                  <c:v>10.34020000000001</c:v>
                </c:pt>
                <c:pt idx="126">
                  <c:v>10.064999999999998</c:v>
                </c:pt>
                <c:pt idx="127">
                  <c:v>10.229800000000003</c:v>
                </c:pt>
                <c:pt idx="128">
                  <c:v>9.7121999999999957</c:v>
                </c:pt>
                <c:pt idx="129">
                  <c:v>9.8123999999999967</c:v>
                </c:pt>
                <c:pt idx="130">
                  <c:v>9.3274000000000115</c:v>
                </c:pt>
                <c:pt idx="131">
                  <c:v>9.3357999999999866</c:v>
                </c:pt>
                <c:pt idx="132">
                  <c:v>9.508999999999995</c:v>
                </c:pt>
                <c:pt idx="133">
                  <c:v>8.99</c:v>
                </c:pt>
                <c:pt idx="134">
                  <c:v>8.9665999999999908</c:v>
                </c:pt>
                <c:pt idx="135">
                  <c:v>9.4854000000000074</c:v>
                </c:pt>
                <c:pt idx="136">
                  <c:v>9.8981999999999939</c:v>
                </c:pt>
                <c:pt idx="137">
                  <c:v>9.4580000000000073</c:v>
                </c:pt>
                <c:pt idx="138">
                  <c:v>8.9945999999999913</c:v>
                </c:pt>
                <c:pt idx="139">
                  <c:v>8.7063999999999933</c:v>
                </c:pt>
                <c:pt idx="140">
                  <c:v>9.1856000000000027</c:v>
                </c:pt>
                <c:pt idx="141">
                  <c:v>9.442400000000001</c:v>
                </c:pt>
                <c:pt idx="142">
                  <c:v>9.7105999999999995</c:v>
                </c:pt>
                <c:pt idx="143">
                  <c:v>9.5312000000000037</c:v>
                </c:pt>
                <c:pt idx="144">
                  <c:v>9.6680000000000064</c:v>
                </c:pt>
                <c:pt idx="145">
                  <c:v>9.2608000000000086</c:v>
                </c:pt>
                <c:pt idx="146">
                  <c:v>9.2084000000000028</c:v>
                </c:pt>
                <c:pt idx="147">
                  <c:v>8.5163999999999955</c:v>
                </c:pt>
                <c:pt idx="148">
                  <c:v>7.9967999999999888</c:v>
                </c:pt>
                <c:pt idx="149">
                  <c:v>7.8940000000000055</c:v>
                </c:pt>
                <c:pt idx="150">
                  <c:v>6.9656000000000047</c:v>
                </c:pt>
                <c:pt idx="151">
                  <c:v>7.0154000000000183</c:v>
                </c:pt>
                <c:pt idx="152">
                  <c:v>6.8571999999999962</c:v>
                </c:pt>
                <c:pt idx="153">
                  <c:v>6.4836000000000054</c:v>
                </c:pt>
                <c:pt idx="154">
                  <c:v>7.2822000000000076</c:v>
                </c:pt>
                <c:pt idx="155">
                  <c:v>7.482200000000006</c:v>
                </c:pt>
                <c:pt idx="156">
                  <c:v>7.2434000000000083</c:v>
                </c:pt>
                <c:pt idx="157">
                  <c:v>6.0640000000000116</c:v>
                </c:pt>
                <c:pt idx="158">
                  <c:v>6.0629999999999979</c:v>
                </c:pt>
                <c:pt idx="159">
                  <c:v>6.3822000000000116</c:v>
                </c:pt>
                <c:pt idx="160">
                  <c:v>6.3895999999999917</c:v>
                </c:pt>
                <c:pt idx="161">
                  <c:v>7.2912000000000035</c:v>
                </c:pt>
                <c:pt idx="162">
                  <c:v>7.2493999999999987</c:v>
                </c:pt>
                <c:pt idx="163">
                  <c:v>7.2461999999999875</c:v>
                </c:pt>
                <c:pt idx="164">
                  <c:v>7.9710000000000036</c:v>
                </c:pt>
                <c:pt idx="165">
                  <c:v>7.5602000000000089</c:v>
                </c:pt>
                <c:pt idx="166">
                  <c:v>7.6570000000000009</c:v>
                </c:pt>
                <c:pt idx="167">
                  <c:v>7.9482000000000141</c:v>
                </c:pt>
                <c:pt idx="168">
                  <c:v>9.0714000000000024</c:v>
                </c:pt>
                <c:pt idx="169">
                  <c:v>8.8987999999999943</c:v>
                </c:pt>
                <c:pt idx="170">
                  <c:v>8.2583999999999946</c:v>
                </c:pt>
                <c:pt idx="171">
                  <c:v>7.9846000000000004</c:v>
                </c:pt>
                <c:pt idx="172">
                  <c:v>8.1352000000000171</c:v>
                </c:pt>
                <c:pt idx="173">
                  <c:v>8.7863999999999951</c:v>
                </c:pt>
                <c:pt idx="174">
                  <c:v>8.7076000000000136</c:v>
                </c:pt>
                <c:pt idx="175">
                  <c:v>8.206400000000011</c:v>
                </c:pt>
                <c:pt idx="176">
                  <c:v>8.3504000000000076</c:v>
                </c:pt>
                <c:pt idx="177">
                  <c:v>8.6855999999999938</c:v>
                </c:pt>
                <c:pt idx="178">
                  <c:v>8.2764000000000042</c:v>
                </c:pt>
                <c:pt idx="179">
                  <c:v>8.2502000000000066</c:v>
                </c:pt>
                <c:pt idx="180">
                  <c:v>7.9398000000000097</c:v>
                </c:pt>
                <c:pt idx="181">
                  <c:v>7.7264000000000026</c:v>
                </c:pt>
                <c:pt idx="182">
                  <c:v>8.6194000000000042</c:v>
                </c:pt>
                <c:pt idx="183">
                  <c:v>8.789999999999992</c:v>
                </c:pt>
                <c:pt idx="184">
                  <c:v>8.9439999999999973</c:v>
                </c:pt>
                <c:pt idx="185">
                  <c:v>9.1282000000000014</c:v>
                </c:pt>
                <c:pt idx="186">
                  <c:v>8.9304000000000006</c:v>
                </c:pt>
                <c:pt idx="187">
                  <c:v>9.4443999999999928</c:v>
                </c:pt>
                <c:pt idx="188">
                  <c:v>9.1591999999999985</c:v>
                </c:pt>
                <c:pt idx="189">
                  <c:v>9.5201999999999973</c:v>
                </c:pt>
                <c:pt idx="190">
                  <c:v>10.330000000000004</c:v>
                </c:pt>
                <c:pt idx="191">
                  <c:v>9.4741999999999962</c:v>
                </c:pt>
                <c:pt idx="192">
                  <c:v>9.8506000000000054</c:v>
                </c:pt>
                <c:pt idx="193">
                  <c:v>9.1065999999999949</c:v>
                </c:pt>
                <c:pt idx="194">
                  <c:v>8.8876000000000008</c:v>
                </c:pt>
                <c:pt idx="195">
                  <c:v>8.3074000000000101</c:v>
                </c:pt>
                <c:pt idx="196">
                  <c:v>7.8425999999999947</c:v>
                </c:pt>
                <c:pt idx="197">
                  <c:v>7.0683999999999969</c:v>
                </c:pt>
                <c:pt idx="198">
                  <c:v>7.5419999999999918</c:v>
                </c:pt>
                <c:pt idx="199">
                  <c:v>7.5893999999999933</c:v>
                </c:pt>
                <c:pt idx="200">
                  <c:v>7.2017999999999915</c:v>
                </c:pt>
                <c:pt idx="201">
                  <c:v>7.3692000000000162</c:v>
                </c:pt>
                <c:pt idx="202">
                  <c:v>7.7580000000000195</c:v>
                </c:pt>
                <c:pt idx="203">
                  <c:v>7.7700000000000005</c:v>
                </c:pt>
                <c:pt idx="204">
                  <c:v>7.5609999999999786</c:v>
                </c:pt>
                <c:pt idx="205">
                  <c:v>7.5389999999999873</c:v>
                </c:pt>
                <c:pt idx="206">
                  <c:v>7.2791999999999932</c:v>
                </c:pt>
                <c:pt idx="207">
                  <c:v>7.7645999999999917</c:v>
                </c:pt>
                <c:pt idx="208">
                  <c:v>7.6922000000000139</c:v>
                </c:pt>
                <c:pt idx="209">
                  <c:v>7.5772000000000235</c:v>
                </c:pt>
                <c:pt idx="210">
                  <c:v>7.5058000000000034</c:v>
                </c:pt>
                <c:pt idx="211">
                  <c:v>8.1538000000000093</c:v>
                </c:pt>
                <c:pt idx="212">
                  <c:v>8.9901999999999962</c:v>
                </c:pt>
                <c:pt idx="213">
                  <c:v>8.7620000000000005</c:v>
                </c:pt>
                <c:pt idx="214">
                  <c:v>10.082000000000013</c:v>
                </c:pt>
                <c:pt idx="215">
                  <c:v>9.7926000000000126</c:v>
                </c:pt>
                <c:pt idx="216">
                  <c:v>10.345599999999999</c:v>
                </c:pt>
                <c:pt idx="217">
                  <c:v>10.907800000000009</c:v>
                </c:pt>
                <c:pt idx="218">
                  <c:v>10.149400000000014</c:v>
                </c:pt>
                <c:pt idx="219">
                  <c:v>9.6640000000000068</c:v>
                </c:pt>
                <c:pt idx="220">
                  <c:v>8.9940000000000087</c:v>
                </c:pt>
                <c:pt idx="221">
                  <c:v>8.9169999999999927</c:v>
                </c:pt>
                <c:pt idx="222">
                  <c:v>9.455600000000004</c:v>
                </c:pt>
                <c:pt idx="223">
                  <c:v>9.3371999999999957</c:v>
                </c:pt>
                <c:pt idx="224">
                  <c:v>9.8774000000000033</c:v>
                </c:pt>
                <c:pt idx="225">
                  <c:v>9.6619999999999973</c:v>
                </c:pt>
                <c:pt idx="226">
                  <c:v>11.339599999999981</c:v>
                </c:pt>
                <c:pt idx="227">
                  <c:v>12.312800000000001</c:v>
                </c:pt>
                <c:pt idx="228">
                  <c:v>11.492399999999995</c:v>
                </c:pt>
                <c:pt idx="229">
                  <c:v>10.847399999999993</c:v>
                </c:pt>
                <c:pt idx="230">
                  <c:v>10.936800000000005</c:v>
                </c:pt>
                <c:pt idx="231">
                  <c:v>10.698599999999999</c:v>
                </c:pt>
                <c:pt idx="232">
                  <c:v>11.699199999999999</c:v>
                </c:pt>
                <c:pt idx="233">
                  <c:v>11.275399999999991</c:v>
                </c:pt>
                <c:pt idx="234">
                  <c:v>10.818000000000003</c:v>
                </c:pt>
                <c:pt idx="235">
                  <c:v>10.569799999999987</c:v>
                </c:pt>
                <c:pt idx="236">
                  <c:v>10.806600000000003</c:v>
                </c:pt>
                <c:pt idx="237">
                  <c:v>11.4886</c:v>
                </c:pt>
                <c:pt idx="238">
                  <c:v>10.930200000000013</c:v>
                </c:pt>
                <c:pt idx="239">
                  <c:v>12.061400000000011</c:v>
                </c:pt>
                <c:pt idx="240">
                  <c:v>12.272200000000018</c:v>
                </c:pt>
                <c:pt idx="241">
                  <c:v>12.475999999999999</c:v>
                </c:pt>
                <c:pt idx="242">
                  <c:v>12.144599999999988</c:v>
                </c:pt>
                <c:pt idx="243">
                  <c:v>11.762800000000007</c:v>
                </c:pt>
                <c:pt idx="244">
                  <c:v>11.145400000000015</c:v>
                </c:pt>
                <c:pt idx="245">
                  <c:v>11.23260000000001</c:v>
                </c:pt>
                <c:pt idx="246">
                  <c:v>11.932999999999993</c:v>
                </c:pt>
                <c:pt idx="247">
                  <c:v>12.262</c:v>
                </c:pt>
                <c:pt idx="248">
                  <c:v>12.153600000000003</c:v>
                </c:pt>
                <c:pt idx="249">
                  <c:v>13.302999999999997</c:v>
                </c:pt>
                <c:pt idx="250">
                  <c:v>13.753600000000006</c:v>
                </c:pt>
                <c:pt idx="251">
                  <c:v>15.180800000000014</c:v>
                </c:pt>
                <c:pt idx="252">
                  <c:v>14.34499999999999</c:v>
                </c:pt>
                <c:pt idx="253">
                  <c:v>15.255800000000002</c:v>
                </c:pt>
                <c:pt idx="254">
                  <c:v>14.808400000000006</c:v>
                </c:pt>
                <c:pt idx="255">
                  <c:v>13.767200000000003</c:v>
                </c:pt>
                <c:pt idx="256">
                  <c:v>13.612599999999986</c:v>
                </c:pt>
                <c:pt idx="257">
                  <c:v>15.341600000000009</c:v>
                </c:pt>
                <c:pt idx="258">
                  <c:v>14.150200000000003</c:v>
                </c:pt>
                <c:pt idx="259">
                  <c:v>14.86159999999999</c:v>
                </c:pt>
                <c:pt idx="260">
                  <c:v>15.559799999999996</c:v>
                </c:pt>
                <c:pt idx="261">
                  <c:v>17.448200000000003</c:v>
                </c:pt>
                <c:pt idx="262">
                  <c:v>17.114599999999996</c:v>
                </c:pt>
                <c:pt idx="263">
                  <c:v>16.539199999999994</c:v>
                </c:pt>
                <c:pt idx="264">
                  <c:v>18.852999999999991</c:v>
                </c:pt>
                <c:pt idx="265">
                  <c:v>19.100999999999999</c:v>
                </c:pt>
                <c:pt idx="266">
                  <c:v>17.983999999999998</c:v>
                </c:pt>
                <c:pt idx="267">
                  <c:v>16.177000000000003</c:v>
                </c:pt>
                <c:pt idx="268">
                  <c:v>18.371200000000005</c:v>
                </c:pt>
                <c:pt idx="269">
                  <c:v>18.027800000000013</c:v>
                </c:pt>
                <c:pt idx="270">
                  <c:v>18.298799999999989</c:v>
                </c:pt>
                <c:pt idx="271">
                  <c:v>17.192199999999975</c:v>
                </c:pt>
                <c:pt idx="272">
                  <c:v>19.019400000000001</c:v>
                </c:pt>
                <c:pt idx="273">
                  <c:v>21.142800000000005</c:v>
                </c:pt>
                <c:pt idx="274">
                  <c:v>22.782599999999984</c:v>
                </c:pt>
                <c:pt idx="275">
                  <c:v>20.374200000000013</c:v>
                </c:pt>
                <c:pt idx="276">
                  <c:v>21.186799999999987</c:v>
                </c:pt>
                <c:pt idx="277">
                  <c:v>24.182799999999986</c:v>
                </c:pt>
                <c:pt idx="278">
                  <c:v>23.572400000000016</c:v>
                </c:pt>
                <c:pt idx="279">
                  <c:v>25.108800000000013</c:v>
                </c:pt>
                <c:pt idx="280">
                  <c:v>22.669200000000007</c:v>
                </c:pt>
                <c:pt idx="281">
                  <c:v>23.593400000000013</c:v>
                </c:pt>
                <c:pt idx="282">
                  <c:v>20.728199999999998</c:v>
                </c:pt>
                <c:pt idx="283">
                  <c:v>23.02800000000002</c:v>
                </c:pt>
                <c:pt idx="284">
                  <c:v>23.72199999999998</c:v>
                </c:pt>
                <c:pt idx="285">
                  <c:v>24.797799999999995</c:v>
                </c:pt>
                <c:pt idx="286">
                  <c:v>25.170200000000023</c:v>
                </c:pt>
                <c:pt idx="287">
                  <c:v>26.234200000000005</c:v>
                </c:pt>
                <c:pt idx="288">
                  <c:v>25.403800000000007</c:v>
                </c:pt>
                <c:pt idx="289">
                  <c:v>25.513799999999986</c:v>
                </c:pt>
                <c:pt idx="290">
                  <c:v>24.129400000000015</c:v>
                </c:pt>
                <c:pt idx="291">
                  <c:v>21.588999999999999</c:v>
                </c:pt>
                <c:pt idx="292">
                  <c:v>19.64299999999999</c:v>
                </c:pt>
                <c:pt idx="293">
                  <c:v>23.371400000000012</c:v>
                </c:pt>
                <c:pt idx="294">
                  <c:v>24.477399999999989</c:v>
                </c:pt>
                <c:pt idx="295">
                  <c:v>24.901599999999991</c:v>
                </c:pt>
                <c:pt idx="296">
                  <c:v>24.59160000000001</c:v>
                </c:pt>
                <c:pt idx="297">
                  <c:v>22.654399999999992</c:v>
                </c:pt>
                <c:pt idx="298">
                  <c:v>23.604399999999998</c:v>
                </c:pt>
                <c:pt idx="299">
                  <c:v>24.105400000000014</c:v>
                </c:pt>
                <c:pt idx="300">
                  <c:v>23.07340000000001</c:v>
                </c:pt>
                <c:pt idx="301">
                  <c:v>23.572200000000009</c:v>
                </c:pt>
                <c:pt idx="302">
                  <c:v>22.057399999999991</c:v>
                </c:pt>
                <c:pt idx="303">
                  <c:v>22.924200000000003</c:v>
                </c:pt>
                <c:pt idx="304">
                  <c:v>22.986999999999984</c:v>
                </c:pt>
                <c:pt idx="305">
                  <c:v>23.369600000000009</c:v>
                </c:pt>
                <c:pt idx="306">
                  <c:v>23.233000000000004</c:v>
                </c:pt>
                <c:pt idx="307">
                  <c:v>24.081999999999994</c:v>
                </c:pt>
                <c:pt idx="308">
                  <c:v>23.870600000000007</c:v>
                </c:pt>
                <c:pt idx="309">
                  <c:v>24.179400000000005</c:v>
                </c:pt>
                <c:pt idx="310">
                  <c:v>24.656000000000006</c:v>
                </c:pt>
                <c:pt idx="311">
                  <c:v>25.88640000000002</c:v>
                </c:pt>
                <c:pt idx="312">
                  <c:v>25.24799999999999</c:v>
                </c:pt>
                <c:pt idx="313">
                  <c:v>23.806000000000001</c:v>
                </c:pt>
                <c:pt idx="314">
                  <c:v>24.985399999999988</c:v>
                </c:pt>
                <c:pt idx="315">
                  <c:v>26.761199999999992</c:v>
                </c:pt>
                <c:pt idx="316">
                  <c:v>28.516399999999994</c:v>
                </c:pt>
                <c:pt idx="317">
                  <c:v>27.107600000000009</c:v>
                </c:pt>
                <c:pt idx="318">
                  <c:v>27.576399999999996</c:v>
                </c:pt>
                <c:pt idx="319">
                  <c:v>27.947600000000005</c:v>
                </c:pt>
                <c:pt idx="320">
                  <c:v>25.715399999999988</c:v>
                </c:pt>
                <c:pt idx="321">
                  <c:v>24.807800000000004</c:v>
                </c:pt>
                <c:pt idx="322">
                  <c:v>24.361199999999997</c:v>
                </c:pt>
                <c:pt idx="323">
                  <c:v>24.302599999999984</c:v>
                </c:pt>
                <c:pt idx="324">
                  <c:v>25.573800000000006</c:v>
                </c:pt>
                <c:pt idx="325">
                  <c:v>26.742999999999995</c:v>
                </c:pt>
                <c:pt idx="326">
                  <c:v>26.931399999999996</c:v>
                </c:pt>
                <c:pt idx="327">
                  <c:v>27.086399999999987</c:v>
                </c:pt>
                <c:pt idx="328">
                  <c:v>25.75060000000002</c:v>
                </c:pt>
                <c:pt idx="329">
                  <c:v>26.844400000000007</c:v>
                </c:pt>
                <c:pt idx="330">
                  <c:v>27.792000000000012</c:v>
                </c:pt>
                <c:pt idx="331">
                  <c:v>27.287800000000004</c:v>
                </c:pt>
                <c:pt idx="332">
                  <c:v>29.182599999999997</c:v>
                </c:pt>
                <c:pt idx="333">
                  <c:v>30.710400000000011</c:v>
                </c:pt>
                <c:pt idx="334">
                  <c:v>32.768400000000007</c:v>
                </c:pt>
                <c:pt idx="335">
                  <c:v>29.804600000000011</c:v>
                </c:pt>
                <c:pt idx="336">
                  <c:v>27.611000000000008</c:v>
                </c:pt>
                <c:pt idx="337">
                  <c:v>27.623999999999985</c:v>
                </c:pt>
                <c:pt idx="338">
                  <c:v>24.942399999999981</c:v>
                </c:pt>
                <c:pt idx="339">
                  <c:v>23.678999999999991</c:v>
                </c:pt>
                <c:pt idx="340">
                  <c:v>22.050600000000014</c:v>
                </c:pt>
                <c:pt idx="341">
                  <c:v>22.907799999999991</c:v>
                </c:pt>
                <c:pt idx="342">
                  <c:v>22.716400000000021</c:v>
                </c:pt>
                <c:pt idx="343">
                  <c:v>23.700999999999983</c:v>
                </c:pt>
                <c:pt idx="344">
                  <c:v>24.132200000000012</c:v>
                </c:pt>
                <c:pt idx="345">
                  <c:v>24.1998</c:v>
                </c:pt>
                <c:pt idx="346">
                  <c:v>25.884800000000002</c:v>
                </c:pt>
                <c:pt idx="347">
                  <c:v>26.306000000000001</c:v>
                </c:pt>
                <c:pt idx="348">
                  <c:v>25.450399999999984</c:v>
                </c:pt>
                <c:pt idx="349">
                  <c:v>25.196199999999994</c:v>
                </c:pt>
                <c:pt idx="350">
                  <c:v>25.31019999999997</c:v>
                </c:pt>
                <c:pt idx="351">
                  <c:v>26.380600000000015</c:v>
                </c:pt>
                <c:pt idx="352">
                  <c:v>25.830799999999972</c:v>
                </c:pt>
                <c:pt idx="353">
                  <c:v>27.761199999999992</c:v>
                </c:pt>
                <c:pt idx="354">
                  <c:v>25.975400000000018</c:v>
                </c:pt>
                <c:pt idx="355">
                  <c:v>27.113600000000002</c:v>
                </c:pt>
                <c:pt idx="356">
                  <c:v>28.677000000000003</c:v>
                </c:pt>
                <c:pt idx="357">
                  <c:v>30.09160000000001</c:v>
                </c:pt>
                <c:pt idx="358">
                  <c:v>30.200000000000006</c:v>
                </c:pt>
                <c:pt idx="359">
                  <c:v>28.835200000000004</c:v>
                </c:pt>
                <c:pt idx="360">
                  <c:v>29.686399999999992</c:v>
                </c:pt>
                <c:pt idx="361">
                  <c:v>31.244199999999996</c:v>
                </c:pt>
                <c:pt idx="362">
                  <c:v>28.940000000000015</c:v>
                </c:pt>
                <c:pt idx="363">
                  <c:v>27.002799999999997</c:v>
                </c:pt>
                <c:pt idx="364">
                  <c:v>28.188999999999982</c:v>
                </c:pt>
                <c:pt idx="365">
                  <c:v>25.910799999999995</c:v>
                </c:pt>
                <c:pt idx="366">
                  <c:v>23.649799999999988</c:v>
                </c:pt>
                <c:pt idx="367">
                  <c:v>25.172800000000013</c:v>
                </c:pt>
                <c:pt idx="368">
                  <c:v>25.727799999999984</c:v>
                </c:pt>
                <c:pt idx="369">
                  <c:v>28.492999999999995</c:v>
                </c:pt>
                <c:pt idx="370">
                  <c:v>28.965799999999984</c:v>
                </c:pt>
                <c:pt idx="371">
                  <c:v>29.235800000000001</c:v>
                </c:pt>
                <c:pt idx="372">
                  <c:v>27.869599999999991</c:v>
                </c:pt>
                <c:pt idx="373">
                  <c:v>28.768999999999966</c:v>
                </c:pt>
                <c:pt idx="374">
                  <c:v>32.314</c:v>
                </c:pt>
                <c:pt idx="375">
                  <c:v>33.742399999999975</c:v>
                </c:pt>
                <c:pt idx="376">
                  <c:v>34.048999999999978</c:v>
                </c:pt>
                <c:pt idx="377">
                  <c:v>32.545999999999992</c:v>
                </c:pt>
                <c:pt idx="378">
                  <c:v>33.590599999999995</c:v>
                </c:pt>
                <c:pt idx="379">
                  <c:v>34.992999999999995</c:v>
                </c:pt>
                <c:pt idx="380">
                  <c:v>34.032399999999996</c:v>
                </c:pt>
                <c:pt idx="381">
                  <c:v>33.884999999999991</c:v>
                </c:pt>
                <c:pt idx="382">
                  <c:v>32.729199999999992</c:v>
                </c:pt>
                <c:pt idx="383">
                  <c:v>33.373599999999975</c:v>
                </c:pt>
                <c:pt idx="384">
                  <c:v>30.0382</c:v>
                </c:pt>
                <c:pt idx="385">
                  <c:v>30.6478</c:v>
                </c:pt>
                <c:pt idx="386">
                  <c:v>30.777399999999982</c:v>
                </c:pt>
                <c:pt idx="387">
                  <c:v>30.919399999999996</c:v>
                </c:pt>
                <c:pt idx="388">
                  <c:v>31.947999999999997</c:v>
                </c:pt>
                <c:pt idx="389">
                  <c:v>33.312800000000003</c:v>
                </c:pt>
                <c:pt idx="390">
                  <c:v>33.985599999999998</c:v>
                </c:pt>
                <c:pt idx="391">
                  <c:v>34.536800000000007</c:v>
                </c:pt>
                <c:pt idx="392">
                  <c:v>32.41099999999998</c:v>
                </c:pt>
                <c:pt idx="393">
                  <c:v>30.526199999999999</c:v>
                </c:pt>
                <c:pt idx="394">
                  <c:v>32.849400000000024</c:v>
                </c:pt>
                <c:pt idx="395">
                  <c:v>33.278600000000004</c:v>
                </c:pt>
                <c:pt idx="396">
                  <c:v>34.100000000000023</c:v>
                </c:pt>
                <c:pt idx="397">
                  <c:v>35.1342</c:v>
                </c:pt>
                <c:pt idx="398">
                  <c:v>34.033200000000001</c:v>
                </c:pt>
                <c:pt idx="399">
                  <c:v>34.293399999999998</c:v>
                </c:pt>
                <c:pt idx="400">
                  <c:v>33.823400000000014</c:v>
                </c:pt>
                <c:pt idx="401">
                  <c:v>34.312799999999982</c:v>
                </c:pt>
                <c:pt idx="402">
                  <c:v>34.250799999999991</c:v>
                </c:pt>
                <c:pt idx="403">
                  <c:v>35.796799999999998</c:v>
                </c:pt>
                <c:pt idx="404">
                  <c:v>37.80660000000001</c:v>
                </c:pt>
                <c:pt idx="405">
                  <c:v>32.290999999999997</c:v>
                </c:pt>
                <c:pt idx="406">
                  <c:v>32.676599999999986</c:v>
                </c:pt>
                <c:pt idx="407">
                  <c:v>33.56839999999999</c:v>
                </c:pt>
                <c:pt idx="408">
                  <c:v>35.052399999999999</c:v>
                </c:pt>
                <c:pt idx="409">
                  <c:v>34.859199999999987</c:v>
                </c:pt>
                <c:pt idx="410">
                  <c:v>32.5182</c:v>
                </c:pt>
                <c:pt idx="411">
                  <c:v>33.735799999999983</c:v>
                </c:pt>
                <c:pt idx="412">
                  <c:v>34.9024</c:v>
                </c:pt>
                <c:pt idx="413">
                  <c:v>34.790800000000011</c:v>
                </c:pt>
                <c:pt idx="414">
                  <c:v>35.022399999999983</c:v>
                </c:pt>
                <c:pt idx="415">
                  <c:v>35.155599999999993</c:v>
                </c:pt>
                <c:pt idx="416">
                  <c:v>35.142400000000009</c:v>
                </c:pt>
                <c:pt idx="417">
                  <c:v>34.355800000000009</c:v>
                </c:pt>
                <c:pt idx="418">
                  <c:v>32.149200000000008</c:v>
                </c:pt>
                <c:pt idx="419">
                  <c:v>29.744600000000009</c:v>
                </c:pt>
                <c:pt idx="420">
                  <c:v>27.682600000000019</c:v>
                </c:pt>
                <c:pt idx="421">
                  <c:v>28.642399999999991</c:v>
                </c:pt>
                <c:pt idx="422">
                  <c:v>30.862799999999993</c:v>
                </c:pt>
                <c:pt idx="423">
                  <c:v>32.119400000000006</c:v>
                </c:pt>
                <c:pt idx="424">
                  <c:v>30.9178</c:v>
                </c:pt>
                <c:pt idx="425">
                  <c:v>30.181600000000003</c:v>
                </c:pt>
                <c:pt idx="426">
                  <c:v>29.820800000000002</c:v>
                </c:pt>
                <c:pt idx="427">
                  <c:v>30.592599999999987</c:v>
                </c:pt>
                <c:pt idx="428">
                  <c:v>30.115800000000007</c:v>
                </c:pt>
                <c:pt idx="429">
                  <c:v>29.797200000000014</c:v>
                </c:pt>
                <c:pt idx="430">
                  <c:v>29.757799999999992</c:v>
                </c:pt>
                <c:pt idx="431">
                  <c:v>30.477800000000002</c:v>
                </c:pt>
                <c:pt idx="432">
                  <c:v>29.073200000000003</c:v>
                </c:pt>
                <c:pt idx="433">
                  <c:v>30.777000000000005</c:v>
                </c:pt>
                <c:pt idx="434">
                  <c:v>31.238600000000002</c:v>
                </c:pt>
                <c:pt idx="435">
                  <c:v>32.132799999999996</c:v>
                </c:pt>
                <c:pt idx="436">
                  <c:v>31.129999999999995</c:v>
                </c:pt>
                <c:pt idx="437">
                  <c:v>32.673400000000008</c:v>
                </c:pt>
                <c:pt idx="438">
                  <c:v>31.176000000000005</c:v>
                </c:pt>
                <c:pt idx="439">
                  <c:v>30.713000000000005</c:v>
                </c:pt>
                <c:pt idx="440">
                  <c:v>31.780199999999997</c:v>
                </c:pt>
                <c:pt idx="441">
                  <c:v>32.479399999999998</c:v>
                </c:pt>
                <c:pt idx="442">
                  <c:v>34.579600000000006</c:v>
                </c:pt>
                <c:pt idx="443">
                  <c:v>35.072800000000008</c:v>
                </c:pt>
                <c:pt idx="444">
                  <c:v>32.61160000000001</c:v>
                </c:pt>
                <c:pt idx="445">
                  <c:v>30.770999999999997</c:v>
                </c:pt>
                <c:pt idx="446">
                  <c:v>30.248799999999999</c:v>
                </c:pt>
                <c:pt idx="447">
                  <c:v>30.69840000000001</c:v>
                </c:pt>
                <c:pt idx="448">
                  <c:v>29.252199999999977</c:v>
                </c:pt>
                <c:pt idx="449">
                  <c:v>26.257199999999994</c:v>
                </c:pt>
                <c:pt idx="450">
                  <c:v>24.438400000000001</c:v>
                </c:pt>
                <c:pt idx="451">
                  <c:v>25.602399999999989</c:v>
                </c:pt>
                <c:pt idx="452">
                  <c:v>25.293400000000002</c:v>
                </c:pt>
                <c:pt idx="453">
                  <c:v>23.700400000000002</c:v>
                </c:pt>
                <c:pt idx="454">
                  <c:v>22.585800000000006</c:v>
                </c:pt>
                <c:pt idx="455">
                  <c:v>23.823800000000006</c:v>
                </c:pt>
                <c:pt idx="456">
                  <c:v>23.061399999999992</c:v>
                </c:pt>
                <c:pt idx="457">
                  <c:v>22.433800000000002</c:v>
                </c:pt>
                <c:pt idx="458">
                  <c:v>23.305000000000007</c:v>
                </c:pt>
                <c:pt idx="459">
                  <c:v>24.546800000000001</c:v>
                </c:pt>
                <c:pt idx="460">
                  <c:v>22.604600000000005</c:v>
                </c:pt>
                <c:pt idx="461">
                  <c:v>21.678000000000015</c:v>
                </c:pt>
                <c:pt idx="462">
                  <c:v>20.16579999999999</c:v>
                </c:pt>
                <c:pt idx="463">
                  <c:v>18.31880000000001</c:v>
                </c:pt>
                <c:pt idx="464">
                  <c:v>17.119199999999996</c:v>
                </c:pt>
                <c:pt idx="465">
                  <c:v>17.427800000000008</c:v>
                </c:pt>
                <c:pt idx="466">
                  <c:v>14.858800000000011</c:v>
                </c:pt>
                <c:pt idx="467">
                  <c:v>14.671599999999993</c:v>
                </c:pt>
                <c:pt idx="468">
                  <c:v>14.448999999999993</c:v>
                </c:pt>
                <c:pt idx="469">
                  <c:v>15.103799999999998</c:v>
                </c:pt>
                <c:pt idx="470">
                  <c:v>16.460999999999995</c:v>
                </c:pt>
                <c:pt idx="471">
                  <c:v>16.003600000000006</c:v>
                </c:pt>
                <c:pt idx="472">
                  <c:v>13.114600000000015</c:v>
                </c:pt>
                <c:pt idx="473">
                  <c:v>14.0434</c:v>
                </c:pt>
                <c:pt idx="474">
                  <c:v>13.79479999999999</c:v>
                </c:pt>
                <c:pt idx="475">
                  <c:v>13.626599999999996</c:v>
                </c:pt>
                <c:pt idx="476">
                  <c:v>12.994199999999998</c:v>
                </c:pt>
                <c:pt idx="477">
                  <c:v>14.15360000000002</c:v>
                </c:pt>
                <c:pt idx="478">
                  <c:v>14.087200000000015</c:v>
                </c:pt>
                <c:pt idx="479">
                  <c:v>15.09499999999999</c:v>
                </c:pt>
                <c:pt idx="480">
                  <c:v>13.696800000000016</c:v>
                </c:pt>
                <c:pt idx="481">
                  <c:v>14.54200000000001</c:v>
                </c:pt>
                <c:pt idx="482">
                  <c:v>14.055799999999996</c:v>
                </c:pt>
                <c:pt idx="483">
                  <c:v>14.556200000000009</c:v>
                </c:pt>
                <c:pt idx="484">
                  <c:v>14.3744</c:v>
                </c:pt>
                <c:pt idx="485">
                  <c:v>14.772199999999978</c:v>
                </c:pt>
                <c:pt idx="486">
                  <c:v>15.300599999999994</c:v>
                </c:pt>
                <c:pt idx="487">
                  <c:v>15.312999999999988</c:v>
                </c:pt>
                <c:pt idx="488">
                  <c:v>14.797200000000013</c:v>
                </c:pt>
                <c:pt idx="489">
                  <c:v>15.140800000000013</c:v>
                </c:pt>
                <c:pt idx="490">
                  <c:v>15.578400000000007</c:v>
                </c:pt>
                <c:pt idx="491">
                  <c:v>15.115999999999985</c:v>
                </c:pt>
                <c:pt idx="492">
                  <c:v>15.899800000000008</c:v>
                </c:pt>
                <c:pt idx="493">
                  <c:v>14.550600000000012</c:v>
                </c:pt>
                <c:pt idx="494">
                  <c:v>15.333600000000009</c:v>
                </c:pt>
                <c:pt idx="495">
                  <c:v>15.97459999999999</c:v>
                </c:pt>
                <c:pt idx="496">
                  <c:v>16.375999999999994</c:v>
                </c:pt>
                <c:pt idx="497">
                  <c:v>16.535600000000006</c:v>
                </c:pt>
                <c:pt idx="498">
                  <c:v>18.024200000000025</c:v>
                </c:pt>
                <c:pt idx="499">
                  <c:v>17.355199999999986</c:v>
                </c:pt>
                <c:pt idx="500">
                  <c:v>18.467599999999987</c:v>
                </c:pt>
                <c:pt idx="501">
                  <c:v>18.963999999999999</c:v>
                </c:pt>
                <c:pt idx="502">
                  <c:v>18.818000000000023</c:v>
                </c:pt>
                <c:pt idx="503">
                  <c:v>19.406799999999993</c:v>
                </c:pt>
                <c:pt idx="504">
                  <c:v>20.133800000000026</c:v>
                </c:pt>
                <c:pt idx="505">
                  <c:v>20.238399999999995</c:v>
                </c:pt>
                <c:pt idx="506">
                  <c:v>19.407199999999989</c:v>
                </c:pt>
                <c:pt idx="507">
                  <c:v>20.815200000000004</c:v>
                </c:pt>
                <c:pt idx="508">
                  <c:v>21.002400000000005</c:v>
                </c:pt>
                <c:pt idx="509">
                  <c:v>21.585599999999982</c:v>
                </c:pt>
                <c:pt idx="510">
                  <c:v>20.465799999999984</c:v>
                </c:pt>
                <c:pt idx="511">
                  <c:v>21.955399999999997</c:v>
                </c:pt>
                <c:pt idx="512">
                  <c:v>22.192799999999995</c:v>
                </c:pt>
                <c:pt idx="513">
                  <c:v>22.74679999999999</c:v>
                </c:pt>
                <c:pt idx="514">
                  <c:v>25.125399999999996</c:v>
                </c:pt>
                <c:pt idx="515">
                  <c:v>24.184799999999996</c:v>
                </c:pt>
                <c:pt idx="516">
                  <c:v>25.177799999999991</c:v>
                </c:pt>
                <c:pt idx="517">
                  <c:v>26.008600000000001</c:v>
                </c:pt>
                <c:pt idx="518">
                  <c:v>26.709799999999991</c:v>
                </c:pt>
                <c:pt idx="519">
                  <c:v>27.36480000000002</c:v>
                </c:pt>
                <c:pt idx="520">
                  <c:v>29.460999999999995</c:v>
                </c:pt>
                <c:pt idx="521">
                  <c:v>28.232600000000009</c:v>
                </c:pt>
                <c:pt idx="522">
                  <c:v>29.24860000000001</c:v>
                </c:pt>
                <c:pt idx="523">
                  <c:v>29.437400000000007</c:v>
                </c:pt>
                <c:pt idx="524">
                  <c:v>29.176600000000008</c:v>
                </c:pt>
                <c:pt idx="525">
                  <c:v>27.679999999999989</c:v>
                </c:pt>
                <c:pt idx="526">
                  <c:v>27.077200000000005</c:v>
                </c:pt>
                <c:pt idx="527">
                  <c:v>27.070000000000011</c:v>
                </c:pt>
                <c:pt idx="528">
                  <c:v>27.944599999999998</c:v>
                </c:pt>
                <c:pt idx="529">
                  <c:v>30.2974</c:v>
                </c:pt>
                <c:pt idx="530">
                  <c:v>29.995200000000011</c:v>
                </c:pt>
                <c:pt idx="531">
                  <c:v>30.793999999999983</c:v>
                </c:pt>
                <c:pt idx="532">
                  <c:v>30.294</c:v>
                </c:pt>
                <c:pt idx="533">
                  <c:v>29.703600000000012</c:v>
                </c:pt>
                <c:pt idx="534">
                  <c:v>29.876200000000001</c:v>
                </c:pt>
                <c:pt idx="535">
                  <c:v>28.823000000000018</c:v>
                </c:pt>
                <c:pt idx="536">
                  <c:v>29.014200000000017</c:v>
                </c:pt>
                <c:pt idx="537">
                  <c:v>30.861800000000017</c:v>
                </c:pt>
                <c:pt idx="538">
                  <c:v>29.743999999999989</c:v>
                </c:pt>
                <c:pt idx="539">
                  <c:v>29.547600000000028</c:v>
                </c:pt>
                <c:pt idx="540">
                  <c:v>30.371999999999996</c:v>
                </c:pt>
                <c:pt idx="541">
                  <c:v>30.958799999999997</c:v>
                </c:pt>
                <c:pt idx="542">
                  <c:v>31.984999999999975</c:v>
                </c:pt>
                <c:pt idx="543">
                  <c:v>31.600399999999997</c:v>
                </c:pt>
                <c:pt idx="544">
                  <c:v>32.678599999999996</c:v>
                </c:pt>
                <c:pt idx="545">
                  <c:v>33.015600000000006</c:v>
                </c:pt>
                <c:pt idx="546">
                  <c:v>33.951199999999993</c:v>
                </c:pt>
                <c:pt idx="547">
                  <c:v>32.082999999999991</c:v>
                </c:pt>
                <c:pt idx="548">
                  <c:v>32.879799999999989</c:v>
                </c:pt>
                <c:pt idx="549">
                  <c:v>31.396599999999978</c:v>
                </c:pt>
                <c:pt idx="550">
                  <c:v>33.080200000000012</c:v>
                </c:pt>
                <c:pt idx="551">
                  <c:v>31.6296</c:v>
                </c:pt>
                <c:pt idx="552">
                  <c:v>32.468800000000009</c:v>
                </c:pt>
                <c:pt idx="553">
                  <c:v>32.604999999999983</c:v>
                </c:pt>
                <c:pt idx="554">
                  <c:v>33.584599999999988</c:v>
                </c:pt>
                <c:pt idx="555">
                  <c:v>32.793199999999992</c:v>
                </c:pt>
                <c:pt idx="556">
                  <c:v>33.839599999999997</c:v>
                </c:pt>
                <c:pt idx="557">
                  <c:v>35.108799999999995</c:v>
                </c:pt>
                <c:pt idx="558">
                  <c:v>33.988200000000006</c:v>
                </c:pt>
                <c:pt idx="559">
                  <c:v>34.966000000000008</c:v>
                </c:pt>
                <c:pt idx="560">
                  <c:v>36.246199999999988</c:v>
                </c:pt>
                <c:pt idx="561">
                  <c:v>36.123400000000025</c:v>
                </c:pt>
                <c:pt idx="562">
                  <c:v>34.59279999999999</c:v>
                </c:pt>
                <c:pt idx="563">
                  <c:v>33.890200000000014</c:v>
                </c:pt>
                <c:pt idx="564">
                  <c:v>33.308600000000013</c:v>
                </c:pt>
                <c:pt idx="565">
                  <c:v>33.182599999999979</c:v>
                </c:pt>
                <c:pt idx="566">
                  <c:v>34.675800000000002</c:v>
                </c:pt>
                <c:pt idx="567">
                  <c:v>35.305200000000013</c:v>
                </c:pt>
                <c:pt idx="568">
                  <c:v>32.178399999999989</c:v>
                </c:pt>
                <c:pt idx="569">
                  <c:v>30.124399999999998</c:v>
                </c:pt>
                <c:pt idx="570">
                  <c:v>29.153999999999996</c:v>
                </c:pt>
                <c:pt idx="571">
                  <c:v>28.320000000000011</c:v>
                </c:pt>
                <c:pt idx="572">
                  <c:v>27.171199999999999</c:v>
                </c:pt>
                <c:pt idx="573">
                  <c:v>29.02340000000002</c:v>
                </c:pt>
                <c:pt idx="574">
                  <c:v>27.809199999999993</c:v>
                </c:pt>
                <c:pt idx="575">
                  <c:v>27.551399999999983</c:v>
                </c:pt>
                <c:pt idx="576">
                  <c:v>27.945999999999987</c:v>
                </c:pt>
                <c:pt idx="577">
                  <c:v>27.684999999999985</c:v>
                </c:pt>
                <c:pt idx="578">
                  <c:v>27.197600000000005</c:v>
                </c:pt>
                <c:pt idx="579">
                  <c:v>25.0382</c:v>
                </c:pt>
                <c:pt idx="580">
                  <c:v>24.894600000000008</c:v>
                </c:pt>
                <c:pt idx="581">
                  <c:v>26.076599999999985</c:v>
                </c:pt>
                <c:pt idx="582">
                  <c:v>26.955600000000004</c:v>
                </c:pt>
                <c:pt idx="583">
                  <c:v>27.074399999999986</c:v>
                </c:pt>
                <c:pt idx="584">
                  <c:v>28.694599999999998</c:v>
                </c:pt>
                <c:pt idx="585">
                  <c:v>29.852199999999982</c:v>
                </c:pt>
                <c:pt idx="586">
                  <c:v>28.973200000000002</c:v>
                </c:pt>
                <c:pt idx="587">
                  <c:v>29.382799999999992</c:v>
                </c:pt>
                <c:pt idx="588">
                  <c:v>29.084999999999997</c:v>
                </c:pt>
                <c:pt idx="589">
                  <c:v>29.516800000000007</c:v>
                </c:pt>
                <c:pt idx="590">
                  <c:v>29.541599999999999</c:v>
                </c:pt>
                <c:pt idx="591">
                  <c:v>27.915600000000001</c:v>
                </c:pt>
                <c:pt idx="592">
                  <c:v>29.045999999999992</c:v>
                </c:pt>
                <c:pt idx="593">
                  <c:v>27.393000000000011</c:v>
                </c:pt>
                <c:pt idx="594">
                  <c:v>28.324600000000014</c:v>
                </c:pt>
                <c:pt idx="595">
                  <c:v>27.958999999999985</c:v>
                </c:pt>
                <c:pt idx="596">
                  <c:v>27.840199999999999</c:v>
                </c:pt>
                <c:pt idx="597">
                  <c:v>28.088200000000011</c:v>
                </c:pt>
                <c:pt idx="598">
                  <c:v>27.962799999999998</c:v>
                </c:pt>
                <c:pt idx="599">
                  <c:v>28.262400000000014</c:v>
                </c:pt>
                <c:pt idx="600">
                  <c:v>27.550399999999986</c:v>
                </c:pt>
                <c:pt idx="601">
                  <c:v>27.951000000000004</c:v>
                </c:pt>
                <c:pt idx="602">
                  <c:v>27.576199999999989</c:v>
                </c:pt>
                <c:pt idx="603">
                  <c:v>27.751999999999992</c:v>
                </c:pt>
                <c:pt idx="604">
                  <c:v>27.712199999999996</c:v>
                </c:pt>
                <c:pt idx="605">
                  <c:v>27.699400000000008</c:v>
                </c:pt>
                <c:pt idx="606">
                  <c:v>28.495000000000015</c:v>
                </c:pt>
                <c:pt idx="607">
                  <c:v>28.584599999999984</c:v>
                </c:pt>
                <c:pt idx="608">
                  <c:v>27.586599999999994</c:v>
                </c:pt>
                <c:pt idx="609">
                  <c:v>28.283800000000003</c:v>
                </c:pt>
                <c:pt idx="610">
                  <c:v>27.818400000000008</c:v>
                </c:pt>
                <c:pt idx="611">
                  <c:v>28.668599999999998</c:v>
                </c:pt>
                <c:pt idx="612">
                  <c:v>27.882999999999999</c:v>
                </c:pt>
                <c:pt idx="613">
                  <c:v>26.50340000000001</c:v>
                </c:pt>
                <c:pt idx="614">
                  <c:v>24.938799999999976</c:v>
                </c:pt>
                <c:pt idx="615">
                  <c:v>25.779399999999992</c:v>
                </c:pt>
                <c:pt idx="616">
                  <c:v>24.780799999999982</c:v>
                </c:pt>
                <c:pt idx="617">
                  <c:v>26.226800000000008</c:v>
                </c:pt>
                <c:pt idx="618">
                  <c:v>27.306000000000001</c:v>
                </c:pt>
                <c:pt idx="619">
                  <c:v>26.022000000000009</c:v>
                </c:pt>
                <c:pt idx="620">
                  <c:v>27.335200000000004</c:v>
                </c:pt>
                <c:pt idx="621">
                  <c:v>26.669</c:v>
                </c:pt>
                <c:pt idx="622">
                  <c:v>27.181799999999992</c:v>
                </c:pt>
                <c:pt idx="623">
                  <c:v>27.200199999999995</c:v>
                </c:pt>
                <c:pt idx="624">
                  <c:v>28.952000000000016</c:v>
                </c:pt>
                <c:pt idx="625">
                  <c:v>29.536600000000004</c:v>
                </c:pt>
                <c:pt idx="626">
                  <c:v>29.759200000000003</c:v>
                </c:pt>
                <c:pt idx="627">
                  <c:v>31.0762</c:v>
                </c:pt>
                <c:pt idx="628">
                  <c:v>30.384399999999989</c:v>
                </c:pt>
                <c:pt idx="629">
                  <c:v>31.319799999999987</c:v>
                </c:pt>
                <c:pt idx="630">
                  <c:v>30.785600000000006</c:v>
                </c:pt>
                <c:pt idx="631">
                  <c:v>31.089399999999994</c:v>
                </c:pt>
                <c:pt idx="632">
                  <c:v>30.230800000000006</c:v>
                </c:pt>
                <c:pt idx="633">
                  <c:v>31.151599999999991</c:v>
                </c:pt>
                <c:pt idx="634">
                  <c:v>30.577200000000005</c:v>
                </c:pt>
                <c:pt idx="635">
                  <c:v>28.749199999999991</c:v>
                </c:pt>
                <c:pt idx="636">
                  <c:v>28.734800000000007</c:v>
                </c:pt>
                <c:pt idx="637">
                  <c:v>27.390599999999989</c:v>
                </c:pt>
                <c:pt idx="638">
                  <c:v>26.937400000000025</c:v>
                </c:pt>
                <c:pt idx="639">
                  <c:v>27.417600000000011</c:v>
                </c:pt>
                <c:pt idx="640">
                  <c:v>28.644600000000008</c:v>
                </c:pt>
                <c:pt idx="641">
                  <c:v>29.474799999999998</c:v>
                </c:pt>
                <c:pt idx="642">
                  <c:v>29.492399999999993</c:v>
                </c:pt>
                <c:pt idx="643">
                  <c:v>30.470799999999997</c:v>
                </c:pt>
                <c:pt idx="644">
                  <c:v>33.011000000000003</c:v>
                </c:pt>
                <c:pt idx="645">
                  <c:v>31.633399999999977</c:v>
                </c:pt>
                <c:pt idx="646">
                  <c:v>30.794200000000007</c:v>
                </c:pt>
                <c:pt idx="647">
                  <c:v>32.058400000000006</c:v>
                </c:pt>
                <c:pt idx="648">
                  <c:v>32.323800000000006</c:v>
                </c:pt>
                <c:pt idx="649">
                  <c:v>33.292400000000008</c:v>
                </c:pt>
                <c:pt idx="650">
                  <c:v>33.526199999999996</c:v>
                </c:pt>
                <c:pt idx="651">
                  <c:v>33.265799999999992</c:v>
                </c:pt>
                <c:pt idx="652">
                  <c:v>33.093599999999981</c:v>
                </c:pt>
                <c:pt idx="653">
                  <c:v>35.21479999999999</c:v>
                </c:pt>
                <c:pt idx="654">
                  <c:v>34.450200000000031</c:v>
                </c:pt>
                <c:pt idx="655">
                  <c:v>32.056399999999996</c:v>
                </c:pt>
                <c:pt idx="656">
                  <c:v>31.905799999999999</c:v>
                </c:pt>
                <c:pt idx="657">
                  <c:v>32.725799999999992</c:v>
                </c:pt>
                <c:pt idx="658">
                  <c:v>28.811399999999992</c:v>
                </c:pt>
                <c:pt idx="659">
                  <c:v>30.262</c:v>
                </c:pt>
                <c:pt idx="660">
                  <c:v>29.005799999999983</c:v>
                </c:pt>
                <c:pt idx="661">
                  <c:v>30.803000000000015</c:v>
                </c:pt>
                <c:pt idx="662">
                  <c:v>29.601399999999995</c:v>
                </c:pt>
                <c:pt idx="663">
                  <c:v>29.893999999999988</c:v>
                </c:pt>
                <c:pt idx="664">
                  <c:v>30.670199999999983</c:v>
                </c:pt>
                <c:pt idx="665">
                  <c:v>31.291200000000003</c:v>
                </c:pt>
                <c:pt idx="666">
                  <c:v>31.416800000000006</c:v>
                </c:pt>
                <c:pt idx="667">
                  <c:v>30.880800000000004</c:v>
                </c:pt>
                <c:pt idx="668">
                  <c:v>32.213000000000001</c:v>
                </c:pt>
                <c:pt idx="669">
                  <c:v>32.2134</c:v>
                </c:pt>
                <c:pt idx="670">
                  <c:v>32.467199999999991</c:v>
                </c:pt>
                <c:pt idx="671">
                  <c:v>32.647799999999997</c:v>
                </c:pt>
                <c:pt idx="672">
                  <c:v>32.047599999999967</c:v>
                </c:pt>
                <c:pt idx="673">
                  <c:v>29.589800000000007</c:v>
                </c:pt>
                <c:pt idx="674">
                  <c:v>30.789800000000014</c:v>
                </c:pt>
                <c:pt idx="675">
                  <c:v>30.080000000000002</c:v>
                </c:pt>
                <c:pt idx="676">
                  <c:v>29.661399999999997</c:v>
                </c:pt>
                <c:pt idx="677">
                  <c:v>29.516800000000007</c:v>
                </c:pt>
                <c:pt idx="678">
                  <c:v>28.747200000000003</c:v>
                </c:pt>
                <c:pt idx="679">
                  <c:v>29.703800000000001</c:v>
                </c:pt>
                <c:pt idx="680">
                  <c:v>29.470999999999986</c:v>
                </c:pt>
                <c:pt idx="681">
                  <c:v>31.153800000000007</c:v>
                </c:pt>
                <c:pt idx="682">
                  <c:v>33.921400000000006</c:v>
                </c:pt>
                <c:pt idx="683">
                  <c:v>33.38280000000001</c:v>
                </c:pt>
                <c:pt idx="684">
                  <c:v>33.801600000000008</c:v>
                </c:pt>
                <c:pt idx="685">
                  <c:v>33.184000000000005</c:v>
                </c:pt>
                <c:pt idx="686">
                  <c:v>32.204600000000006</c:v>
                </c:pt>
                <c:pt idx="687">
                  <c:v>33.175599999999996</c:v>
                </c:pt>
                <c:pt idx="688">
                  <c:v>35.328800000000001</c:v>
                </c:pt>
                <c:pt idx="689">
                  <c:v>36.972600000000021</c:v>
                </c:pt>
                <c:pt idx="690">
                  <c:v>35.697000000000003</c:v>
                </c:pt>
                <c:pt idx="691">
                  <c:v>35.298399999999994</c:v>
                </c:pt>
                <c:pt idx="692">
                  <c:v>36.593799999999987</c:v>
                </c:pt>
                <c:pt idx="693">
                  <c:v>36.286200000000008</c:v>
                </c:pt>
                <c:pt idx="694">
                  <c:v>34.273000000000003</c:v>
                </c:pt>
                <c:pt idx="695">
                  <c:v>32.885800000000017</c:v>
                </c:pt>
                <c:pt idx="696">
                  <c:v>31.1478</c:v>
                </c:pt>
                <c:pt idx="697">
                  <c:v>29.929199999999998</c:v>
                </c:pt>
                <c:pt idx="698">
                  <c:v>28.589800000000025</c:v>
                </c:pt>
                <c:pt idx="699">
                  <c:v>28.025200000000002</c:v>
                </c:pt>
                <c:pt idx="700">
                  <c:v>28.059599999999971</c:v>
                </c:pt>
                <c:pt idx="701">
                  <c:v>28.312000000000012</c:v>
                </c:pt>
                <c:pt idx="702">
                  <c:v>29.196000000000009</c:v>
                </c:pt>
                <c:pt idx="703">
                  <c:v>30.287200000000002</c:v>
                </c:pt>
                <c:pt idx="704">
                  <c:v>30.757199999999994</c:v>
                </c:pt>
                <c:pt idx="705">
                  <c:v>31.632999999999999</c:v>
                </c:pt>
                <c:pt idx="706">
                  <c:v>30.529800000000005</c:v>
                </c:pt>
                <c:pt idx="707">
                  <c:v>30.28060000000001</c:v>
                </c:pt>
                <c:pt idx="708">
                  <c:v>29.115600000000011</c:v>
                </c:pt>
                <c:pt idx="709">
                  <c:v>28.464400000000012</c:v>
                </c:pt>
                <c:pt idx="710">
                  <c:v>29.476199999999988</c:v>
                </c:pt>
                <c:pt idx="711">
                  <c:v>29.599799999999998</c:v>
                </c:pt>
                <c:pt idx="712">
                  <c:v>29.51860000000001</c:v>
                </c:pt>
                <c:pt idx="713">
                  <c:v>29.289999999999992</c:v>
                </c:pt>
                <c:pt idx="714">
                  <c:v>31.584600000000005</c:v>
                </c:pt>
                <c:pt idx="715">
                  <c:v>31.355200000000007</c:v>
                </c:pt>
                <c:pt idx="716">
                  <c:v>30.37759999999999</c:v>
                </c:pt>
                <c:pt idx="717">
                  <c:v>30.526799999999998</c:v>
                </c:pt>
                <c:pt idx="718">
                  <c:v>31.25259999999999</c:v>
                </c:pt>
                <c:pt idx="719">
                  <c:v>30.778000000000002</c:v>
                </c:pt>
                <c:pt idx="720">
                  <c:v>30.270199999999988</c:v>
                </c:pt>
                <c:pt idx="721">
                  <c:v>31.201399999999996</c:v>
                </c:pt>
                <c:pt idx="722">
                  <c:v>31.986800000000017</c:v>
                </c:pt>
                <c:pt idx="723">
                  <c:v>31.095199999999995</c:v>
                </c:pt>
                <c:pt idx="724">
                  <c:v>30.800799999999999</c:v>
                </c:pt>
                <c:pt idx="725">
                  <c:v>30.642599999999998</c:v>
                </c:pt>
                <c:pt idx="726">
                  <c:v>31.058199999999999</c:v>
                </c:pt>
                <c:pt idx="727">
                  <c:v>31.261800000000012</c:v>
                </c:pt>
                <c:pt idx="728">
                  <c:v>30.388200000000001</c:v>
                </c:pt>
                <c:pt idx="729">
                  <c:v>30.038799999999998</c:v>
                </c:pt>
                <c:pt idx="730">
                  <c:v>28.847999999999995</c:v>
                </c:pt>
                <c:pt idx="731">
                  <c:v>27.848200000000002</c:v>
                </c:pt>
                <c:pt idx="732">
                  <c:v>27.657999999999998</c:v>
                </c:pt>
                <c:pt idx="733">
                  <c:v>27.611399999999986</c:v>
                </c:pt>
                <c:pt idx="734">
                  <c:v>27.733600000000006</c:v>
                </c:pt>
                <c:pt idx="735">
                  <c:v>28.282</c:v>
                </c:pt>
                <c:pt idx="736">
                  <c:v>28.867200000000008</c:v>
                </c:pt>
                <c:pt idx="737">
                  <c:v>28.180600000000009</c:v>
                </c:pt>
                <c:pt idx="738">
                  <c:v>29.538599999999992</c:v>
                </c:pt>
                <c:pt idx="739">
                  <c:v>28.516999999999978</c:v>
                </c:pt>
                <c:pt idx="740">
                  <c:v>28.896199999999983</c:v>
                </c:pt>
                <c:pt idx="741">
                  <c:v>29.064799999999991</c:v>
                </c:pt>
                <c:pt idx="742">
                  <c:v>29.270400000000013</c:v>
                </c:pt>
                <c:pt idx="743">
                  <c:v>29.525200000000002</c:v>
                </c:pt>
                <c:pt idx="744">
                  <c:v>29.548600000000004</c:v>
                </c:pt>
                <c:pt idx="745">
                  <c:v>29.597800000000007</c:v>
                </c:pt>
                <c:pt idx="746">
                  <c:v>29.915000000000003</c:v>
                </c:pt>
                <c:pt idx="747">
                  <c:v>28.736200000000014</c:v>
                </c:pt>
                <c:pt idx="748">
                  <c:v>27.952800000000007</c:v>
                </c:pt>
                <c:pt idx="749">
                  <c:v>27.790999999999997</c:v>
                </c:pt>
                <c:pt idx="750">
                  <c:v>27.767000000000014</c:v>
                </c:pt>
                <c:pt idx="751">
                  <c:v>26.558200000000017</c:v>
                </c:pt>
                <c:pt idx="752">
                  <c:v>27.026600000000013</c:v>
                </c:pt>
                <c:pt idx="753">
                  <c:v>27.912199999999984</c:v>
                </c:pt>
                <c:pt idx="754">
                  <c:v>27.687800000000021</c:v>
                </c:pt>
                <c:pt idx="755">
                  <c:v>27.152599999999989</c:v>
                </c:pt>
                <c:pt idx="756">
                  <c:v>25.265000000000004</c:v>
                </c:pt>
                <c:pt idx="757">
                  <c:v>25.849799999999998</c:v>
                </c:pt>
                <c:pt idx="758">
                  <c:v>24.662999999999993</c:v>
                </c:pt>
                <c:pt idx="759">
                  <c:v>24.425400000000025</c:v>
                </c:pt>
                <c:pt idx="760">
                  <c:v>24.32200000000002</c:v>
                </c:pt>
                <c:pt idx="761">
                  <c:v>25.005400000000009</c:v>
                </c:pt>
                <c:pt idx="762">
                  <c:v>25.650599999999997</c:v>
                </c:pt>
                <c:pt idx="763">
                  <c:v>27.451999999999998</c:v>
                </c:pt>
                <c:pt idx="764">
                  <c:v>27.66719999999998</c:v>
                </c:pt>
                <c:pt idx="765">
                  <c:v>27.719000000000012</c:v>
                </c:pt>
                <c:pt idx="766">
                  <c:v>28.665399999999995</c:v>
                </c:pt>
                <c:pt idx="767">
                  <c:v>29.146800000000002</c:v>
                </c:pt>
                <c:pt idx="768">
                  <c:v>30.511399999999998</c:v>
                </c:pt>
                <c:pt idx="769">
                  <c:v>31.0594</c:v>
                </c:pt>
                <c:pt idx="770">
                  <c:v>31.979199999999992</c:v>
                </c:pt>
                <c:pt idx="771">
                  <c:v>32.307999999999993</c:v>
                </c:pt>
                <c:pt idx="772">
                  <c:v>33.085399999999993</c:v>
                </c:pt>
                <c:pt idx="773">
                  <c:v>33.092799999999976</c:v>
                </c:pt>
                <c:pt idx="774">
                  <c:v>32.960199999999986</c:v>
                </c:pt>
                <c:pt idx="775">
                  <c:v>35.26400000000001</c:v>
                </c:pt>
                <c:pt idx="776">
                  <c:v>32.804599999999994</c:v>
                </c:pt>
                <c:pt idx="777">
                  <c:v>33.205199999999969</c:v>
                </c:pt>
                <c:pt idx="778">
                  <c:v>33.044399999999975</c:v>
                </c:pt>
                <c:pt idx="779">
                  <c:v>35.086599999999997</c:v>
                </c:pt>
                <c:pt idx="780">
                  <c:v>41.871999999999993</c:v>
                </c:pt>
                <c:pt idx="781">
                  <c:v>34.837400000000002</c:v>
                </c:pt>
                <c:pt idx="782">
                  <c:v>40.148800000000016</c:v>
                </c:pt>
                <c:pt idx="783">
                  <c:v>41.040600000000005</c:v>
                </c:pt>
                <c:pt idx="784">
                  <c:v>41.737600000000008</c:v>
                </c:pt>
                <c:pt idx="785">
                  <c:v>41.644200000000012</c:v>
                </c:pt>
                <c:pt idx="786">
                  <c:v>39.311599999999999</c:v>
                </c:pt>
                <c:pt idx="787">
                  <c:v>36.000799999999991</c:v>
                </c:pt>
                <c:pt idx="788">
                  <c:v>36.521800000000006</c:v>
                </c:pt>
                <c:pt idx="789">
                  <c:v>37.942199999999978</c:v>
                </c:pt>
                <c:pt idx="790">
                  <c:v>37.499799999999993</c:v>
                </c:pt>
                <c:pt idx="791">
                  <c:v>38.951600000000006</c:v>
                </c:pt>
                <c:pt idx="792">
                  <c:v>38.71999999999997</c:v>
                </c:pt>
                <c:pt idx="793">
                  <c:v>37.605399999999996</c:v>
                </c:pt>
                <c:pt idx="794">
                  <c:v>39.396599999999999</c:v>
                </c:pt>
                <c:pt idx="795">
                  <c:v>37.7746</c:v>
                </c:pt>
                <c:pt idx="796">
                  <c:v>36.943200000000012</c:v>
                </c:pt>
                <c:pt idx="797">
                  <c:v>36.403199999999991</c:v>
                </c:pt>
                <c:pt idx="798">
                  <c:v>35.939399999999999</c:v>
                </c:pt>
                <c:pt idx="799">
                  <c:v>36.282399999999996</c:v>
                </c:pt>
                <c:pt idx="800">
                  <c:v>34.472999999999992</c:v>
                </c:pt>
                <c:pt idx="801">
                  <c:v>34.165999999999997</c:v>
                </c:pt>
                <c:pt idx="802">
                  <c:v>35.290199999999992</c:v>
                </c:pt>
                <c:pt idx="803">
                  <c:v>34.934599999999989</c:v>
                </c:pt>
                <c:pt idx="804">
                  <c:v>33.342800000000011</c:v>
                </c:pt>
                <c:pt idx="805">
                  <c:v>32.469599999999993</c:v>
                </c:pt>
                <c:pt idx="806">
                  <c:v>32.513200000000019</c:v>
                </c:pt>
                <c:pt idx="807">
                  <c:v>33.065599999999996</c:v>
                </c:pt>
                <c:pt idx="808">
                  <c:v>32.524799999999992</c:v>
                </c:pt>
                <c:pt idx="809">
                  <c:v>32.733800000000009</c:v>
                </c:pt>
                <c:pt idx="810">
                  <c:v>31.176000000000005</c:v>
                </c:pt>
                <c:pt idx="811">
                  <c:v>29.169999999999998</c:v>
                </c:pt>
                <c:pt idx="812">
                  <c:v>29.393999999999988</c:v>
                </c:pt>
                <c:pt idx="813">
                  <c:v>28.218</c:v>
                </c:pt>
                <c:pt idx="814">
                  <c:v>29.452200000000005</c:v>
                </c:pt>
                <c:pt idx="815">
                  <c:v>29.645399999999995</c:v>
                </c:pt>
                <c:pt idx="816">
                  <c:v>26.853399999999983</c:v>
                </c:pt>
                <c:pt idx="817">
                  <c:v>26.345399999999984</c:v>
                </c:pt>
                <c:pt idx="818">
                  <c:v>27.365600000000011</c:v>
                </c:pt>
                <c:pt idx="819">
                  <c:v>28.111599999999992</c:v>
                </c:pt>
                <c:pt idx="820">
                  <c:v>28.461400000000008</c:v>
                </c:pt>
                <c:pt idx="821">
                  <c:v>27.778399999999994</c:v>
                </c:pt>
                <c:pt idx="822">
                  <c:v>27.859800000000007</c:v>
                </c:pt>
                <c:pt idx="823">
                  <c:v>27.90900000000001</c:v>
                </c:pt>
                <c:pt idx="824">
                  <c:v>27.267599999999998</c:v>
                </c:pt>
                <c:pt idx="825">
                  <c:v>26.059599999999989</c:v>
                </c:pt>
                <c:pt idx="826">
                  <c:v>25.208199999999994</c:v>
                </c:pt>
                <c:pt idx="827">
                  <c:v>25.373999999999985</c:v>
                </c:pt>
                <c:pt idx="828">
                  <c:v>26.289799999999996</c:v>
                </c:pt>
                <c:pt idx="829">
                  <c:v>24.651199999999999</c:v>
                </c:pt>
                <c:pt idx="830">
                  <c:v>24.750399999999996</c:v>
                </c:pt>
                <c:pt idx="831">
                  <c:v>24.15499999999999</c:v>
                </c:pt>
                <c:pt idx="832">
                  <c:v>23.843800000000005</c:v>
                </c:pt>
                <c:pt idx="833">
                  <c:v>23.882800000000014</c:v>
                </c:pt>
                <c:pt idx="834">
                  <c:v>24.962399999999985</c:v>
                </c:pt>
                <c:pt idx="835">
                  <c:v>24.703000000000014</c:v>
                </c:pt>
                <c:pt idx="836">
                  <c:v>24.092199999999991</c:v>
                </c:pt>
                <c:pt idx="837">
                  <c:v>25.505200000000002</c:v>
                </c:pt>
                <c:pt idx="838">
                  <c:v>24.735200000000003</c:v>
                </c:pt>
                <c:pt idx="839">
                  <c:v>24.292000000000012</c:v>
                </c:pt>
                <c:pt idx="840">
                  <c:v>25.464800000000007</c:v>
                </c:pt>
                <c:pt idx="841">
                  <c:v>26.2974</c:v>
                </c:pt>
                <c:pt idx="842">
                  <c:v>26.263400000000008</c:v>
                </c:pt>
                <c:pt idx="843">
                  <c:v>26.491199999999992</c:v>
                </c:pt>
                <c:pt idx="844">
                  <c:v>25.738</c:v>
                </c:pt>
                <c:pt idx="845">
                  <c:v>24.151399999999985</c:v>
                </c:pt>
                <c:pt idx="846">
                  <c:v>24.623399999999986</c:v>
                </c:pt>
                <c:pt idx="847">
                  <c:v>24.6478</c:v>
                </c:pt>
                <c:pt idx="848">
                  <c:v>24.998399999999986</c:v>
                </c:pt>
                <c:pt idx="849">
                  <c:v>25.317199999999996</c:v>
                </c:pt>
                <c:pt idx="850">
                  <c:v>25.321200000000015</c:v>
                </c:pt>
                <c:pt idx="851">
                  <c:v>24.813200000000013</c:v>
                </c:pt>
                <c:pt idx="852">
                  <c:v>24.106800000000021</c:v>
                </c:pt>
                <c:pt idx="853">
                  <c:v>24.200399999999984</c:v>
                </c:pt>
                <c:pt idx="854">
                  <c:v>25.708199999999994</c:v>
                </c:pt>
                <c:pt idx="855">
                  <c:v>25.279600000000016</c:v>
                </c:pt>
                <c:pt idx="856">
                  <c:v>25.264799999999997</c:v>
                </c:pt>
                <c:pt idx="857">
                  <c:v>24.875399999999996</c:v>
                </c:pt>
                <c:pt idx="858">
                  <c:v>24.350000000000005</c:v>
                </c:pt>
                <c:pt idx="859">
                  <c:v>23.671800000000001</c:v>
                </c:pt>
                <c:pt idx="860">
                  <c:v>23.335599999999999</c:v>
                </c:pt>
                <c:pt idx="861">
                  <c:v>24.579400000000003</c:v>
                </c:pt>
                <c:pt idx="862">
                  <c:v>24.728400000000022</c:v>
                </c:pt>
                <c:pt idx="863">
                  <c:v>23.505000000000013</c:v>
                </c:pt>
                <c:pt idx="864">
                  <c:v>23.416999999999991</c:v>
                </c:pt>
                <c:pt idx="865">
                  <c:v>24.122200000000003</c:v>
                </c:pt>
                <c:pt idx="866">
                  <c:v>22.851999999999993</c:v>
                </c:pt>
                <c:pt idx="867">
                  <c:v>23.025200000000002</c:v>
                </c:pt>
                <c:pt idx="868">
                  <c:v>21.120799999999992</c:v>
                </c:pt>
                <c:pt idx="869">
                  <c:v>20.993400000000008</c:v>
                </c:pt>
                <c:pt idx="870">
                  <c:v>20.569800000000004</c:v>
                </c:pt>
                <c:pt idx="871">
                  <c:v>19.768800000000017</c:v>
                </c:pt>
                <c:pt idx="872">
                  <c:v>19.499999999999982</c:v>
                </c:pt>
                <c:pt idx="873">
                  <c:v>18.901600000000013</c:v>
                </c:pt>
                <c:pt idx="874">
                  <c:v>18.952000000000016</c:v>
                </c:pt>
                <c:pt idx="875">
                  <c:v>19.546400000000006</c:v>
                </c:pt>
                <c:pt idx="876">
                  <c:v>19.746200000000005</c:v>
                </c:pt>
                <c:pt idx="877">
                  <c:v>19.325000000000006</c:v>
                </c:pt>
                <c:pt idx="878">
                  <c:v>20.19779999999999</c:v>
                </c:pt>
                <c:pt idx="879">
                  <c:v>19.920999999999992</c:v>
                </c:pt>
                <c:pt idx="880">
                  <c:v>21.619199999999996</c:v>
                </c:pt>
                <c:pt idx="881">
                  <c:v>23.751599999999996</c:v>
                </c:pt>
                <c:pt idx="882">
                  <c:v>22.926600000000008</c:v>
                </c:pt>
                <c:pt idx="883">
                  <c:v>24.416999999999991</c:v>
                </c:pt>
                <c:pt idx="884">
                  <c:v>23.599599999999992</c:v>
                </c:pt>
                <c:pt idx="885">
                  <c:v>22.674200000000003</c:v>
                </c:pt>
                <c:pt idx="886">
                  <c:v>22.8368</c:v>
                </c:pt>
                <c:pt idx="887">
                  <c:v>20.532800000000009</c:v>
                </c:pt>
                <c:pt idx="888">
                  <c:v>20.596999999999998</c:v>
                </c:pt>
                <c:pt idx="889">
                  <c:v>21.9344</c:v>
                </c:pt>
                <c:pt idx="890">
                  <c:v>20.662600000000015</c:v>
                </c:pt>
                <c:pt idx="891">
                  <c:v>21.575799999999997</c:v>
                </c:pt>
                <c:pt idx="892">
                  <c:v>21.100000000000023</c:v>
                </c:pt>
                <c:pt idx="893">
                  <c:v>22.346000000000004</c:v>
                </c:pt>
                <c:pt idx="894">
                  <c:v>21.636399999999998</c:v>
                </c:pt>
                <c:pt idx="895">
                  <c:v>20.257600000000007</c:v>
                </c:pt>
                <c:pt idx="896">
                  <c:v>19.911200000000008</c:v>
                </c:pt>
                <c:pt idx="897">
                  <c:v>18.787599999999998</c:v>
                </c:pt>
                <c:pt idx="898">
                  <c:v>18.439000000000004</c:v>
                </c:pt>
                <c:pt idx="899">
                  <c:v>17.519600000000008</c:v>
                </c:pt>
                <c:pt idx="900">
                  <c:v>18.016399999999994</c:v>
                </c:pt>
                <c:pt idx="901">
                  <c:v>17.368600000000015</c:v>
                </c:pt>
                <c:pt idx="902">
                  <c:v>17.49740000000001</c:v>
                </c:pt>
                <c:pt idx="903">
                  <c:v>18.21939999999999</c:v>
                </c:pt>
                <c:pt idx="904">
                  <c:v>19.343200000000024</c:v>
                </c:pt>
                <c:pt idx="905">
                  <c:v>19.255200000000002</c:v>
                </c:pt>
                <c:pt idx="906">
                  <c:v>18.963399999999979</c:v>
                </c:pt>
                <c:pt idx="907">
                  <c:v>18.266399999999994</c:v>
                </c:pt>
                <c:pt idx="908">
                  <c:v>19.949200000000001</c:v>
                </c:pt>
                <c:pt idx="909">
                  <c:v>18.206200000000006</c:v>
                </c:pt>
                <c:pt idx="910">
                  <c:v>17.476999999999993</c:v>
                </c:pt>
                <c:pt idx="911">
                  <c:v>17.34559999999999</c:v>
                </c:pt>
                <c:pt idx="912">
                  <c:v>16.615000000000009</c:v>
                </c:pt>
                <c:pt idx="913">
                  <c:v>16.863999999999976</c:v>
                </c:pt>
                <c:pt idx="914">
                  <c:v>17.783000000000015</c:v>
                </c:pt>
                <c:pt idx="915">
                  <c:v>17.893000000000011</c:v>
                </c:pt>
                <c:pt idx="916">
                  <c:v>17.18519999999997</c:v>
                </c:pt>
                <c:pt idx="917">
                  <c:v>15.745000000000005</c:v>
                </c:pt>
                <c:pt idx="918">
                  <c:v>16.889800000000019</c:v>
                </c:pt>
                <c:pt idx="919">
                  <c:v>14.993800000000002</c:v>
                </c:pt>
                <c:pt idx="920">
                  <c:v>13.665399999999977</c:v>
                </c:pt>
                <c:pt idx="921">
                  <c:v>12.603400000000002</c:v>
                </c:pt>
                <c:pt idx="922">
                  <c:v>12.144799999999995</c:v>
                </c:pt>
                <c:pt idx="923">
                  <c:v>11.386800000000013</c:v>
                </c:pt>
                <c:pt idx="924">
                  <c:v>12.385200000000017</c:v>
                </c:pt>
                <c:pt idx="925">
                  <c:v>12.930600000000007</c:v>
                </c:pt>
                <c:pt idx="926">
                  <c:v>12.366600000000005</c:v>
                </c:pt>
                <c:pt idx="927">
                  <c:v>11.067000000000007</c:v>
                </c:pt>
                <c:pt idx="928">
                  <c:v>12.065800000000005</c:v>
                </c:pt>
                <c:pt idx="929">
                  <c:v>11.224800000000016</c:v>
                </c:pt>
                <c:pt idx="930">
                  <c:v>12.011400000000018</c:v>
                </c:pt>
                <c:pt idx="931">
                  <c:v>11.022400000000024</c:v>
                </c:pt>
                <c:pt idx="932">
                  <c:v>12.428800000000004</c:v>
                </c:pt>
                <c:pt idx="933">
                  <c:v>13.331399999999993</c:v>
                </c:pt>
                <c:pt idx="934">
                  <c:v>14.243799999999984</c:v>
                </c:pt>
                <c:pt idx="935">
                  <c:v>13.402799999999994</c:v>
                </c:pt>
                <c:pt idx="936">
                  <c:v>12.860599999999996</c:v>
                </c:pt>
                <c:pt idx="937">
                  <c:v>12.430999999999983</c:v>
                </c:pt>
                <c:pt idx="938">
                  <c:v>11.401400000000004</c:v>
                </c:pt>
                <c:pt idx="939">
                  <c:v>12.645000000000001</c:v>
                </c:pt>
                <c:pt idx="940">
                  <c:v>11.158800000000005</c:v>
                </c:pt>
                <c:pt idx="941">
                  <c:v>12.630999999999991</c:v>
                </c:pt>
                <c:pt idx="942">
                  <c:v>12.621800000000007</c:v>
                </c:pt>
                <c:pt idx="943">
                  <c:v>14.077600000000018</c:v>
                </c:pt>
                <c:pt idx="944">
                  <c:v>15.516799999999989</c:v>
                </c:pt>
                <c:pt idx="945">
                  <c:v>15.175399999999987</c:v>
                </c:pt>
                <c:pt idx="946">
                  <c:v>14.704199999999977</c:v>
                </c:pt>
                <c:pt idx="947">
                  <c:v>15.502400000000003</c:v>
                </c:pt>
                <c:pt idx="948">
                  <c:v>15.919000000000002</c:v>
                </c:pt>
                <c:pt idx="949">
                  <c:v>15.331200000000004</c:v>
                </c:pt>
                <c:pt idx="950">
                  <c:v>16.235200000000003</c:v>
                </c:pt>
                <c:pt idx="951">
                  <c:v>16.774799999999988</c:v>
                </c:pt>
                <c:pt idx="952">
                  <c:v>16.626000000000015</c:v>
                </c:pt>
                <c:pt idx="953">
                  <c:v>15.257600000000005</c:v>
                </c:pt>
                <c:pt idx="954">
                  <c:v>15.501800000000003</c:v>
                </c:pt>
                <c:pt idx="955">
                  <c:v>14.761800000000031</c:v>
                </c:pt>
                <c:pt idx="956">
                  <c:v>15.907199999999989</c:v>
                </c:pt>
                <c:pt idx="957">
                  <c:v>15.857999999999985</c:v>
                </c:pt>
                <c:pt idx="958">
                  <c:v>18.310000000000002</c:v>
                </c:pt>
                <c:pt idx="959">
                  <c:v>17.410600000000006</c:v>
                </c:pt>
                <c:pt idx="960">
                  <c:v>17.012</c:v>
                </c:pt>
                <c:pt idx="961">
                  <c:v>16.407</c:v>
                </c:pt>
                <c:pt idx="962">
                  <c:v>17.178199999999986</c:v>
                </c:pt>
                <c:pt idx="963">
                  <c:v>16.718400000000013</c:v>
                </c:pt>
                <c:pt idx="964">
                  <c:v>15.635599999999991</c:v>
                </c:pt>
                <c:pt idx="965">
                  <c:v>17.101800000000008</c:v>
                </c:pt>
                <c:pt idx="966">
                  <c:v>18.040199999999988</c:v>
                </c:pt>
                <c:pt idx="967">
                  <c:v>19.323999999999995</c:v>
                </c:pt>
                <c:pt idx="968">
                  <c:v>20.271800000000002</c:v>
                </c:pt>
                <c:pt idx="969">
                  <c:v>22.411999999999995</c:v>
                </c:pt>
                <c:pt idx="970">
                  <c:v>21.720200000000016</c:v>
                </c:pt>
                <c:pt idx="971">
                  <c:v>22.271199999999983</c:v>
                </c:pt>
                <c:pt idx="972">
                  <c:v>20.148399999999999</c:v>
                </c:pt>
                <c:pt idx="973">
                  <c:v>21.571600000000007</c:v>
                </c:pt>
                <c:pt idx="974">
                  <c:v>22.773199999999992</c:v>
                </c:pt>
                <c:pt idx="975">
                  <c:v>23.62100000000002</c:v>
                </c:pt>
                <c:pt idx="976">
                  <c:v>23.196400000000001</c:v>
                </c:pt>
                <c:pt idx="977">
                  <c:v>24.024999999999995</c:v>
                </c:pt>
                <c:pt idx="978">
                  <c:v>25.750800000000009</c:v>
                </c:pt>
                <c:pt idx="979">
                  <c:v>24.269600000000008</c:v>
                </c:pt>
                <c:pt idx="980">
                  <c:v>23.876599999999996</c:v>
                </c:pt>
                <c:pt idx="981">
                  <c:v>23.134999999999991</c:v>
                </c:pt>
                <c:pt idx="982">
                  <c:v>21.764999999999986</c:v>
                </c:pt>
                <c:pt idx="983">
                  <c:v>21.27</c:v>
                </c:pt>
                <c:pt idx="984">
                  <c:v>21.494199999999996</c:v>
                </c:pt>
                <c:pt idx="985">
                  <c:v>19.757400000000001</c:v>
                </c:pt>
                <c:pt idx="986">
                  <c:v>18.853400000000004</c:v>
                </c:pt>
                <c:pt idx="987">
                  <c:v>19.367599999999999</c:v>
                </c:pt>
                <c:pt idx="988">
                  <c:v>17.995799999999992</c:v>
                </c:pt>
                <c:pt idx="989">
                  <c:v>18.680200000000013</c:v>
                </c:pt>
                <c:pt idx="990">
                  <c:v>18.406400000000001</c:v>
                </c:pt>
                <c:pt idx="991">
                  <c:v>18.132200000000012</c:v>
                </c:pt>
                <c:pt idx="992">
                  <c:v>19.605799999999988</c:v>
                </c:pt>
                <c:pt idx="993">
                  <c:v>20.227399999999989</c:v>
                </c:pt>
                <c:pt idx="994">
                  <c:v>21.637200000000007</c:v>
                </c:pt>
                <c:pt idx="995">
                  <c:v>21.697199999999992</c:v>
                </c:pt>
                <c:pt idx="996">
                  <c:v>22.514199999999999</c:v>
                </c:pt>
                <c:pt idx="997">
                  <c:v>22.325600000000009</c:v>
                </c:pt>
                <c:pt idx="998">
                  <c:v>21.635400000000004</c:v>
                </c:pt>
                <c:pt idx="999">
                  <c:v>21.528600000000001</c:v>
                </c:pt>
                <c:pt idx="1000">
                  <c:v>22.49799999999999</c:v>
                </c:pt>
                <c:pt idx="1001">
                  <c:v>21.833799999999997</c:v>
                </c:pt>
                <c:pt idx="1002">
                  <c:v>21.358000000000004</c:v>
                </c:pt>
                <c:pt idx="1003">
                  <c:v>21.801199999999994</c:v>
                </c:pt>
                <c:pt idx="1004">
                  <c:v>22.761000000000006</c:v>
                </c:pt>
                <c:pt idx="1005">
                  <c:v>23.338000000000005</c:v>
                </c:pt>
                <c:pt idx="1006">
                  <c:v>23.232399999999984</c:v>
                </c:pt>
                <c:pt idx="1007">
                  <c:v>23.184600000000007</c:v>
                </c:pt>
                <c:pt idx="1008">
                  <c:v>23.021000000000015</c:v>
                </c:pt>
                <c:pt idx="1009">
                  <c:v>21.945400000000006</c:v>
                </c:pt>
                <c:pt idx="1010">
                  <c:v>21.083600000000008</c:v>
                </c:pt>
                <c:pt idx="1011">
                  <c:v>20.485800000000001</c:v>
                </c:pt>
                <c:pt idx="1012">
                  <c:v>21.113000000000017</c:v>
                </c:pt>
                <c:pt idx="1013">
                  <c:v>19.722200000000004</c:v>
                </c:pt>
                <c:pt idx="1014">
                  <c:v>20.276400000000006</c:v>
                </c:pt>
                <c:pt idx="1015">
                  <c:v>19.305600000000009</c:v>
                </c:pt>
                <c:pt idx="1016">
                  <c:v>20.358000000000004</c:v>
                </c:pt>
                <c:pt idx="1017">
                  <c:v>19.535000000000007</c:v>
                </c:pt>
                <c:pt idx="1018">
                  <c:v>18.357399999999984</c:v>
                </c:pt>
                <c:pt idx="1019">
                  <c:v>19.646400000000011</c:v>
                </c:pt>
                <c:pt idx="1020">
                  <c:v>19.035399999999999</c:v>
                </c:pt>
                <c:pt idx="1021">
                  <c:v>18.148600000000027</c:v>
                </c:pt>
                <c:pt idx="1022">
                  <c:v>18.668199999999995</c:v>
                </c:pt>
                <c:pt idx="1023">
                  <c:v>17.457400000000007</c:v>
                </c:pt>
                <c:pt idx="1024">
                  <c:v>18.531600000000008</c:v>
                </c:pt>
                <c:pt idx="1025">
                  <c:v>19.215400000000006</c:v>
                </c:pt>
                <c:pt idx="1026">
                  <c:v>19.793400000000002</c:v>
                </c:pt>
                <c:pt idx="1027">
                  <c:v>18.207800000000002</c:v>
                </c:pt>
                <c:pt idx="1028">
                  <c:v>19.526199999999999</c:v>
                </c:pt>
                <c:pt idx="1029">
                  <c:v>19.171800000000001</c:v>
                </c:pt>
                <c:pt idx="1030">
                  <c:v>19.841400000000021</c:v>
                </c:pt>
                <c:pt idx="1031">
                  <c:v>21.343200000000007</c:v>
                </c:pt>
                <c:pt idx="1032">
                  <c:v>20.628200000000032</c:v>
                </c:pt>
                <c:pt idx="1033">
                  <c:v>24.0868</c:v>
                </c:pt>
                <c:pt idx="1034">
                  <c:v>25.005599999999998</c:v>
                </c:pt>
                <c:pt idx="1035">
                  <c:v>24.428599999999999</c:v>
                </c:pt>
                <c:pt idx="1036">
                  <c:v>24.077400000000011</c:v>
                </c:pt>
                <c:pt idx="1037">
                  <c:v>23.859199999999987</c:v>
                </c:pt>
                <c:pt idx="1038">
                  <c:v>23.545800000000003</c:v>
                </c:pt>
                <c:pt idx="1039">
                  <c:v>22.601799999999987</c:v>
                </c:pt>
                <c:pt idx="1040">
                  <c:v>23.005400000000009</c:v>
                </c:pt>
                <c:pt idx="1041">
                  <c:v>22.775400000000008</c:v>
                </c:pt>
                <c:pt idx="1042">
                  <c:v>22.828199999999999</c:v>
                </c:pt>
                <c:pt idx="1043">
                  <c:v>22.769199999999994</c:v>
                </c:pt>
                <c:pt idx="1044">
                  <c:v>22.675999999999988</c:v>
                </c:pt>
                <c:pt idx="1045">
                  <c:v>22.855800000000006</c:v>
                </c:pt>
                <c:pt idx="1046">
                  <c:v>23.006799999999998</c:v>
                </c:pt>
                <c:pt idx="1047">
                  <c:v>24.5</c:v>
                </c:pt>
                <c:pt idx="1048">
                  <c:v>25.729399999999998</c:v>
                </c:pt>
                <c:pt idx="1049">
                  <c:v>24.795599999999997</c:v>
                </c:pt>
                <c:pt idx="1050">
                  <c:v>25.185000000000002</c:v>
                </c:pt>
                <c:pt idx="1051">
                  <c:v>23.062000000000012</c:v>
                </c:pt>
                <c:pt idx="1052">
                  <c:v>23.215400000000006</c:v>
                </c:pt>
                <c:pt idx="1053">
                  <c:v>21.459599999999984</c:v>
                </c:pt>
                <c:pt idx="1054">
                  <c:v>22.772599999999972</c:v>
                </c:pt>
                <c:pt idx="1055">
                  <c:v>22.516399999999994</c:v>
                </c:pt>
                <c:pt idx="1056">
                  <c:v>21.942400000000021</c:v>
                </c:pt>
                <c:pt idx="1057">
                  <c:v>22.388800000000003</c:v>
                </c:pt>
                <c:pt idx="1058">
                  <c:v>21.965599999999995</c:v>
                </c:pt>
                <c:pt idx="1059">
                  <c:v>22.223799999999983</c:v>
                </c:pt>
                <c:pt idx="1060">
                  <c:v>21.826800000000009</c:v>
                </c:pt>
                <c:pt idx="1061">
                  <c:v>21.138400000000008</c:v>
                </c:pt>
                <c:pt idx="1062">
                  <c:v>21.040800000000008</c:v>
                </c:pt>
                <c:pt idx="1063">
                  <c:v>20.782799999999991</c:v>
                </c:pt>
                <c:pt idx="1064">
                  <c:v>21.927199999999988</c:v>
                </c:pt>
                <c:pt idx="1065">
                  <c:v>21.646999999999991</c:v>
                </c:pt>
                <c:pt idx="1066">
                  <c:v>21.957800000000002</c:v>
                </c:pt>
                <c:pt idx="1067">
                  <c:v>21.964400000000012</c:v>
                </c:pt>
                <c:pt idx="1068">
                  <c:v>21.99120000000001</c:v>
                </c:pt>
                <c:pt idx="1069">
                  <c:v>21.967199999999973</c:v>
                </c:pt>
                <c:pt idx="1070">
                  <c:v>21.728000000000009</c:v>
                </c:pt>
                <c:pt idx="1071">
                  <c:v>22.732600000000009</c:v>
                </c:pt>
                <c:pt idx="1072">
                  <c:v>23.246800000000007</c:v>
                </c:pt>
                <c:pt idx="1073">
                  <c:v>23.522400000000005</c:v>
                </c:pt>
                <c:pt idx="1074">
                  <c:v>23.346400000000017</c:v>
                </c:pt>
                <c:pt idx="1075">
                  <c:v>24.946999999999985</c:v>
                </c:pt>
                <c:pt idx="1076">
                  <c:v>25.43579999999999</c:v>
                </c:pt>
                <c:pt idx="1077">
                  <c:v>25.352400000000006</c:v>
                </c:pt>
                <c:pt idx="1078">
                  <c:v>25.45859999999999</c:v>
                </c:pt>
                <c:pt idx="1079">
                  <c:v>25.877400000000023</c:v>
                </c:pt>
                <c:pt idx="1080">
                  <c:v>24.002200000000016</c:v>
                </c:pt>
                <c:pt idx="1081">
                  <c:v>24.432999999999993</c:v>
                </c:pt>
                <c:pt idx="1082">
                  <c:v>24.256600000000009</c:v>
                </c:pt>
                <c:pt idx="1083">
                  <c:v>23.662400000000009</c:v>
                </c:pt>
                <c:pt idx="1084">
                  <c:v>23.598200000000002</c:v>
                </c:pt>
                <c:pt idx="1085">
                  <c:v>22.667199999999998</c:v>
                </c:pt>
                <c:pt idx="1086">
                  <c:v>21.730200000000007</c:v>
                </c:pt>
                <c:pt idx="1087">
                  <c:v>21.924599999999998</c:v>
                </c:pt>
                <c:pt idx="1088">
                  <c:v>21.962799999999977</c:v>
                </c:pt>
                <c:pt idx="1089">
                  <c:v>21.793200000000013</c:v>
                </c:pt>
                <c:pt idx="1090">
                  <c:v>21.877800000000018</c:v>
                </c:pt>
                <c:pt idx="1091">
                  <c:v>21.561599999999999</c:v>
                </c:pt>
                <c:pt idx="1092">
                  <c:v>22.246800000000007</c:v>
                </c:pt>
                <c:pt idx="1093">
                  <c:v>22.806000000000001</c:v>
                </c:pt>
                <c:pt idx="1094">
                  <c:v>22.588399999999996</c:v>
                </c:pt>
                <c:pt idx="1095">
                  <c:v>22.071400000000001</c:v>
                </c:pt>
                <c:pt idx="1096">
                  <c:v>21.564399999999996</c:v>
                </c:pt>
                <c:pt idx="1097">
                  <c:v>20.686800000000005</c:v>
                </c:pt>
                <c:pt idx="1098">
                  <c:v>21.23660000000001</c:v>
                </c:pt>
                <c:pt idx="1099">
                  <c:v>21.203400000000027</c:v>
                </c:pt>
                <c:pt idx="1100">
                  <c:v>20.501200000000022</c:v>
                </c:pt>
                <c:pt idx="1101">
                  <c:v>21.972400000000011</c:v>
                </c:pt>
                <c:pt idx="1102">
                  <c:v>21.181000000000001</c:v>
                </c:pt>
                <c:pt idx="1103">
                  <c:v>20.938000000000006</c:v>
                </c:pt>
                <c:pt idx="1104">
                  <c:v>20.409400000000005</c:v>
                </c:pt>
                <c:pt idx="1105">
                  <c:v>20.024799999999988</c:v>
                </c:pt>
                <c:pt idx="1106">
                  <c:v>19.419</c:v>
                </c:pt>
                <c:pt idx="1107">
                  <c:v>20.612200000000012</c:v>
                </c:pt>
                <c:pt idx="1108">
                  <c:v>19.828800000000001</c:v>
                </c:pt>
                <c:pt idx="1109">
                  <c:v>19.641199999999987</c:v>
                </c:pt>
                <c:pt idx="1110">
                  <c:v>19.313400000000019</c:v>
                </c:pt>
                <c:pt idx="1111">
                  <c:v>20.282599999999984</c:v>
                </c:pt>
                <c:pt idx="1112">
                  <c:v>21.663799999999998</c:v>
                </c:pt>
                <c:pt idx="1113">
                  <c:v>20.532</c:v>
                </c:pt>
                <c:pt idx="1114">
                  <c:v>21.080999999999978</c:v>
                </c:pt>
                <c:pt idx="1115">
                  <c:v>22.442799999999995</c:v>
                </c:pt>
                <c:pt idx="1116">
                  <c:v>23.720999999999986</c:v>
                </c:pt>
                <c:pt idx="1117">
                  <c:v>23.387000000000018</c:v>
                </c:pt>
                <c:pt idx="1118">
                  <c:v>23.564599999999984</c:v>
                </c:pt>
                <c:pt idx="1119">
                  <c:v>22.614600000000014</c:v>
                </c:pt>
                <c:pt idx="1120">
                  <c:v>23.357999999999986</c:v>
                </c:pt>
                <c:pt idx="1121">
                  <c:v>21.976600000000001</c:v>
                </c:pt>
                <c:pt idx="1122">
                  <c:v>22.134000000000015</c:v>
                </c:pt>
                <c:pt idx="1123">
                  <c:v>22.386600000000005</c:v>
                </c:pt>
                <c:pt idx="1124">
                  <c:v>21.496599999999983</c:v>
                </c:pt>
                <c:pt idx="1125">
                  <c:v>21.3796</c:v>
                </c:pt>
                <c:pt idx="1126">
                  <c:v>21.437400000000007</c:v>
                </c:pt>
                <c:pt idx="1127">
                  <c:v>21.492000000000001</c:v>
                </c:pt>
                <c:pt idx="1128">
                  <c:v>20.964999999999993</c:v>
                </c:pt>
                <c:pt idx="1129">
                  <c:v>20.071599999999989</c:v>
                </c:pt>
                <c:pt idx="1130">
                  <c:v>20.161000000000001</c:v>
                </c:pt>
                <c:pt idx="1131">
                  <c:v>20.388999999999992</c:v>
                </c:pt>
                <c:pt idx="1132">
                  <c:v>20.660600000000006</c:v>
                </c:pt>
                <c:pt idx="1133">
                  <c:v>21.213399999999996</c:v>
                </c:pt>
                <c:pt idx="1134">
                  <c:v>21.177800000000008</c:v>
                </c:pt>
                <c:pt idx="1135">
                  <c:v>19.519199999999994</c:v>
                </c:pt>
                <c:pt idx="1136">
                  <c:v>17.526399999999985</c:v>
                </c:pt>
                <c:pt idx="1137">
                  <c:v>17.971199999999993</c:v>
                </c:pt>
                <c:pt idx="1138">
                  <c:v>17.332800000000002</c:v>
                </c:pt>
                <c:pt idx="1139">
                  <c:v>17.564799999999991</c:v>
                </c:pt>
                <c:pt idx="1140">
                  <c:v>16.766199999999987</c:v>
                </c:pt>
                <c:pt idx="1141">
                  <c:v>17.002799999999997</c:v>
                </c:pt>
                <c:pt idx="1142">
                  <c:v>18.364599999999996</c:v>
                </c:pt>
                <c:pt idx="1143">
                  <c:v>17.989400000000007</c:v>
                </c:pt>
                <c:pt idx="1144">
                  <c:v>19.481800000000021</c:v>
                </c:pt>
                <c:pt idx="1145">
                  <c:v>19.129000000000001</c:v>
                </c:pt>
                <c:pt idx="1146">
                  <c:v>20.618599999999997</c:v>
                </c:pt>
                <c:pt idx="1147">
                  <c:v>19.085800000000006</c:v>
                </c:pt>
                <c:pt idx="1148">
                  <c:v>18.20399999999999</c:v>
                </c:pt>
                <c:pt idx="1149">
                  <c:v>18.510600000000011</c:v>
                </c:pt>
                <c:pt idx="1150">
                  <c:v>20.057000000000016</c:v>
                </c:pt>
                <c:pt idx="1151">
                  <c:v>20.824200000000019</c:v>
                </c:pt>
                <c:pt idx="1152">
                  <c:v>19.730199999999968</c:v>
                </c:pt>
                <c:pt idx="1153">
                  <c:v>19.298799999999989</c:v>
                </c:pt>
                <c:pt idx="1154">
                  <c:v>19.025999999999993</c:v>
                </c:pt>
                <c:pt idx="1155">
                  <c:v>20.159800000000001</c:v>
                </c:pt>
                <c:pt idx="1156">
                  <c:v>18.557800000000004</c:v>
                </c:pt>
                <c:pt idx="1157">
                  <c:v>18.08280000000002</c:v>
                </c:pt>
                <c:pt idx="1158">
                  <c:v>19.902000000000005</c:v>
                </c:pt>
                <c:pt idx="1159">
                  <c:v>18.360200000000003</c:v>
                </c:pt>
                <c:pt idx="1160">
                  <c:v>18.290999999999997</c:v>
                </c:pt>
                <c:pt idx="1161">
                  <c:v>18.590199999999999</c:v>
                </c:pt>
                <c:pt idx="1162">
                  <c:v>18.51939999999998</c:v>
                </c:pt>
                <c:pt idx="1163">
                  <c:v>19.105000000000018</c:v>
                </c:pt>
                <c:pt idx="1164">
                  <c:v>18.828800000000019</c:v>
                </c:pt>
                <c:pt idx="1165">
                  <c:v>18.758400000000012</c:v>
                </c:pt>
                <c:pt idx="1166">
                  <c:v>17.917600000000011</c:v>
                </c:pt>
                <c:pt idx="1167">
                  <c:v>17.522600000000011</c:v>
                </c:pt>
                <c:pt idx="1168">
                  <c:v>17.477800000000002</c:v>
                </c:pt>
                <c:pt idx="1169">
                  <c:v>17.941199999999998</c:v>
                </c:pt>
                <c:pt idx="1170">
                  <c:v>18.055399999999981</c:v>
                </c:pt>
                <c:pt idx="1171">
                  <c:v>18.51400000000001</c:v>
                </c:pt>
                <c:pt idx="1172">
                  <c:v>18.404799999999984</c:v>
                </c:pt>
                <c:pt idx="1173">
                  <c:v>17.686200000000003</c:v>
                </c:pt>
                <c:pt idx="1174">
                  <c:v>17.618200000000002</c:v>
                </c:pt>
                <c:pt idx="1175">
                  <c:v>16.430199999999996</c:v>
                </c:pt>
                <c:pt idx="1176">
                  <c:v>16.623400000000004</c:v>
                </c:pt>
                <c:pt idx="1177">
                  <c:v>16.296800000000001</c:v>
                </c:pt>
                <c:pt idx="1178">
                  <c:v>15.354600000000005</c:v>
                </c:pt>
                <c:pt idx="1179">
                  <c:v>15.948999999999993</c:v>
                </c:pt>
                <c:pt idx="1180">
                  <c:v>16.610200000000003</c:v>
                </c:pt>
                <c:pt idx="1181">
                  <c:v>17.13839999999999</c:v>
                </c:pt>
                <c:pt idx="1182">
                  <c:v>16.553399999999993</c:v>
                </c:pt>
                <c:pt idx="1183">
                  <c:v>16.192400000000003</c:v>
                </c:pt>
                <c:pt idx="1184">
                  <c:v>15.246400000000014</c:v>
                </c:pt>
                <c:pt idx="1185">
                  <c:v>16.373199999999997</c:v>
                </c:pt>
                <c:pt idx="1186">
                  <c:v>13.960400000000012</c:v>
                </c:pt>
                <c:pt idx="1187">
                  <c:v>13.742400000000012</c:v>
                </c:pt>
                <c:pt idx="1188">
                  <c:v>14.191400000000007</c:v>
                </c:pt>
                <c:pt idx="1189">
                  <c:v>15.040000000000001</c:v>
                </c:pt>
                <c:pt idx="1190">
                  <c:v>13.376799999999983</c:v>
                </c:pt>
                <c:pt idx="1191">
                  <c:v>13.486199999999997</c:v>
                </c:pt>
                <c:pt idx="1192">
                  <c:v>13.92780000000001</c:v>
                </c:pt>
                <c:pt idx="1193">
                  <c:v>13.964600000000019</c:v>
                </c:pt>
                <c:pt idx="1194">
                  <c:v>13.6678</c:v>
                </c:pt>
                <c:pt idx="1195">
                  <c:v>13.439600000000004</c:v>
                </c:pt>
                <c:pt idx="1196">
                  <c:v>13.232800000000017</c:v>
                </c:pt>
                <c:pt idx="1197">
                  <c:v>13.203600000000014</c:v>
                </c:pt>
                <c:pt idx="1198">
                  <c:v>13.816399999999996</c:v>
                </c:pt>
                <c:pt idx="1199">
                  <c:v>12.803999999999983</c:v>
                </c:pt>
                <c:pt idx="1200">
                  <c:v>13.789400000000001</c:v>
                </c:pt>
                <c:pt idx="1201">
                  <c:v>15.421999999999988</c:v>
                </c:pt>
                <c:pt idx="1202">
                  <c:v>12.847599999999991</c:v>
                </c:pt>
                <c:pt idx="1203">
                  <c:v>12.829000000000008</c:v>
                </c:pt>
                <c:pt idx="1204">
                  <c:v>12.960800000000006</c:v>
                </c:pt>
                <c:pt idx="1205">
                  <c:v>13.373200000000006</c:v>
                </c:pt>
                <c:pt idx="1206">
                  <c:v>13.523599999999988</c:v>
                </c:pt>
                <c:pt idx="1207">
                  <c:v>13.2494</c:v>
                </c:pt>
                <c:pt idx="1208">
                  <c:v>13.655399999999986</c:v>
                </c:pt>
                <c:pt idx="1209">
                  <c:v>14.213799999999992</c:v>
                </c:pt>
                <c:pt idx="1210">
                  <c:v>14.45799999999999</c:v>
                </c:pt>
                <c:pt idx="1211">
                  <c:v>14.751000000000014</c:v>
                </c:pt>
                <c:pt idx="1212">
                  <c:v>15.371400000000003</c:v>
                </c:pt>
                <c:pt idx="1213">
                  <c:v>15.191800000000001</c:v>
                </c:pt>
                <c:pt idx="1214">
                  <c:v>13.889400000000004</c:v>
                </c:pt>
                <c:pt idx="1215">
                  <c:v>16.154600000000006</c:v>
                </c:pt>
                <c:pt idx="1216">
                  <c:v>16.128599999999995</c:v>
                </c:pt>
                <c:pt idx="1217">
                  <c:v>16.000999999999987</c:v>
                </c:pt>
                <c:pt idx="1218">
                  <c:v>15.522600000000011</c:v>
                </c:pt>
                <c:pt idx="1219">
                  <c:v>16.072600000000005</c:v>
                </c:pt>
                <c:pt idx="1220">
                  <c:v>14.904199999999983</c:v>
                </c:pt>
                <c:pt idx="1221">
                  <c:v>15.195400000000006</c:v>
                </c:pt>
                <c:pt idx="1222">
                  <c:v>14.750999999999996</c:v>
                </c:pt>
                <c:pt idx="1223">
                  <c:v>15.097200000000006</c:v>
                </c:pt>
                <c:pt idx="1224">
                  <c:v>14.906799999999995</c:v>
                </c:pt>
                <c:pt idx="1225">
                  <c:v>13.652000000000015</c:v>
                </c:pt>
                <c:pt idx="1226">
                  <c:v>14.057399999999973</c:v>
                </c:pt>
                <c:pt idx="1227">
                  <c:v>13.962800000000007</c:v>
                </c:pt>
                <c:pt idx="1228">
                  <c:v>15.122200000000012</c:v>
                </c:pt>
                <c:pt idx="1229">
                  <c:v>15.2506</c:v>
                </c:pt>
                <c:pt idx="1230">
                  <c:v>15.279599999999988</c:v>
                </c:pt>
                <c:pt idx="1231">
                  <c:v>14.641600000000002</c:v>
                </c:pt>
                <c:pt idx="1232">
                  <c:v>14.006400000000005</c:v>
                </c:pt>
                <c:pt idx="1233">
                  <c:v>13.083599999999999</c:v>
                </c:pt>
                <c:pt idx="1234">
                  <c:v>13.092199999999991</c:v>
                </c:pt>
                <c:pt idx="1235">
                  <c:v>13.324399999999997</c:v>
                </c:pt>
                <c:pt idx="1236">
                  <c:v>13.503400000000008</c:v>
                </c:pt>
                <c:pt idx="1237">
                  <c:v>13.616800000000003</c:v>
                </c:pt>
                <c:pt idx="1238">
                  <c:v>13.680000000000007</c:v>
                </c:pt>
                <c:pt idx="1239">
                  <c:v>14.392799999999994</c:v>
                </c:pt>
                <c:pt idx="1240">
                  <c:v>15.138399999999999</c:v>
                </c:pt>
                <c:pt idx="1241">
                  <c:v>16.252999999999997</c:v>
                </c:pt>
                <c:pt idx="1242">
                  <c:v>14.657999999999996</c:v>
                </c:pt>
                <c:pt idx="1243">
                  <c:v>15.502600000000001</c:v>
                </c:pt>
                <c:pt idx="1244">
                  <c:v>15.185000000000002</c:v>
                </c:pt>
                <c:pt idx="1245">
                  <c:v>13.939599999999993</c:v>
                </c:pt>
                <c:pt idx="1246">
                  <c:v>14.878600000000006</c:v>
                </c:pt>
                <c:pt idx="1247">
                  <c:v>14.57820000000001</c:v>
                </c:pt>
                <c:pt idx="1248">
                  <c:v>13.408199999999994</c:v>
                </c:pt>
                <c:pt idx="1249">
                  <c:v>14.340399999999997</c:v>
                </c:pt>
                <c:pt idx="1250">
                  <c:v>12.968400000000011</c:v>
                </c:pt>
                <c:pt idx="1251">
                  <c:v>12.853200000000006</c:v>
                </c:pt>
                <c:pt idx="1252">
                  <c:v>13.619199999999998</c:v>
                </c:pt>
                <c:pt idx="1253">
                  <c:v>12.584999999999999</c:v>
                </c:pt>
                <c:pt idx="1254">
                  <c:v>13.128000000000005</c:v>
                </c:pt>
                <c:pt idx="1255">
                  <c:v>14.157199999999998</c:v>
                </c:pt>
                <c:pt idx="1256">
                  <c:v>12.601399999999993</c:v>
                </c:pt>
                <c:pt idx="1257">
                  <c:v>12.709200000000001</c:v>
                </c:pt>
                <c:pt idx="1258">
                  <c:v>12.531600000000006</c:v>
                </c:pt>
                <c:pt idx="1259">
                  <c:v>12.77339999999999</c:v>
                </c:pt>
                <c:pt idx="1260">
                  <c:v>12.48999999999999</c:v>
                </c:pt>
                <c:pt idx="1261">
                  <c:v>12.512399999999994</c:v>
                </c:pt>
                <c:pt idx="1262">
                  <c:v>12.859400000000003</c:v>
                </c:pt>
                <c:pt idx="1263">
                  <c:v>12.234799999999998</c:v>
                </c:pt>
                <c:pt idx="1264">
                  <c:v>13.353399999999993</c:v>
                </c:pt>
                <c:pt idx="1265">
                  <c:v>12.8904</c:v>
                </c:pt>
                <c:pt idx="1266">
                  <c:v>14.228799999999998</c:v>
                </c:pt>
                <c:pt idx="1267">
                  <c:v>15.535400000000001</c:v>
                </c:pt>
                <c:pt idx="1268">
                  <c:v>15.166200000000003</c:v>
                </c:pt>
                <c:pt idx="1269">
                  <c:v>15.487600000000006</c:v>
                </c:pt>
                <c:pt idx="1270">
                  <c:v>16.636199999999992</c:v>
                </c:pt>
                <c:pt idx="1271">
                  <c:v>16.892199999999992</c:v>
                </c:pt>
                <c:pt idx="1272">
                  <c:v>16.977599999999995</c:v>
                </c:pt>
                <c:pt idx="1273">
                  <c:v>18.283799999999996</c:v>
                </c:pt>
                <c:pt idx="1274">
                  <c:v>17.637400000000003</c:v>
                </c:pt>
                <c:pt idx="1275">
                  <c:v>17.769999999999992</c:v>
                </c:pt>
                <c:pt idx="1276">
                  <c:v>17.497000000000003</c:v>
                </c:pt>
                <c:pt idx="1277">
                  <c:v>17.712199999999996</c:v>
                </c:pt>
                <c:pt idx="1278">
                  <c:v>17.550200000000007</c:v>
                </c:pt>
                <c:pt idx="1279">
                  <c:v>19.1022</c:v>
                </c:pt>
                <c:pt idx="1280">
                  <c:v>19.766999999999985</c:v>
                </c:pt>
                <c:pt idx="1281">
                  <c:v>20.255800000000004</c:v>
                </c:pt>
                <c:pt idx="1282">
                  <c:v>20.353200000000005</c:v>
                </c:pt>
                <c:pt idx="1283">
                  <c:v>18.67639999999999</c:v>
                </c:pt>
                <c:pt idx="1284">
                  <c:v>24.445999999999998</c:v>
                </c:pt>
                <c:pt idx="1285">
                  <c:v>26.046399999999995</c:v>
                </c:pt>
                <c:pt idx="1286">
                  <c:v>27.498999999999995</c:v>
                </c:pt>
                <c:pt idx="1287">
                  <c:v>28.511799999999994</c:v>
                </c:pt>
                <c:pt idx="1288">
                  <c:v>27.994399999999995</c:v>
                </c:pt>
                <c:pt idx="1289">
                  <c:v>29.852999999999998</c:v>
                </c:pt>
                <c:pt idx="1290">
                  <c:v>31.558600000000002</c:v>
                </c:pt>
                <c:pt idx="1291">
                  <c:v>33.252999999999993</c:v>
                </c:pt>
                <c:pt idx="1292">
                  <c:v>29.956599999999991</c:v>
                </c:pt>
                <c:pt idx="1293">
                  <c:v>31.230199999999996</c:v>
                </c:pt>
                <c:pt idx="1294">
                  <c:v>29.007800000000003</c:v>
                </c:pt>
                <c:pt idx="1295">
                  <c:v>28.366599999999995</c:v>
                </c:pt>
                <c:pt idx="1296">
                  <c:v>29.249200000000013</c:v>
                </c:pt>
                <c:pt idx="1297">
                  <c:v>28.248800000000006</c:v>
                </c:pt>
                <c:pt idx="1298">
                  <c:v>28.011399999999998</c:v>
                </c:pt>
                <c:pt idx="1299">
                  <c:v>28.454799999999995</c:v>
                </c:pt>
                <c:pt idx="1300">
                  <c:v>28.450600000000009</c:v>
                </c:pt>
                <c:pt idx="1301">
                  <c:v>28.486399999999993</c:v>
                </c:pt>
                <c:pt idx="1302">
                  <c:v>28.301199999999984</c:v>
                </c:pt>
                <c:pt idx="1303">
                  <c:v>28.697399999999998</c:v>
                </c:pt>
                <c:pt idx="1304">
                  <c:v>28.539799999999996</c:v>
                </c:pt>
                <c:pt idx="1305">
                  <c:v>27.909800000000008</c:v>
                </c:pt>
                <c:pt idx="1306">
                  <c:v>27.708399999999994</c:v>
                </c:pt>
                <c:pt idx="1307">
                  <c:v>27.091599999999989</c:v>
                </c:pt>
                <c:pt idx="1308">
                  <c:v>26.635399999999994</c:v>
                </c:pt>
                <c:pt idx="1309">
                  <c:v>26.280799999999999</c:v>
                </c:pt>
                <c:pt idx="1310">
                  <c:v>26.250400000000003</c:v>
                </c:pt>
                <c:pt idx="1311">
                  <c:v>25.5428</c:v>
                </c:pt>
                <c:pt idx="1312">
                  <c:v>25.779000000000007</c:v>
                </c:pt>
                <c:pt idx="1313">
                  <c:v>25.871999999999996</c:v>
                </c:pt>
                <c:pt idx="1314">
                  <c:v>25.640199999999993</c:v>
                </c:pt>
                <c:pt idx="1315">
                  <c:v>23.731400000000008</c:v>
                </c:pt>
                <c:pt idx="1316">
                  <c:v>24.150200000000002</c:v>
                </c:pt>
                <c:pt idx="1317">
                  <c:v>23.098399999999998</c:v>
                </c:pt>
                <c:pt idx="1318">
                  <c:v>22.051000000000005</c:v>
                </c:pt>
                <c:pt idx="1319">
                  <c:v>22.642800000000005</c:v>
                </c:pt>
                <c:pt idx="1320">
                  <c:v>23.689799999999991</c:v>
                </c:pt>
                <c:pt idx="1321">
                  <c:v>23.585000000000008</c:v>
                </c:pt>
                <c:pt idx="1322">
                  <c:v>23.341800000000006</c:v>
                </c:pt>
                <c:pt idx="1323">
                  <c:v>24.261199999999992</c:v>
                </c:pt>
                <c:pt idx="1324">
                  <c:v>24.193200000000001</c:v>
                </c:pt>
                <c:pt idx="1325">
                  <c:v>23.070800000000002</c:v>
                </c:pt>
                <c:pt idx="1326">
                  <c:v>22.695600000000002</c:v>
                </c:pt>
                <c:pt idx="1327">
                  <c:v>22.376600000000007</c:v>
                </c:pt>
                <c:pt idx="1328">
                  <c:v>24.005400000000009</c:v>
                </c:pt>
                <c:pt idx="1329">
                  <c:v>25.050400000000007</c:v>
                </c:pt>
                <c:pt idx="1330">
                  <c:v>26.064599999999995</c:v>
                </c:pt>
                <c:pt idx="1331">
                  <c:v>26.095800000000008</c:v>
                </c:pt>
                <c:pt idx="1332">
                  <c:v>25.738799999999998</c:v>
                </c:pt>
                <c:pt idx="1333">
                  <c:v>25.092399999999998</c:v>
                </c:pt>
                <c:pt idx="1334">
                  <c:v>25.359799999999996</c:v>
                </c:pt>
                <c:pt idx="1335">
                  <c:v>25.869200000000006</c:v>
                </c:pt>
                <c:pt idx="1336">
                  <c:v>25.721000000000004</c:v>
                </c:pt>
                <c:pt idx="1337">
                  <c:v>25.578199999999999</c:v>
                </c:pt>
                <c:pt idx="1338">
                  <c:v>24.3202</c:v>
                </c:pt>
                <c:pt idx="1339">
                  <c:v>24.252200000000006</c:v>
                </c:pt>
                <c:pt idx="1340">
                  <c:v>23.732199999999995</c:v>
                </c:pt>
                <c:pt idx="1341">
                  <c:v>23.604799999999994</c:v>
                </c:pt>
                <c:pt idx="1342">
                  <c:v>24.334999999999997</c:v>
                </c:pt>
                <c:pt idx="1343">
                  <c:v>24.705400000000008</c:v>
                </c:pt>
                <c:pt idx="1344">
                  <c:v>25.808399999999995</c:v>
                </c:pt>
                <c:pt idx="1345">
                  <c:v>25.967600000000004</c:v>
                </c:pt>
                <c:pt idx="1346">
                  <c:v>24.72600000000001</c:v>
                </c:pt>
                <c:pt idx="1347">
                  <c:v>24.579199999999997</c:v>
                </c:pt>
                <c:pt idx="1348">
                  <c:v>25.074599999999993</c:v>
                </c:pt>
                <c:pt idx="1349">
                  <c:v>25.039800000000003</c:v>
                </c:pt>
                <c:pt idx="1350">
                  <c:v>24.774200000000008</c:v>
                </c:pt>
                <c:pt idx="1351">
                  <c:v>24.178000000000008</c:v>
                </c:pt>
                <c:pt idx="1352">
                  <c:v>22.647000000000002</c:v>
                </c:pt>
                <c:pt idx="1353">
                  <c:v>23.704800000000006</c:v>
                </c:pt>
                <c:pt idx="1354">
                  <c:v>24.751400000000007</c:v>
                </c:pt>
                <c:pt idx="1355">
                  <c:v>23.951199999999989</c:v>
                </c:pt>
                <c:pt idx="1356">
                  <c:v>23.791399999999999</c:v>
                </c:pt>
                <c:pt idx="1357">
                  <c:v>24.113600000000002</c:v>
                </c:pt>
                <c:pt idx="1358">
                  <c:v>23.2714</c:v>
                </c:pt>
                <c:pt idx="1359">
                  <c:v>23.884399999999989</c:v>
                </c:pt>
                <c:pt idx="1360">
                  <c:v>24.037199999999995</c:v>
                </c:pt>
                <c:pt idx="1361">
                  <c:v>24.869400000000002</c:v>
                </c:pt>
                <c:pt idx="1362">
                  <c:v>25.911799999999999</c:v>
                </c:pt>
                <c:pt idx="1363">
                  <c:v>25.990799999999997</c:v>
                </c:pt>
                <c:pt idx="1364">
                  <c:v>25.8796</c:v>
                </c:pt>
                <c:pt idx="1365">
                  <c:v>25.439000000000004</c:v>
                </c:pt>
                <c:pt idx="1366">
                  <c:v>25.904600000000006</c:v>
                </c:pt>
                <c:pt idx="1367">
                  <c:v>25.631199999999996</c:v>
                </c:pt>
                <c:pt idx="1368">
                  <c:v>24.294799999999992</c:v>
                </c:pt>
                <c:pt idx="1369">
                  <c:v>22.823199999999996</c:v>
                </c:pt>
                <c:pt idx="1370">
                  <c:v>21.780399999999997</c:v>
                </c:pt>
                <c:pt idx="1371">
                  <c:v>23.065599999999989</c:v>
                </c:pt>
                <c:pt idx="1372">
                  <c:v>22.787800000000004</c:v>
                </c:pt>
                <c:pt idx="1373">
                  <c:v>22.6998</c:v>
                </c:pt>
                <c:pt idx="1374">
                  <c:v>23.11559999999999</c:v>
                </c:pt>
                <c:pt idx="1375">
                  <c:v>23.57279999999999</c:v>
                </c:pt>
                <c:pt idx="1376">
                  <c:v>24.371799999999997</c:v>
                </c:pt>
                <c:pt idx="1377">
                  <c:v>24.980599999999999</c:v>
                </c:pt>
                <c:pt idx="1378">
                  <c:v>25.789000000000005</c:v>
                </c:pt>
                <c:pt idx="1379">
                  <c:v>25.258199999999999</c:v>
                </c:pt>
                <c:pt idx="1380">
                  <c:v>26.211400000000008</c:v>
                </c:pt>
                <c:pt idx="1381">
                  <c:v>28.334800000000001</c:v>
                </c:pt>
                <c:pt idx="1382">
                  <c:v>28.78680000000001</c:v>
                </c:pt>
                <c:pt idx="1383">
                  <c:v>28.080600000000015</c:v>
                </c:pt>
                <c:pt idx="1384">
                  <c:v>26.170599999999997</c:v>
                </c:pt>
                <c:pt idx="1385">
                  <c:v>25.1738</c:v>
                </c:pt>
                <c:pt idx="1386">
                  <c:v>24.00940000000001</c:v>
                </c:pt>
                <c:pt idx="1387">
                  <c:v>24.018000000000001</c:v>
                </c:pt>
                <c:pt idx="1388">
                  <c:v>24.974599999999992</c:v>
                </c:pt>
                <c:pt idx="1389">
                  <c:v>25.370000000000005</c:v>
                </c:pt>
                <c:pt idx="1390">
                  <c:v>25.284600000000001</c:v>
                </c:pt>
                <c:pt idx="1391">
                  <c:v>25.367000000000001</c:v>
                </c:pt>
                <c:pt idx="1392">
                  <c:v>25.454599999999989</c:v>
                </c:pt>
                <c:pt idx="1393">
                  <c:v>24.696399999999993</c:v>
                </c:pt>
                <c:pt idx="1394">
                  <c:v>24.530799999999999</c:v>
                </c:pt>
                <c:pt idx="1395">
                  <c:v>23.546000000000003</c:v>
                </c:pt>
                <c:pt idx="1396">
                  <c:v>22.832599999999996</c:v>
                </c:pt>
                <c:pt idx="1397">
                  <c:v>23.522600000000001</c:v>
                </c:pt>
                <c:pt idx="1398">
                  <c:v>24.740600000000011</c:v>
                </c:pt>
                <c:pt idx="1399">
                  <c:v>23.143000000000011</c:v>
                </c:pt>
                <c:pt idx="1400">
                  <c:v>23.110600000000005</c:v>
                </c:pt>
                <c:pt idx="1401">
                  <c:v>23.163000000000011</c:v>
                </c:pt>
                <c:pt idx="1402">
                  <c:v>23.177000000000003</c:v>
                </c:pt>
                <c:pt idx="1403">
                  <c:v>23.184400000000011</c:v>
                </c:pt>
                <c:pt idx="1404">
                  <c:v>24.761399999999998</c:v>
                </c:pt>
                <c:pt idx="1405">
                  <c:v>26.224199999999996</c:v>
                </c:pt>
                <c:pt idx="1406">
                  <c:v>28.294600000000013</c:v>
                </c:pt>
                <c:pt idx="1407">
                  <c:v>27.726600000000001</c:v>
                </c:pt>
                <c:pt idx="1408">
                  <c:v>26.543800000000005</c:v>
                </c:pt>
                <c:pt idx="1409">
                  <c:v>26.214799999999997</c:v>
                </c:pt>
                <c:pt idx="1410">
                  <c:v>20.204800000000006</c:v>
                </c:pt>
                <c:pt idx="1411">
                  <c:v>19.685999999999996</c:v>
                </c:pt>
                <c:pt idx="1412">
                  <c:v>18.777800000000003</c:v>
                </c:pt>
                <c:pt idx="1413">
                  <c:v>18.950599999999994</c:v>
                </c:pt>
                <c:pt idx="1414">
                  <c:v>18.164600000000007</c:v>
                </c:pt>
                <c:pt idx="1415">
                  <c:v>16.657799999999998</c:v>
                </c:pt>
                <c:pt idx="1416">
                  <c:v>15.432999999999993</c:v>
                </c:pt>
                <c:pt idx="1417">
                  <c:v>15.825599999999989</c:v>
                </c:pt>
                <c:pt idx="1418">
                  <c:v>16.174200000000003</c:v>
                </c:pt>
                <c:pt idx="1419">
                  <c:v>16.591599999999989</c:v>
                </c:pt>
                <c:pt idx="1420">
                  <c:v>15.757400000000009</c:v>
                </c:pt>
                <c:pt idx="1421">
                  <c:v>16.1844</c:v>
                </c:pt>
                <c:pt idx="1422">
                  <c:v>16.152000000000005</c:v>
                </c:pt>
                <c:pt idx="1423">
                  <c:v>16.003600000000006</c:v>
                </c:pt>
                <c:pt idx="1424">
                  <c:v>15.632000000000005</c:v>
                </c:pt>
                <c:pt idx="1425">
                  <c:v>15.462000000000009</c:v>
                </c:pt>
                <c:pt idx="1426">
                  <c:v>15.146599999999998</c:v>
                </c:pt>
                <c:pt idx="1427">
                  <c:v>15.427199999999999</c:v>
                </c:pt>
                <c:pt idx="1428">
                  <c:v>13.569400000000002</c:v>
                </c:pt>
                <c:pt idx="1429">
                  <c:v>13.425999999999997</c:v>
                </c:pt>
                <c:pt idx="1430">
                  <c:v>12.758800000000008</c:v>
                </c:pt>
                <c:pt idx="1431">
                  <c:v>13.043799999999996</c:v>
                </c:pt>
                <c:pt idx="1432">
                  <c:v>13.319399999999993</c:v>
                </c:pt>
                <c:pt idx="1433">
                  <c:v>13.332399999999998</c:v>
                </c:pt>
                <c:pt idx="1434">
                  <c:v>14.562400000000006</c:v>
                </c:pt>
                <c:pt idx="1435">
                  <c:v>15.127799999999999</c:v>
                </c:pt>
                <c:pt idx="1436">
                  <c:v>14.542399999999995</c:v>
                </c:pt>
                <c:pt idx="1437">
                  <c:v>14.558799999999991</c:v>
                </c:pt>
                <c:pt idx="1438">
                  <c:v>13.906600000000006</c:v>
                </c:pt>
                <c:pt idx="1439">
                  <c:v>13.907399999999996</c:v>
                </c:pt>
                <c:pt idx="1440">
                  <c:v>14.7012</c:v>
                </c:pt>
                <c:pt idx="1441">
                  <c:v>14.807599999999999</c:v>
                </c:pt>
                <c:pt idx="1442">
                  <c:v>13.297799999999995</c:v>
                </c:pt>
                <c:pt idx="1443">
                  <c:v>14.204599999999999</c:v>
                </c:pt>
                <c:pt idx="1444">
                  <c:v>14.2446</c:v>
                </c:pt>
                <c:pt idx="1445">
                  <c:v>13.224399999999994</c:v>
                </c:pt>
                <c:pt idx="1446">
                  <c:v>12.413600000000002</c:v>
                </c:pt>
                <c:pt idx="1447">
                  <c:v>12.3102</c:v>
                </c:pt>
                <c:pt idx="1448">
                  <c:v>11.484399999999994</c:v>
                </c:pt>
                <c:pt idx="1449">
                  <c:v>10.723200000000011</c:v>
                </c:pt>
                <c:pt idx="1450">
                  <c:v>10.758599999999992</c:v>
                </c:pt>
                <c:pt idx="1451">
                  <c:v>11.18659999999999</c:v>
                </c:pt>
                <c:pt idx="1452">
                  <c:v>10.416400000000001</c:v>
                </c:pt>
                <c:pt idx="1453">
                  <c:v>9.9524000000000026</c:v>
                </c:pt>
                <c:pt idx="1454">
                  <c:v>10.510799999999998</c:v>
                </c:pt>
                <c:pt idx="1455">
                  <c:v>11.436999999999992</c:v>
                </c:pt>
                <c:pt idx="1456">
                  <c:v>12.007399999999999</c:v>
                </c:pt>
                <c:pt idx="1457">
                  <c:v>12.392599999999996</c:v>
                </c:pt>
                <c:pt idx="1458">
                  <c:v>12.224400000000003</c:v>
                </c:pt>
                <c:pt idx="1459">
                  <c:v>12.830799999999991</c:v>
                </c:pt>
                <c:pt idx="1460">
                  <c:v>12.592600000000004</c:v>
                </c:pt>
                <c:pt idx="1461">
                  <c:v>12.420799999999995</c:v>
                </c:pt>
                <c:pt idx="1462">
                  <c:v>13.048599999999993</c:v>
                </c:pt>
                <c:pt idx="1463">
                  <c:v>13.464999999999995</c:v>
                </c:pt>
                <c:pt idx="1464">
                  <c:v>14.49800000000001</c:v>
                </c:pt>
                <c:pt idx="1465">
                  <c:v>13.702199999999996</c:v>
                </c:pt>
                <c:pt idx="1466">
                  <c:v>13.728799999999998</c:v>
                </c:pt>
                <c:pt idx="1467">
                  <c:v>14.910400000000001</c:v>
                </c:pt>
                <c:pt idx="1468">
                  <c:v>15.187600000000003</c:v>
                </c:pt>
                <c:pt idx="1469">
                  <c:v>14.731399999999999</c:v>
                </c:pt>
                <c:pt idx="1470">
                  <c:v>14.560999999999998</c:v>
                </c:pt>
                <c:pt idx="1471">
                  <c:v>13.589200000000005</c:v>
                </c:pt>
                <c:pt idx="1472">
                  <c:v>13.2874</c:v>
                </c:pt>
                <c:pt idx="1473">
                  <c:v>12.203399999999997</c:v>
                </c:pt>
                <c:pt idx="1474">
                  <c:v>12.8226</c:v>
                </c:pt>
                <c:pt idx="1475">
                  <c:v>12.691999999999993</c:v>
                </c:pt>
                <c:pt idx="1476">
                  <c:v>13.241200000000001</c:v>
                </c:pt>
                <c:pt idx="1477">
                  <c:v>13.135400000000004</c:v>
                </c:pt>
                <c:pt idx="1478">
                  <c:v>13.876200000000003</c:v>
                </c:pt>
                <c:pt idx="1479">
                  <c:v>15.076000000000002</c:v>
                </c:pt>
                <c:pt idx="1480">
                  <c:v>14.827599999999999</c:v>
                </c:pt>
                <c:pt idx="1481">
                  <c:v>15.011000000000005</c:v>
                </c:pt>
                <c:pt idx="1482">
                  <c:v>13.902000000000006</c:v>
                </c:pt>
                <c:pt idx="1483">
                  <c:v>15.479999999999999</c:v>
                </c:pt>
                <c:pt idx="1484">
                  <c:v>14.535400000000001</c:v>
                </c:pt>
                <c:pt idx="1485">
                  <c:v>14.236800000000002</c:v>
                </c:pt>
                <c:pt idx="1486">
                  <c:v>14.389199999999997</c:v>
                </c:pt>
                <c:pt idx="1487">
                  <c:v>14.12760000000001</c:v>
                </c:pt>
                <c:pt idx="1488">
                  <c:v>13.819599999999999</c:v>
                </c:pt>
                <c:pt idx="1489">
                  <c:v>14.672200000000004</c:v>
                </c:pt>
                <c:pt idx="1490">
                  <c:v>16.236999999999995</c:v>
                </c:pt>
                <c:pt idx="1491">
                  <c:v>16.300400000000007</c:v>
                </c:pt>
                <c:pt idx="1492">
                  <c:v>14.640199999999993</c:v>
                </c:pt>
                <c:pt idx="1493">
                  <c:v>13.546999999999997</c:v>
                </c:pt>
                <c:pt idx="1494">
                  <c:v>14.569199999999995</c:v>
                </c:pt>
                <c:pt idx="1495">
                  <c:v>14.551400000000001</c:v>
                </c:pt>
                <c:pt idx="1496">
                  <c:v>15.436200000000005</c:v>
                </c:pt>
                <c:pt idx="1497">
                  <c:v>14.077599999999999</c:v>
                </c:pt>
                <c:pt idx="1498">
                  <c:v>12.746600000000006</c:v>
                </c:pt>
                <c:pt idx="1499">
                  <c:v>13.661600000000002</c:v>
                </c:pt>
                <c:pt idx="1500">
                  <c:v>13.485800000000003</c:v>
                </c:pt>
                <c:pt idx="1501">
                  <c:v>13.6852</c:v>
                </c:pt>
                <c:pt idx="1502">
                  <c:v>14.34020000000001</c:v>
                </c:pt>
                <c:pt idx="1503">
                  <c:v>13.774799999999999</c:v>
                </c:pt>
                <c:pt idx="1504">
                  <c:v>14.282599999999993</c:v>
                </c:pt>
                <c:pt idx="1505">
                  <c:v>15.149199999999999</c:v>
                </c:pt>
                <c:pt idx="1506">
                  <c:v>14.971800000000002</c:v>
                </c:pt>
                <c:pt idx="1507">
                  <c:v>13.690200000000004</c:v>
                </c:pt>
                <c:pt idx="1508">
                  <c:v>13.736400000000003</c:v>
                </c:pt>
                <c:pt idx="1509">
                  <c:v>13.145000000000001</c:v>
                </c:pt>
                <c:pt idx="1510">
                  <c:v>13.962599999999995</c:v>
                </c:pt>
                <c:pt idx="1511">
                  <c:v>13.7958</c:v>
                </c:pt>
                <c:pt idx="1512">
                  <c:v>12.570000000000002</c:v>
                </c:pt>
                <c:pt idx="1513">
                  <c:v>12.446400000000002</c:v>
                </c:pt>
                <c:pt idx="1514">
                  <c:v>11.283800000000005</c:v>
                </c:pt>
                <c:pt idx="1515">
                  <c:v>12.819199999999995</c:v>
                </c:pt>
                <c:pt idx="1516">
                  <c:v>13.134799999999993</c:v>
                </c:pt>
                <c:pt idx="1517">
                  <c:v>12.762599999999997</c:v>
                </c:pt>
                <c:pt idx="1518">
                  <c:v>12.94320000000001</c:v>
                </c:pt>
                <c:pt idx="1519">
                  <c:v>12.431400000000002</c:v>
                </c:pt>
                <c:pt idx="1520">
                  <c:v>12.206200000000004</c:v>
                </c:pt>
                <c:pt idx="1521">
                  <c:v>12.093999999999999</c:v>
                </c:pt>
                <c:pt idx="1522">
                  <c:v>12.214200000000005</c:v>
                </c:pt>
                <c:pt idx="1523">
                  <c:v>13.186200000000005</c:v>
                </c:pt>
                <c:pt idx="1524">
                  <c:v>13.214999999999998</c:v>
                </c:pt>
                <c:pt idx="1525">
                  <c:v>12.294999999999993</c:v>
                </c:pt>
                <c:pt idx="1526">
                  <c:v>11.203999999999999</c:v>
                </c:pt>
                <c:pt idx="1527">
                  <c:v>12.202199999999996</c:v>
                </c:pt>
                <c:pt idx="1528">
                  <c:v>11.7316</c:v>
                </c:pt>
                <c:pt idx="1529">
                  <c:v>11.730399999999998</c:v>
                </c:pt>
                <c:pt idx="1530">
                  <c:v>10.877799999999993</c:v>
                </c:pt>
                <c:pt idx="1531">
                  <c:v>12.588600000000005</c:v>
                </c:pt>
                <c:pt idx="1532">
                  <c:v>13.865</c:v>
                </c:pt>
                <c:pt idx="1533">
                  <c:v>14.739799999999997</c:v>
                </c:pt>
                <c:pt idx="1534">
                  <c:v>12.523199999999994</c:v>
                </c:pt>
                <c:pt idx="1535">
                  <c:v>12.849200000000002</c:v>
                </c:pt>
                <c:pt idx="1536">
                  <c:v>16.742000000000001</c:v>
                </c:pt>
                <c:pt idx="1537">
                  <c:v>16.615799999999997</c:v>
                </c:pt>
                <c:pt idx="1538">
                  <c:v>16.671200000000002</c:v>
                </c:pt>
                <c:pt idx="1539">
                  <c:v>16.827600000000004</c:v>
                </c:pt>
                <c:pt idx="1540">
                  <c:v>18.609800000000007</c:v>
                </c:pt>
                <c:pt idx="1541">
                  <c:v>18.858800000000002</c:v>
                </c:pt>
                <c:pt idx="1542">
                  <c:v>18.417999999999996</c:v>
                </c:pt>
                <c:pt idx="1543">
                  <c:v>18.541399999999999</c:v>
                </c:pt>
                <c:pt idx="1544">
                  <c:v>17.491000000000003</c:v>
                </c:pt>
                <c:pt idx="1545">
                  <c:v>17.530600000000003</c:v>
                </c:pt>
                <c:pt idx="1546">
                  <c:v>17.479200000000002</c:v>
                </c:pt>
                <c:pt idx="1547">
                  <c:v>17.636999999999997</c:v>
                </c:pt>
                <c:pt idx="1548">
                  <c:v>18.210599999999999</c:v>
                </c:pt>
                <c:pt idx="1549">
                  <c:v>19.1584</c:v>
                </c:pt>
                <c:pt idx="1550">
                  <c:v>20.141799999999989</c:v>
                </c:pt>
                <c:pt idx="1551">
                  <c:v>19.477399999999999</c:v>
                </c:pt>
                <c:pt idx="1552">
                  <c:v>18.992399999999993</c:v>
                </c:pt>
                <c:pt idx="1553">
                  <c:v>19.4038</c:v>
                </c:pt>
                <c:pt idx="1554">
                  <c:v>19.577399999999994</c:v>
                </c:pt>
                <c:pt idx="1555">
                  <c:v>19.416000000000007</c:v>
                </c:pt>
                <c:pt idx="1556">
                  <c:v>17.152600000000007</c:v>
                </c:pt>
                <c:pt idx="1557">
                  <c:v>17.1126</c:v>
                </c:pt>
                <c:pt idx="1558">
                  <c:v>17.725200000000001</c:v>
                </c:pt>
                <c:pt idx="1559">
                  <c:v>18.954399999999996</c:v>
                </c:pt>
                <c:pt idx="1560">
                  <c:v>18.756600000000002</c:v>
                </c:pt>
                <c:pt idx="1561">
                  <c:v>19.328800000000001</c:v>
                </c:pt>
                <c:pt idx="1562">
                  <c:v>19.180400000000006</c:v>
                </c:pt>
                <c:pt idx="1563">
                  <c:v>19.524599999999992</c:v>
                </c:pt>
                <c:pt idx="1564">
                  <c:v>19.140199999999993</c:v>
                </c:pt>
                <c:pt idx="1565">
                  <c:v>18.764600000000002</c:v>
                </c:pt>
                <c:pt idx="1566">
                  <c:v>18.298599999999993</c:v>
                </c:pt>
                <c:pt idx="1567">
                  <c:v>18.1006</c:v>
                </c:pt>
                <c:pt idx="1568">
                  <c:v>17.732800000000001</c:v>
                </c:pt>
                <c:pt idx="1569">
                  <c:v>17.265800000000002</c:v>
                </c:pt>
                <c:pt idx="1570">
                  <c:v>17.173399999999997</c:v>
                </c:pt>
                <c:pt idx="1571">
                  <c:v>18.069199999999995</c:v>
                </c:pt>
                <c:pt idx="1572">
                  <c:v>18.8614</c:v>
                </c:pt>
                <c:pt idx="1573">
                  <c:v>18.652999999999995</c:v>
                </c:pt>
                <c:pt idx="1574">
                  <c:v>19.162400000000002</c:v>
                </c:pt>
                <c:pt idx="1575">
                  <c:v>18.653800000000007</c:v>
                </c:pt>
                <c:pt idx="1576">
                  <c:v>18.283199999999997</c:v>
                </c:pt>
                <c:pt idx="1577">
                  <c:v>16.334600000000005</c:v>
                </c:pt>
                <c:pt idx="1578">
                  <c:v>17.272199999999998</c:v>
                </c:pt>
                <c:pt idx="1579">
                  <c:v>17.306599999999992</c:v>
                </c:pt>
                <c:pt idx="1580">
                  <c:v>18.022400000000005</c:v>
                </c:pt>
                <c:pt idx="1581">
                  <c:v>18.068799999999992</c:v>
                </c:pt>
                <c:pt idx="1582">
                  <c:v>18.426600000000004</c:v>
                </c:pt>
                <c:pt idx="1583">
                  <c:v>18.925000000000001</c:v>
                </c:pt>
                <c:pt idx="1584">
                  <c:v>18.6892</c:v>
                </c:pt>
                <c:pt idx="1585">
                  <c:v>18.7774</c:v>
                </c:pt>
                <c:pt idx="1586">
                  <c:v>18.4072</c:v>
                </c:pt>
                <c:pt idx="1587">
                  <c:v>17.955399999999987</c:v>
                </c:pt>
                <c:pt idx="1588">
                  <c:v>17.297600000000006</c:v>
                </c:pt>
                <c:pt idx="1589">
                  <c:v>16.439599999999995</c:v>
                </c:pt>
                <c:pt idx="1590">
                  <c:v>16.040999999999997</c:v>
                </c:pt>
                <c:pt idx="1591">
                  <c:v>15.955800000000002</c:v>
                </c:pt>
                <c:pt idx="1592">
                  <c:v>14.963800000000001</c:v>
                </c:pt>
                <c:pt idx="1593">
                  <c:v>15.664599999999998</c:v>
                </c:pt>
                <c:pt idx="1594">
                  <c:v>17.605800000000006</c:v>
                </c:pt>
                <c:pt idx="1595">
                  <c:v>17.148399999999992</c:v>
                </c:pt>
                <c:pt idx="1596">
                  <c:v>17.903000000000002</c:v>
                </c:pt>
                <c:pt idx="1597">
                  <c:v>17.4178</c:v>
                </c:pt>
                <c:pt idx="1598">
                  <c:v>18.133999999999997</c:v>
                </c:pt>
                <c:pt idx="1599">
                  <c:v>18.284199999999998</c:v>
                </c:pt>
                <c:pt idx="1600">
                  <c:v>18.021800000000002</c:v>
                </c:pt>
                <c:pt idx="1601">
                  <c:v>18.433000000000003</c:v>
                </c:pt>
                <c:pt idx="1602">
                  <c:v>18.834399999999999</c:v>
                </c:pt>
                <c:pt idx="1603">
                  <c:v>18.683600000000002</c:v>
                </c:pt>
                <c:pt idx="1604">
                  <c:v>17.837400000000002</c:v>
                </c:pt>
                <c:pt idx="1605">
                  <c:v>17.154399999999999</c:v>
                </c:pt>
                <c:pt idx="1606">
                  <c:v>17.549399999999991</c:v>
                </c:pt>
                <c:pt idx="1607">
                  <c:v>17.034599999999994</c:v>
                </c:pt>
                <c:pt idx="1608">
                  <c:v>17.203000000000003</c:v>
                </c:pt>
                <c:pt idx="1609">
                  <c:v>17.721999999999998</c:v>
                </c:pt>
                <c:pt idx="1610">
                  <c:v>17.223400000000009</c:v>
                </c:pt>
                <c:pt idx="1611">
                  <c:v>15.836999999999998</c:v>
                </c:pt>
                <c:pt idx="1612">
                  <c:v>15.659799999999999</c:v>
                </c:pt>
                <c:pt idx="1613">
                  <c:v>16.111400000000003</c:v>
                </c:pt>
                <c:pt idx="1614">
                  <c:v>16.477599999999995</c:v>
                </c:pt>
                <c:pt idx="1615">
                  <c:v>15.822800000000001</c:v>
                </c:pt>
                <c:pt idx="1616">
                  <c:v>15.336599999999985</c:v>
                </c:pt>
                <c:pt idx="1617">
                  <c:v>15.134399999999999</c:v>
                </c:pt>
                <c:pt idx="1618">
                  <c:v>15.104800000000003</c:v>
                </c:pt>
                <c:pt idx="1619">
                  <c:v>15.108599999999996</c:v>
                </c:pt>
                <c:pt idx="1620">
                  <c:v>14.3322</c:v>
                </c:pt>
                <c:pt idx="1621">
                  <c:v>16.094800000000003</c:v>
                </c:pt>
                <c:pt idx="1622">
                  <c:v>16.413399999999996</c:v>
                </c:pt>
                <c:pt idx="1623">
                  <c:v>16.738599999999991</c:v>
                </c:pt>
                <c:pt idx="1624">
                  <c:v>16.458600000000001</c:v>
                </c:pt>
                <c:pt idx="1625">
                  <c:v>15.865399999999994</c:v>
                </c:pt>
                <c:pt idx="1626">
                  <c:v>15.472999999999994</c:v>
                </c:pt>
                <c:pt idx="1627">
                  <c:v>15.483199999999991</c:v>
                </c:pt>
                <c:pt idx="1628">
                  <c:v>14.840599999999986</c:v>
                </c:pt>
                <c:pt idx="1629">
                  <c:v>14.5482</c:v>
                </c:pt>
                <c:pt idx="1630">
                  <c:v>14.549000000000007</c:v>
                </c:pt>
                <c:pt idx="1631">
                  <c:v>13.641999999999996</c:v>
                </c:pt>
                <c:pt idx="1632">
                  <c:v>13.286600000000002</c:v>
                </c:pt>
                <c:pt idx="1633">
                  <c:v>12.775199999999993</c:v>
                </c:pt>
                <c:pt idx="1634">
                  <c:v>12.7446</c:v>
                </c:pt>
                <c:pt idx="1635">
                  <c:v>13.806199999999999</c:v>
                </c:pt>
                <c:pt idx="1636">
                  <c:v>13.727600000000004</c:v>
                </c:pt>
                <c:pt idx="1637">
                  <c:v>13.1778</c:v>
                </c:pt>
                <c:pt idx="1638">
                  <c:v>13.601599999999999</c:v>
                </c:pt>
                <c:pt idx="1639">
                  <c:v>13.429599999999994</c:v>
                </c:pt>
                <c:pt idx="1640">
                  <c:v>12.190800000000005</c:v>
                </c:pt>
                <c:pt idx="1641">
                  <c:v>13.072799999999992</c:v>
                </c:pt>
                <c:pt idx="1642">
                  <c:v>12.733599999999996</c:v>
                </c:pt>
                <c:pt idx="1643">
                  <c:v>12.935599999999994</c:v>
                </c:pt>
                <c:pt idx="1644">
                  <c:v>13.287000000000006</c:v>
                </c:pt>
                <c:pt idx="1645">
                  <c:v>13.110799999999992</c:v>
                </c:pt>
                <c:pt idx="1646">
                  <c:v>13.641399999999996</c:v>
                </c:pt>
                <c:pt idx="1647">
                  <c:v>13.482199999999992</c:v>
                </c:pt>
                <c:pt idx="1648">
                  <c:v>13.479599999999991</c:v>
                </c:pt>
                <c:pt idx="1649">
                  <c:v>13.648199999999994</c:v>
                </c:pt>
                <c:pt idx="1650">
                  <c:v>14.051400000000001</c:v>
                </c:pt>
                <c:pt idx="1651">
                  <c:v>14.840800000000002</c:v>
                </c:pt>
                <c:pt idx="1652">
                  <c:v>14.992200000000011</c:v>
                </c:pt>
                <c:pt idx="1653">
                  <c:v>14.936600000000007</c:v>
                </c:pt>
                <c:pt idx="1654">
                  <c:v>15.174400000000006</c:v>
                </c:pt>
                <c:pt idx="1655">
                  <c:v>13.926400000000001</c:v>
                </c:pt>
                <c:pt idx="1656">
                  <c:v>13.553400000000002</c:v>
                </c:pt>
                <c:pt idx="1657">
                  <c:v>13.186799999999996</c:v>
                </c:pt>
                <c:pt idx="1658">
                  <c:v>14.026199999999998</c:v>
                </c:pt>
                <c:pt idx="1659">
                  <c:v>13.615600000000001</c:v>
                </c:pt>
                <c:pt idx="1660">
                  <c:v>13.778199999999998</c:v>
                </c:pt>
                <c:pt idx="1661">
                  <c:v>13.710999999999993</c:v>
                </c:pt>
                <c:pt idx="1662">
                  <c:v>12.942400000000001</c:v>
                </c:pt>
                <c:pt idx="1663">
                  <c:v>12.273199999999994</c:v>
                </c:pt>
                <c:pt idx="1664">
                  <c:v>12.708400000000003</c:v>
                </c:pt>
                <c:pt idx="1665">
                  <c:v>12.985999999999999</c:v>
                </c:pt>
                <c:pt idx="1666">
                  <c:v>12.904999999999992</c:v>
                </c:pt>
                <c:pt idx="1667">
                  <c:v>13.985800000000003</c:v>
                </c:pt>
                <c:pt idx="1668">
                  <c:v>13.858399999999998</c:v>
                </c:pt>
                <c:pt idx="1669">
                  <c:v>13.510599999999991</c:v>
                </c:pt>
                <c:pt idx="1670">
                  <c:v>13.112199999999993</c:v>
                </c:pt>
                <c:pt idx="1671">
                  <c:v>12.921799999999999</c:v>
                </c:pt>
                <c:pt idx="1672">
                  <c:v>12.59499999999999</c:v>
                </c:pt>
                <c:pt idx="1673">
                  <c:v>11.813800000000006</c:v>
                </c:pt>
                <c:pt idx="1674">
                  <c:v>11.739200000000002</c:v>
                </c:pt>
                <c:pt idx="1675">
                  <c:v>11.748199999999997</c:v>
                </c:pt>
                <c:pt idx="1676">
                  <c:v>12.170200000000003</c:v>
                </c:pt>
                <c:pt idx="1677">
                  <c:v>12.792800000000009</c:v>
                </c:pt>
                <c:pt idx="1678">
                  <c:v>12.256399999999994</c:v>
                </c:pt>
                <c:pt idx="1679">
                  <c:v>12.808199999999999</c:v>
                </c:pt>
                <c:pt idx="1680">
                  <c:v>12.803800000000004</c:v>
                </c:pt>
                <c:pt idx="1681">
                  <c:v>13.023400000000001</c:v>
                </c:pt>
                <c:pt idx="1682">
                  <c:v>14.514800000000008</c:v>
                </c:pt>
                <c:pt idx="1683">
                  <c:v>14.800600000000003</c:v>
                </c:pt>
                <c:pt idx="1684">
                  <c:v>13.738800000000007</c:v>
                </c:pt>
                <c:pt idx="1685">
                  <c:v>12.896400000000009</c:v>
                </c:pt>
                <c:pt idx="1686">
                  <c:v>13.069400000000002</c:v>
                </c:pt>
                <c:pt idx="1687">
                  <c:v>12.814599999999993</c:v>
                </c:pt>
                <c:pt idx="1688">
                  <c:v>13.324599999999995</c:v>
                </c:pt>
                <c:pt idx="1689">
                  <c:v>13.280199999999999</c:v>
                </c:pt>
                <c:pt idx="1690">
                  <c:v>13.308199999999999</c:v>
                </c:pt>
                <c:pt idx="1691">
                  <c:v>14.16640000000001</c:v>
                </c:pt>
                <c:pt idx="1692">
                  <c:v>13.8162</c:v>
                </c:pt>
                <c:pt idx="1693">
                  <c:v>14.263000000000005</c:v>
                </c:pt>
                <c:pt idx="1694">
                  <c:v>14.108799999999993</c:v>
                </c:pt>
                <c:pt idx="1695">
                  <c:v>15.060400000000007</c:v>
                </c:pt>
                <c:pt idx="1696">
                  <c:v>14.120599999999996</c:v>
                </c:pt>
                <c:pt idx="1697">
                  <c:v>13.839599999999999</c:v>
                </c:pt>
                <c:pt idx="1698">
                  <c:v>13.790600000000003</c:v>
                </c:pt>
                <c:pt idx="1699">
                  <c:v>13.114399999999998</c:v>
                </c:pt>
                <c:pt idx="1700">
                  <c:v>12.953400000000007</c:v>
                </c:pt>
                <c:pt idx="1701">
                  <c:v>12.688400000000001</c:v>
                </c:pt>
                <c:pt idx="1702">
                  <c:v>13.164799999999994</c:v>
                </c:pt>
                <c:pt idx="1703">
                  <c:v>13.412999999999991</c:v>
                </c:pt>
                <c:pt idx="1704">
                  <c:v>13.349799999999997</c:v>
                </c:pt>
                <c:pt idx="1705">
                  <c:v>13.400600000000006</c:v>
                </c:pt>
                <c:pt idx="1706">
                  <c:v>12.780200000000008</c:v>
                </c:pt>
                <c:pt idx="1707">
                  <c:v>12.914599999999998</c:v>
                </c:pt>
                <c:pt idx="1708">
                  <c:v>13.787999999999991</c:v>
                </c:pt>
                <c:pt idx="1709">
                  <c:v>13.556600000000003</c:v>
                </c:pt>
                <c:pt idx="1710">
                  <c:v>13.774999999999997</c:v>
                </c:pt>
                <c:pt idx="1711">
                  <c:v>13.957200000000009</c:v>
                </c:pt>
                <c:pt idx="1712">
                  <c:v>13.870800000000003</c:v>
                </c:pt>
                <c:pt idx="1713">
                  <c:v>13.8436</c:v>
                </c:pt>
                <c:pt idx="1714">
                  <c:v>13.940600000000009</c:v>
                </c:pt>
                <c:pt idx="1715">
                  <c:v>16.121400000000005</c:v>
                </c:pt>
                <c:pt idx="1716">
                  <c:v>15.732199999999997</c:v>
                </c:pt>
                <c:pt idx="1717">
                  <c:v>15.640800000000004</c:v>
                </c:pt>
                <c:pt idx="1718">
                  <c:v>14.554999999999998</c:v>
                </c:pt>
                <c:pt idx="1719">
                  <c:v>13.666399999999991</c:v>
                </c:pt>
                <c:pt idx="1720">
                  <c:v>13.532999999999996</c:v>
                </c:pt>
                <c:pt idx="1721">
                  <c:v>12.907000000000002</c:v>
                </c:pt>
                <c:pt idx="1722">
                  <c:v>12.907999999999996</c:v>
                </c:pt>
                <c:pt idx="1723">
                  <c:v>12.755200000000002</c:v>
                </c:pt>
                <c:pt idx="1724">
                  <c:v>11.855399999999994</c:v>
                </c:pt>
                <c:pt idx="1725">
                  <c:v>11.784599999999992</c:v>
                </c:pt>
                <c:pt idx="1726">
                  <c:v>11.558399999999997</c:v>
                </c:pt>
                <c:pt idx="1727">
                  <c:v>11.9352</c:v>
                </c:pt>
                <c:pt idx="1728">
                  <c:v>11.803000000000006</c:v>
                </c:pt>
                <c:pt idx="1729">
                  <c:v>12.493399999999999</c:v>
                </c:pt>
                <c:pt idx="1730">
                  <c:v>13.122000000000005</c:v>
                </c:pt>
                <c:pt idx="1731">
                  <c:v>13.418799999999996</c:v>
                </c:pt>
                <c:pt idx="1732">
                  <c:v>13.277600000000007</c:v>
                </c:pt>
                <c:pt idx="1733">
                  <c:v>13.9278</c:v>
                </c:pt>
                <c:pt idx="1734">
                  <c:v>14.020799999999999</c:v>
                </c:pt>
                <c:pt idx="1735">
                  <c:v>14.138200000000003</c:v>
                </c:pt>
                <c:pt idx="1736">
                  <c:v>15.326600000000004</c:v>
                </c:pt>
                <c:pt idx="1737">
                  <c:v>15.188199999999995</c:v>
                </c:pt>
                <c:pt idx="1738">
                  <c:v>15.019399999999999</c:v>
                </c:pt>
                <c:pt idx="1739">
                  <c:v>15.005800000000002</c:v>
                </c:pt>
                <c:pt idx="1740">
                  <c:v>15.117200000000006</c:v>
                </c:pt>
                <c:pt idx="1741">
                  <c:v>14.054199999999989</c:v>
                </c:pt>
                <c:pt idx="1742">
                  <c:v>13.628000000000005</c:v>
                </c:pt>
                <c:pt idx="1743">
                  <c:v>13.777799999999994</c:v>
                </c:pt>
                <c:pt idx="1744">
                  <c:v>13.885400000000004</c:v>
                </c:pt>
                <c:pt idx="1745">
                  <c:v>14.895799999999989</c:v>
                </c:pt>
                <c:pt idx="1746">
                  <c:v>15.266800000000009</c:v>
                </c:pt>
                <c:pt idx="1747">
                  <c:v>14.060999999999998</c:v>
                </c:pt>
                <c:pt idx="1748">
                  <c:v>14.629999999999995</c:v>
                </c:pt>
                <c:pt idx="1749">
                  <c:v>15.454000000000008</c:v>
                </c:pt>
                <c:pt idx="1750">
                  <c:v>16.125400000000003</c:v>
                </c:pt>
                <c:pt idx="1751">
                  <c:v>15.899199999999988</c:v>
                </c:pt>
                <c:pt idx="1752">
                  <c:v>16.427000000000003</c:v>
                </c:pt>
                <c:pt idx="1753">
                  <c:v>16.667000000000002</c:v>
                </c:pt>
                <c:pt idx="1754">
                  <c:v>16.899000000000001</c:v>
                </c:pt>
                <c:pt idx="1755">
                  <c:v>17.34439999999999</c:v>
                </c:pt>
                <c:pt idx="1756">
                  <c:v>17.260000000000002</c:v>
                </c:pt>
                <c:pt idx="1757">
                  <c:v>16.554199999999998</c:v>
                </c:pt>
                <c:pt idx="1758">
                  <c:v>16.527200000000004</c:v>
                </c:pt>
                <c:pt idx="1759">
                  <c:v>15.814399999999997</c:v>
                </c:pt>
                <c:pt idx="1760">
                  <c:v>15.606800000000002</c:v>
                </c:pt>
                <c:pt idx="1761">
                  <c:v>14.945999999999998</c:v>
                </c:pt>
                <c:pt idx="1762">
                  <c:v>15.047199999999995</c:v>
                </c:pt>
                <c:pt idx="1763">
                  <c:v>15.484799999999998</c:v>
                </c:pt>
                <c:pt idx="1764">
                  <c:v>15.55079999999999</c:v>
                </c:pt>
                <c:pt idx="1765">
                  <c:v>15.877200000000007</c:v>
                </c:pt>
                <c:pt idx="1766">
                  <c:v>15.411600000000002</c:v>
                </c:pt>
                <c:pt idx="1767">
                  <c:v>14.805999999999992</c:v>
                </c:pt>
                <c:pt idx="1768">
                  <c:v>14.532600000000011</c:v>
                </c:pt>
                <c:pt idx="1769">
                  <c:v>14.691200000000009</c:v>
                </c:pt>
                <c:pt idx="1770">
                  <c:v>14.881199999999998</c:v>
                </c:pt>
                <c:pt idx="1771">
                  <c:v>14.893600000000001</c:v>
                </c:pt>
                <c:pt idx="1772">
                  <c:v>13.526000000000002</c:v>
                </c:pt>
                <c:pt idx="1773">
                  <c:v>13.368200000000002</c:v>
                </c:pt>
                <c:pt idx="1774">
                  <c:v>13.160600000000008</c:v>
                </c:pt>
                <c:pt idx="1775">
                  <c:v>13.035599999999997</c:v>
                </c:pt>
                <c:pt idx="1776">
                  <c:v>13.423999999999998</c:v>
                </c:pt>
                <c:pt idx="1777">
                  <c:v>13.770799999999989</c:v>
                </c:pt>
                <c:pt idx="1778">
                  <c:v>12.506399999999994</c:v>
                </c:pt>
                <c:pt idx="1779">
                  <c:v>12.985000000000005</c:v>
                </c:pt>
                <c:pt idx="1780">
                  <c:v>12.171199999999999</c:v>
                </c:pt>
                <c:pt idx="1781">
                  <c:v>12.189400000000006</c:v>
                </c:pt>
                <c:pt idx="1782">
                  <c:v>14.039599999999988</c:v>
                </c:pt>
                <c:pt idx="1783">
                  <c:v>13.946600000000009</c:v>
                </c:pt>
                <c:pt idx="1784">
                  <c:v>13.971399999999997</c:v>
                </c:pt>
                <c:pt idx="1785">
                  <c:v>13.100999999999999</c:v>
                </c:pt>
                <c:pt idx="1786">
                  <c:v>13.042399999999986</c:v>
                </c:pt>
                <c:pt idx="1787">
                  <c:v>19.173400000000015</c:v>
                </c:pt>
                <c:pt idx="1788">
                  <c:v>18.116200000000003</c:v>
                </c:pt>
                <c:pt idx="1789">
                  <c:v>18.0596</c:v>
                </c:pt>
                <c:pt idx="1790">
                  <c:v>17.078400000000006</c:v>
                </c:pt>
                <c:pt idx="1791">
                  <c:v>17.931799999999999</c:v>
                </c:pt>
                <c:pt idx="1792">
                  <c:v>17.802600000000002</c:v>
                </c:pt>
                <c:pt idx="1793">
                  <c:v>17.706799999999998</c:v>
                </c:pt>
                <c:pt idx="1794">
                  <c:v>17.793800000000005</c:v>
                </c:pt>
                <c:pt idx="1795">
                  <c:v>17.371799999999997</c:v>
                </c:pt>
                <c:pt idx="1796">
                  <c:v>15.891399999999996</c:v>
                </c:pt>
                <c:pt idx="1797">
                  <c:v>15.509800000000004</c:v>
                </c:pt>
                <c:pt idx="1798">
                  <c:v>15.267199999999994</c:v>
                </c:pt>
                <c:pt idx="1799">
                  <c:v>16.087399999999985</c:v>
                </c:pt>
                <c:pt idx="1800">
                  <c:v>16.488999999999994</c:v>
                </c:pt>
                <c:pt idx="1801">
                  <c:v>17.786599999999993</c:v>
                </c:pt>
                <c:pt idx="1802">
                  <c:v>17.613400000000002</c:v>
                </c:pt>
                <c:pt idx="1803">
                  <c:v>17.363199999999996</c:v>
                </c:pt>
                <c:pt idx="1804">
                  <c:v>16.867999999999995</c:v>
                </c:pt>
                <c:pt idx="1805">
                  <c:v>17.504599999999993</c:v>
                </c:pt>
                <c:pt idx="1806">
                  <c:v>16.648800000000005</c:v>
                </c:pt>
                <c:pt idx="1807">
                  <c:v>16.947800000000001</c:v>
                </c:pt>
                <c:pt idx="1808">
                  <c:v>16.578199999999999</c:v>
                </c:pt>
                <c:pt idx="1809">
                  <c:v>17.781800000000004</c:v>
                </c:pt>
                <c:pt idx="1810">
                  <c:v>18.180200000000003</c:v>
                </c:pt>
                <c:pt idx="1811">
                  <c:v>18.168800000000005</c:v>
                </c:pt>
                <c:pt idx="1812">
                  <c:v>18.09439999999999</c:v>
                </c:pt>
                <c:pt idx="1813">
                  <c:v>18.315800000000007</c:v>
                </c:pt>
                <c:pt idx="1814">
                  <c:v>18.925400000000007</c:v>
                </c:pt>
                <c:pt idx="1815">
                  <c:v>18.73060000000001</c:v>
                </c:pt>
                <c:pt idx="1816">
                  <c:v>18.989199999999993</c:v>
                </c:pt>
                <c:pt idx="1817">
                  <c:v>18.640599999999996</c:v>
                </c:pt>
                <c:pt idx="1818">
                  <c:v>19.128399999999999</c:v>
                </c:pt>
                <c:pt idx="1819">
                  <c:v>19.071200000000005</c:v>
                </c:pt>
                <c:pt idx="1820">
                  <c:v>19.469800000000003</c:v>
                </c:pt>
                <c:pt idx="1821">
                  <c:v>19.327400000000011</c:v>
                </c:pt>
                <c:pt idx="1822">
                  <c:v>19.3094</c:v>
                </c:pt>
                <c:pt idx="1823">
                  <c:v>19.4512</c:v>
                </c:pt>
                <c:pt idx="1824">
                  <c:v>19.208999999999993</c:v>
                </c:pt>
                <c:pt idx="1825">
                  <c:v>18.924000000000017</c:v>
                </c:pt>
                <c:pt idx="1826">
                  <c:v>18.866800000000012</c:v>
                </c:pt>
                <c:pt idx="1827">
                  <c:v>18.490200000000005</c:v>
                </c:pt>
                <c:pt idx="1828">
                  <c:v>18.359400000000011</c:v>
                </c:pt>
                <c:pt idx="1829">
                  <c:v>18.047399999999993</c:v>
                </c:pt>
                <c:pt idx="1830">
                  <c:v>17.97399999999999</c:v>
                </c:pt>
                <c:pt idx="1831">
                  <c:v>18.286199999999997</c:v>
                </c:pt>
                <c:pt idx="1832">
                  <c:v>18.28</c:v>
                </c:pt>
                <c:pt idx="1833">
                  <c:v>17.961599999999994</c:v>
                </c:pt>
                <c:pt idx="1834">
                  <c:v>17.667999999999996</c:v>
                </c:pt>
                <c:pt idx="1835">
                  <c:v>16.606999999999999</c:v>
                </c:pt>
                <c:pt idx="1836">
                  <c:v>15.712800000000007</c:v>
                </c:pt>
                <c:pt idx="1837">
                  <c:v>15.117600000000001</c:v>
                </c:pt>
                <c:pt idx="1838">
                  <c:v>14.750799999999998</c:v>
                </c:pt>
                <c:pt idx="1839">
                  <c:v>15.272800000000009</c:v>
                </c:pt>
                <c:pt idx="1840">
                  <c:v>15.756799999999998</c:v>
                </c:pt>
                <c:pt idx="1841">
                  <c:v>15.725800000000001</c:v>
                </c:pt>
                <c:pt idx="1842">
                  <c:v>16.021200000000004</c:v>
                </c:pt>
                <c:pt idx="1843">
                  <c:v>16.446800000000007</c:v>
                </c:pt>
                <c:pt idx="1844">
                  <c:v>16.0154</c:v>
                </c:pt>
                <c:pt idx="1845">
                  <c:v>16.4344</c:v>
                </c:pt>
                <c:pt idx="1846">
                  <c:v>16.770200000000006</c:v>
                </c:pt>
                <c:pt idx="1847">
                  <c:v>17.197000000000003</c:v>
                </c:pt>
                <c:pt idx="1848">
                  <c:v>16.955599999999993</c:v>
                </c:pt>
                <c:pt idx="1849">
                  <c:v>17.411599999999993</c:v>
                </c:pt>
                <c:pt idx="1850">
                  <c:v>17.213000000000005</c:v>
                </c:pt>
                <c:pt idx="1851">
                  <c:v>16.888999999999999</c:v>
                </c:pt>
                <c:pt idx="1852">
                  <c:v>17.706</c:v>
                </c:pt>
                <c:pt idx="1853">
                  <c:v>17.817199999999996</c:v>
                </c:pt>
                <c:pt idx="1854">
                  <c:v>17.470199999999995</c:v>
                </c:pt>
                <c:pt idx="1855">
                  <c:v>17.324000000000012</c:v>
                </c:pt>
                <c:pt idx="1856">
                  <c:v>17.72600000000001</c:v>
                </c:pt>
                <c:pt idx="1857">
                  <c:v>17.668800000000005</c:v>
                </c:pt>
                <c:pt idx="1858">
                  <c:v>17.569400000000002</c:v>
                </c:pt>
                <c:pt idx="1859">
                  <c:v>17.632599999999996</c:v>
                </c:pt>
                <c:pt idx="1860">
                  <c:v>17.503000000000004</c:v>
                </c:pt>
                <c:pt idx="1861">
                  <c:v>17.285999999999991</c:v>
                </c:pt>
                <c:pt idx="1862">
                  <c:v>16.097000000000008</c:v>
                </c:pt>
                <c:pt idx="1863">
                  <c:v>15.862800000000002</c:v>
                </c:pt>
                <c:pt idx="1864">
                  <c:v>15.863200000000006</c:v>
                </c:pt>
                <c:pt idx="1865">
                  <c:v>16.04539999999999</c:v>
                </c:pt>
                <c:pt idx="1866">
                  <c:v>16.254399999999993</c:v>
                </c:pt>
                <c:pt idx="1867">
                  <c:v>15.539599999999998</c:v>
                </c:pt>
                <c:pt idx="1868">
                  <c:v>15.793799999999996</c:v>
                </c:pt>
                <c:pt idx="1869">
                  <c:v>15.128399999999999</c:v>
                </c:pt>
                <c:pt idx="1870">
                  <c:v>15.488</c:v>
                </c:pt>
                <c:pt idx="1871">
                  <c:v>15.742400000000004</c:v>
                </c:pt>
                <c:pt idx="1872">
                  <c:v>15.774199999999999</c:v>
                </c:pt>
                <c:pt idx="1873">
                  <c:v>15.847199999999996</c:v>
                </c:pt>
                <c:pt idx="1874">
                  <c:v>15.99139999999999</c:v>
                </c:pt>
                <c:pt idx="1875">
                  <c:v>16.428199999999993</c:v>
                </c:pt>
                <c:pt idx="1876">
                  <c:v>16.119</c:v>
                </c:pt>
                <c:pt idx="1877">
                  <c:v>16.016399999999994</c:v>
                </c:pt>
                <c:pt idx="1878">
                  <c:v>16.277800000000003</c:v>
                </c:pt>
                <c:pt idx="1879">
                  <c:v>16.663999999999998</c:v>
                </c:pt>
                <c:pt idx="1880">
                  <c:v>16.733000000000004</c:v>
                </c:pt>
                <c:pt idx="1881">
                  <c:v>17.106999999999999</c:v>
                </c:pt>
                <c:pt idx="1882">
                  <c:v>17.083600000000001</c:v>
                </c:pt>
                <c:pt idx="1883">
                  <c:v>17.636199999999992</c:v>
                </c:pt>
                <c:pt idx="1884">
                  <c:v>18.030199999999997</c:v>
                </c:pt>
                <c:pt idx="1885">
                  <c:v>18</c:v>
                </c:pt>
                <c:pt idx="1886">
                  <c:v>17.97</c:v>
                </c:pt>
                <c:pt idx="1887">
                  <c:v>18.140599999999996</c:v>
                </c:pt>
                <c:pt idx="1888">
                  <c:v>17.724199999999996</c:v>
                </c:pt>
                <c:pt idx="1889">
                  <c:v>17.534599999999994</c:v>
                </c:pt>
                <c:pt idx="1890">
                  <c:v>18.363999999999994</c:v>
                </c:pt>
                <c:pt idx="1891">
                  <c:v>18.560600000000004</c:v>
                </c:pt>
                <c:pt idx="1892">
                  <c:v>17.697999999999997</c:v>
                </c:pt>
                <c:pt idx="1893">
                  <c:v>18.647999999999996</c:v>
                </c:pt>
                <c:pt idx="1894">
                  <c:v>18.765200000000004</c:v>
                </c:pt>
                <c:pt idx="1895">
                  <c:v>18.467600000000004</c:v>
                </c:pt>
                <c:pt idx="1896">
                  <c:v>17.910200000000003</c:v>
                </c:pt>
                <c:pt idx="1897">
                  <c:v>18.147999999999996</c:v>
                </c:pt>
                <c:pt idx="1898">
                  <c:v>18.286199999999997</c:v>
                </c:pt>
                <c:pt idx="1899">
                  <c:v>18.810999999999996</c:v>
                </c:pt>
                <c:pt idx="1900">
                  <c:v>19.344999999999999</c:v>
                </c:pt>
                <c:pt idx="1901">
                  <c:v>20.118400000000008</c:v>
                </c:pt>
                <c:pt idx="1902">
                  <c:v>20.334600000000012</c:v>
                </c:pt>
                <c:pt idx="1903">
                  <c:v>19.687600000000003</c:v>
                </c:pt>
                <c:pt idx="1904">
                  <c:v>19.607799999999997</c:v>
                </c:pt>
                <c:pt idx="1905">
                  <c:v>19.596799999999991</c:v>
                </c:pt>
                <c:pt idx="1906">
                  <c:v>19.204399999999993</c:v>
                </c:pt>
                <c:pt idx="1907">
                  <c:v>19.021200000000004</c:v>
                </c:pt>
                <c:pt idx="1908">
                  <c:v>18.946199999999994</c:v>
                </c:pt>
                <c:pt idx="1909">
                  <c:v>19.126599999999996</c:v>
                </c:pt>
                <c:pt idx="1910">
                  <c:v>19.228399999999993</c:v>
                </c:pt>
                <c:pt idx="1911">
                  <c:v>19.037400000000002</c:v>
                </c:pt>
                <c:pt idx="1912">
                  <c:v>19.070400000000006</c:v>
                </c:pt>
                <c:pt idx="1913">
                  <c:v>19.048000000000012</c:v>
                </c:pt>
                <c:pt idx="1914">
                  <c:v>16.915199999999999</c:v>
                </c:pt>
                <c:pt idx="1915">
                  <c:v>16.952400000000001</c:v>
                </c:pt>
                <c:pt idx="1916">
                  <c:v>16.445799999999991</c:v>
                </c:pt>
                <c:pt idx="1917">
                  <c:v>16.560199999999998</c:v>
                </c:pt>
                <c:pt idx="1918">
                  <c:v>17.171600000000002</c:v>
                </c:pt>
                <c:pt idx="1919">
                  <c:v>18.644400000000008</c:v>
                </c:pt>
                <c:pt idx="1920">
                  <c:v>18.007000000000005</c:v>
                </c:pt>
                <c:pt idx="1921">
                  <c:v>20.258999999999986</c:v>
                </c:pt>
                <c:pt idx="1922">
                  <c:v>21.569200000000006</c:v>
                </c:pt>
                <c:pt idx="1923">
                  <c:v>23.0656</c:v>
                </c:pt>
                <c:pt idx="1924">
                  <c:v>26.974199999999996</c:v>
                </c:pt>
                <c:pt idx="1925">
                  <c:v>26.106399999999997</c:v>
                </c:pt>
                <c:pt idx="1926">
                  <c:v>23.386800000000004</c:v>
                </c:pt>
                <c:pt idx="1927">
                  <c:v>22.325400000000002</c:v>
                </c:pt>
                <c:pt idx="1928">
                  <c:v>22.423399999999997</c:v>
                </c:pt>
                <c:pt idx="1929">
                  <c:v>23.372600000000006</c:v>
                </c:pt>
                <c:pt idx="1930">
                  <c:v>22.093799999999998</c:v>
                </c:pt>
                <c:pt idx="1931">
                  <c:v>22.514799999999997</c:v>
                </c:pt>
                <c:pt idx="1932">
                  <c:v>21.583400000000001</c:v>
                </c:pt>
                <c:pt idx="1933">
                  <c:v>19.7026</c:v>
                </c:pt>
                <c:pt idx="1934">
                  <c:v>21.820799999999991</c:v>
                </c:pt>
                <c:pt idx="1935">
                  <c:v>21.285200000000003</c:v>
                </c:pt>
                <c:pt idx="1936">
                  <c:v>19.782200000000007</c:v>
                </c:pt>
                <c:pt idx="1937">
                  <c:v>19.739799999999992</c:v>
                </c:pt>
                <c:pt idx="1938">
                  <c:v>19.738400000000002</c:v>
                </c:pt>
                <c:pt idx="1939">
                  <c:v>20.191200000000009</c:v>
                </c:pt>
                <c:pt idx="1940">
                  <c:v>20.360200000000003</c:v>
                </c:pt>
                <c:pt idx="1941">
                  <c:v>20.032400000000006</c:v>
                </c:pt>
                <c:pt idx="1942">
                  <c:v>19.022000000000002</c:v>
                </c:pt>
                <c:pt idx="1943">
                  <c:v>19.194599999999998</c:v>
                </c:pt>
                <c:pt idx="1944">
                  <c:v>18.218</c:v>
                </c:pt>
                <c:pt idx="1945">
                  <c:v>17.699399999999986</c:v>
                </c:pt>
                <c:pt idx="1946">
                  <c:v>17.920999999999992</c:v>
                </c:pt>
                <c:pt idx="1947">
                  <c:v>19.108600000000006</c:v>
                </c:pt>
                <c:pt idx="1948">
                  <c:v>19.337400000000002</c:v>
                </c:pt>
                <c:pt idx="1949">
                  <c:v>18.770999999999997</c:v>
                </c:pt>
                <c:pt idx="1950">
                  <c:v>18.375999999999994</c:v>
                </c:pt>
                <c:pt idx="1951">
                  <c:v>18.350599999999996</c:v>
                </c:pt>
                <c:pt idx="1952">
                  <c:v>18.763000000000005</c:v>
                </c:pt>
                <c:pt idx="1953">
                  <c:v>18.446599999999989</c:v>
                </c:pt>
                <c:pt idx="1954">
                  <c:v>19.1296</c:v>
                </c:pt>
                <c:pt idx="1955">
                  <c:v>18.783800000000014</c:v>
                </c:pt>
                <c:pt idx="1956">
                  <c:v>18.371600000000001</c:v>
                </c:pt>
                <c:pt idx="1957">
                  <c:v>18.323800000000006</c:v>
                </c:pt>
                <c:pt idx="1958">
                  <c:v>18.610399999999998</c:v>
                </c:pt>
                <c:pt idx="1959">
                  <c:v>19.453599999999994</c:v>
                </c:pt>
                <c:pt idx="1960">
                  <c:v>19.046400000000006</c:v>
                </c:pt>
                <c:pt idx="1961">
                  <c:v>19.901600000000002</c:v>
                </c:pt>
                <c:pt idx="1962">
                  <c:v>20.486999999999995</c:v>
                </c:pt>
                <c:pt idx="1963">
                  <c:v>20.77879999999999</c:v>
                </c:pt>
                <c:pt idx="1964">
                  <c:v>20.314000000000011</c:v>
                </c:pt>
                <c:pt idx="1965">
                  <c:v>20.086400000000008</c:v>
                </c:pt>
                <c:pt idx="1966">
                  <c:v>20.457000000000004</c:v>
                </c:pt>
                <c:pt idx="1967">
                  <c:v>20.523000000000007</c:v>
                </c:pt>
                <c:pt idx="1968">
                  <c:v>20.966199999999997</c:v>
                </c:pt>
                <c:pt idx="1969">
                  <c:v>20.987599999999997</c:v>
                </c:pt>
                <c:pt idx="1970">
                  <c:v>21.080799999999993</c:v>
                </c:pt>
                <c:pt idx="1971">
                  <c:v>20.534999999999986</c:v>
                </c:pt>
                <c:pt idx="1972">
                  <c:v>21.088799999999992</c:v>
                </c:pt>
                <c:pt idx="1973">
                  <c:v>21.038200000000007</c:v>
                </c:pt>
                <c:pt idx="1974">
                  <c:v>21.095800000000008</c:v>
                </c:pt>
                <c:pt idx="1975">
                  <c:v>20.490600000000001</c:v>
                </c:pt>
                <c:pt idx="1976">
                  <c:v>20.311599999999988</c:v>
                </c:pt>
                <c:pt idx="1977">
                  <c:v>20.078199999999999</c:v>
                </c:pt>
                <c:pt idx="1978">
                  <c:v>19.472999999999995</c:v>
                </c:pt>
                <c:pt idx="1979">
                  <c:v>19.554000000000013</c:v>
                </c:pt>
                <c:pt idx="1980">
                  <c:v>19.785799999999995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DC-4AE5-ABC0-1ECB8BBEA73B}"/>
            </c:ext>
          </c:extLst>
        </c:ser>
        <c:ser>
          <c:idx val="1"/>
          <c:order val="1"/>
          <c:tx>
            <c:v>Forecast</c:v>
          </c:tx>
          <c:spPr>
            <a:ln w="4762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53975">
                <a:solidFill>
                  <a:srgbClr val="FF0000"/>
                </a:solidFill>
              </a:ln>
              <a:effectLst/>
            </c:spPr>
          </c:marker>
          <c:xVal>
            <c:numRef>
              <c:f>'CrackSpread-1'!$A$1983</c:f>
              <c:numCache>
                <c:formatCode>m/d/yyyy</c:formatCode>
                <c:ptCount val="1"/>
                <c:pt idx="0">
                  <c:v>43060</c:v>
                </c:pt>
              </c:numCache>
            </c:numRef>
          </c:xVal>
          <c:yVal>
            <c:numRef>
              <c:f>'CrackSpread-1'!$E$1983</c:f>
              <c:numCache>
                <c:formatCode>0.00</c:formatCode>
                <c:ptCount val="1"/>
                <c:pt idx="0">
                  <c:v>19.783157114191514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DC-4AE5-ABC0-1ECB8BBEA73B}"/>
            </c:ext>
          </c:extLst>
        </c:ser>
        <c:ser>
          <c:idx val="2"/>
          <c:order val="2"/>
          <c:tx>
            <c:strRef>
              <c:f>'CrackSpread-1'!$K$1982</c:f>
              <c:strCache>
                <c:ptCount val="1"/>
                <c:pt idx="0">
                  <c:v>Lower 95% Confidence Interval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34925">
                <a:solidFill>
                  <a:srgbClr val="FF0000"/>
                </a:solidFill>
              </a:ln>
              <a:effectLst/>
            </c:spPr>
          </c:marker>
          <c:xVal>
            <c:numRef>
              <c:f>'CrackSpread-1'!$A$1983</c:f>
              <c:numCache>
                <c:formatCode>m/d/yyyy</c:formatCode>
                <c:ptCount val="1"/>
                <c:pt idx="0">
                  <c:v>43060</c:v>
                </c:pt>
              </c:numCache>
            </c:numRef>
          </c:xVal>
          <c:yVal>
            <c:numRef>
              <c:f>'CrackSpread-1'!$K$1983</c:f>
              <c:numCache>
                <c:formatCode>General</c:formatCode>
                <c:ptCount val="1"/>
                <c:pt idx="0">
                  <c:v>17.852742828120753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DC-4AE5-ABC0-1ECB8BBEA73B}"/>
            </c:ext>
          </c:extLst>
        </c:ser>
        <c:ser>
          <c:idx val="3"/>
          <c:order val="3"/>
          <c:tx>
            <c:strRef>
              <c:f>'CrackSpread-1'!$L$1982</c:f>
              <c:strCache>
                <c:ptCount val="1"/>
                <c:pt idx="0">
                  <c:v>Upper 95% Confidence Interval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'CrackSpread-1'!$A$1983</c:f>
              <c:numCache>
                <c:formatCode>m/d/yyyy</c:formatCode>
                <c:ptCount val="1"/>
                <c:pt idx="0">
                  <c:v>43060</c:v>
                </c:pt>
              </c:numCache>
            </c:numRef>
          </c:xVal>
          <c:yVal>
            <c:numRef>
              <c:f>'CrackSpread-1'!$L$1983</c:f>
              <c:numCache>
                <c:formatCode>General</c:formatCode>
                <c:ptCount val="1"/>
                <c:pt idx="0">
                  <c:v>21.713571400262275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9DC-4AE5-ABC0-1ECB8BBEA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562719"/>
        <c:axId val="623553151"/>
      </c:scatterChart>
      <c:valAx>
        <c:axId val="623562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553151"/>
        <c:crosses val="autoZero"/>
        <c:crossBetween val="midCat"/>
      </c:valAx>
      <c:valAx>
        <c:axId val="623553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562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980431029792706"/>
          <c:y val="0.82983521388450698"/>
          <c:w val="0.84327011738018476"/>
          <c:h val="0.143224405473014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528637</xdr:colOff>
      <xdr:row>1951</xdr:row>
      <xdr:rowOff>166689</xdr:rowOff>
    </xdr:from>
    <xdr:to>
      <xdr:col>18</xdr:col>
      <xdr:colOff>947736</xdr:colOff>
      <xdr:row>1978</xdr:row>
      <xdr:rowOff>128588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000"/>
  <sheetViews>
    <sheetView tabSelected="1" topLeftCell="A1953" zoomScaleNormal="100" workbookViewId="0">
      <selection activeCell="E1982" sqref="E1982"/>
    </sheetView>
  </sheetViews>
  <sheetFormatPr defaultRowHeight="14.25" x14ac:dyDescent="0.45"/>
  <cols>
    <col min="1" max="1" width="13.06640625" customWidth="1"/>
    <col min="5" max="5" width="10.3984375" style="2" bestFit="1" customWidth="1"/>
    <col min="6" max="6" width="11.3984375" style="2" bestFit="1" customWidth="1"/>
    <col min="7" max="7" width="11.86328125" style="2" customWidth="1"/>
    <col min="8" max="8" width="10.19921875" style="2" bestFit="1" customWidth="1"/>
    <col min="9" max="9" width="7.53125" style="2" bestFit="1" customWidth="1"/>
    <col min="10" max="10" width="7.86328125" style="2" bestFit="1" customWidth="1"/>
    <col min="11" max="11" width="18.796875" customWidth="1"/>
    <col min="12" max="12" width="19.59765625" customWidth="1"/>
    <col min="15" max="15" width="16.53125" bestFit="1" customWidth="1"/>
    <col min="18" max="18" width="12.796875" customWidth="1"/>
    <col min="19" max="19" width="14.59765625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spans="1:10" x14ac:dyDescent="0.45">
      <c r="A2" s="1">
        <v>40182</v>
      </c>
      <c r="B2">
        <v>81.510000000000005</v>
      </c>
      <c r="C2">
        <v>2.1905000000000001</v>
      </c>
      <c r="D2">
        <v>2.1044</v>
      </c>
      <c r="E2" s="2">
        <f>(2*D2*42+1*C2*42-3*B2)/3</f>
        <v>8.0801999999999907</v>
      </c>
    </row>
    <row r="3" spans="1:10" x14ac:dyDescent="0.45">
      <c r="A3" s="1">
        <v>40184</v>
      </c>
      <c r="B3">
        <v>83.18</v>
      </c>
      <c r="C3">
        <v>2.2031999999999998</v>
      </c>
      <c r="D3">
        <v>2.1366000000000001</v>
      </c>
      <c r="E3" s="2">
        <f t="shared" ref="E3:E66" si="0">(2*D3*42+1*C3*42-3*B3)/3</f>
        <v>7.4895999999999958</v>
      </c>
      <c r="F3" s="2">
        <f>E2</f>
        <v>8.0801999999999907</v>
      </c>
    </row>
    <row r="4" spans="1:10" x14ac:dyDescent="0.45">
      <c r="A4" s="1">
        <v>40185</v>
      </c>
      <c r="B4">
        <v>82.66</v>
      </c>
      <c r="C4">
        <v>2.1836000000000002</v>
      </c>
      <c r="D4">
        <v>2.1349</v>
      </c>
      <c r="E4" s="2">
        <f t="shared" si="0"/>
        <v>7.6876000000000033</v>
      </c>
      <c r="F4" s="2">
        <f t="shared" ref="F4:F67" si="1">E3</f>
        <v>7.4895999999999958</v>
      </c>
      <c r="G4" s="2">
        <f>E2</f>
        <v>8.0801999999999907</v>
      </c>
      <c r="H4" s="2">
        <f>LN(B3)-LN(B2)</f>
        <v>2.0281222208399008E-2</v>
      </c>
      <c r="I4" s="2">
        <f>LN(C3)-LN(C2)</f>
        <v>5.78102072043718E-3</v>
      </c>
      <c r="J4" s="2">
        <f>LN(D3)-LN(D2)</f>
        <v>1.5185389655134829E-2</v>
      </c>
    </row>
    <row r="5" spans="1:10" x14ac:dyDescent="0.45">
      <c r="A5" s="1">
        <v>40186</v>
      </c>
      <c r="B5">
        <v>82.75</v>
      </c>
      <c r="C5">
        <v>2.2002999999999999</v>
      </c>
      <c r="D5">
        <v>2.1553</v>
      </c>
      <c r="E5" s="2">
        <f t="shared" si="0"/>
        <v>8.4026000000000067</v>
      </c>
      <c r="F5" s="2">
        <f t="shared" si="1"/>
        <v>7.6876000000000033</v>
      </c>
      <c r="G5" s="2">
        <f t="shared" ref="G5:G68" si="2">E3</f>
        <v>7.4895999999999958</v>
      </c>
      <c r="H5" s="2">
        <f t="shared" ref="H5:H68" si="3">LN(B4)-LN(B3)</f>
        <v>-6.2711252311791199E-3</v>
      </c>
      <c r="I5" s="2">
        <f t="shared" ref="I5:J5" si="4">LN(C4)-LN(C3)</f>
        <v>-8.9359580667877081E-3</v>
      </c>
      <c r="J5" s="2">
        <f t="shared" si="4"/>
        <v>-7.9597335350867215E-4</v>
      </c>
    </row>
    <row r="6" spans="1:10" x14ac:dyDescent="0.45">
      <c r="A6" s="1">
        <v>40189</v>
      </c>
      <c r="B6">
        <v>82.52</v>
      </c>
      <c r="C6">
        <v>2.1800999999999999</v>
      </c>
      <c r="D6">
        <v>2.1427</v>
      </c>
      <c r="E6" s="2">
        <f t="shared" si="0"/>
        <v>7.9970000000000141</v>
      </c>
      <c r="F6" s="2">
        <f t="shared" si="1"/>
        <v>8.4026000000000067</v>
      </c>
      <c r="G6" s="2">
        <f t="shared" si="2"/>
        <v>7.6876000000000033</v>
      </c>
      <c r="H6" s="2">
        <f t="shared" si="3"/>
        <v>1.0882051735858767E-3</v>
      </c>
      <c r="I6" s="2">
        <f t="shared" ref="I6:J6" si="5">LN(C5)-LN(C4)</f>
        <v>7.618823778492656E-3</v>
      </c>
      <c r="J6" s="2">
        <f t="shared" si="5"/>
        <v>9.5101178274895615E-3</v>
      </c>
    </row>
    <row r="7" spans="1:10" x14ac:dyDescent="0.45">
      <c r="A7" s="1">
        <v>40190</v>
      </c>
      <c r="B7">
        <v>80.790000000000006</v>
      </c>
      <c r="C7">
        <v>2.1318000000000001</v>
      </c>
      <c r="D7">
        <v>2.0977999999999999</v>
      </c>
      <c r="E7" s="2">
        <f t="shared" si="0"/>
        <v>7.7935999999999881</v>
      </c>
      <c r="F7" s="2">
        <f>E6</f>
        <v>7.9970000000000141</v>
      </c>
      <c r="G7" s="2">
        <f t="shared" si="2"/>
        <v>8.4026000000000067</v>
      </c>
      <c r="H7" s="2">
        <f t="shared" si="3"/>
        <v>-2.7833260541214599E-3</v>
      </c>
      <c r="I7" s="2">
        <f t="shared" ref="I7:J7" si="6">LN(C6)-LN(C5)</f>
        <v>-9.2229673953954094E-3</v>
      </c>
      <c r="J7" s="2">
        <f t="shared" si="6"/>
        <v>-5.863208979087764E-3</v>
      </c>
    </row>
    <row r="8" spans="1:10" x14ac:dyDescent="0.45">
      <c r="A8" s="1">
        <v>40191</v>
      </c>
      <c r="B8">
        <v>79.650000000000006</v>
      </c>
      <c r="C8">
        <v>2.0945999999999998</v>
      </c>
      <c r="D8">
        <v>2.0602</v>
      </c>
      <c r="E8" s="2">
        <f t="shared" si="0"/>
        <v>7.3599999999999852</v>
      </c>
      <c r="F8" s="2">
        <f t="shared" si="1"/>
        <v>7.7935999999999881</v>
      </c>
      <c r="G8" s="2">
        <f t="shared" si="2"/>
        <v>7.9970000000000141</v>
      </c>
      <c r="H8" s="2">
        <f t="shared" si="3"/>
        <v>-2.118749271143372E-2</v>
      </c>
      <c r="I8" s="2">
        <f t="shared" ref="I8:J8" si="7">LN(C7)-LN(C6)</f>
        <v>-2.2404054035663368E-2</v>
      </c>
      <c r="J8" s="2">
        <f t="shared" si="7"/>
        <v>-2.1177539479176666E-2</v>
      </c>
    </row>
    <row r="9" spans="1:10" x14ac:dyDescent="0.45">
      <c r="A9" s="1">
        <v>40192</v>
      </c>
      <c r="B9">
        <v>79.39</v>
      </c>
      <c r="C9">
        <v>2.0829</v>
      </c>
      <c r="D9">
        <v>2.0737999999999999</v>
      </c>
      <c r="E9" s="2">
        <f t="shared" si="0"/>
        <v>7.8369999999999891</v>
      </c>
      <c r="F9" s="2">
        <f t="shared" si="1"/>
        <v>7.3599999999999852</v>
      </c>
      <c r="G9" s="2">
        <f t="shared" si="2"/>
        <v>7.7935999999999881</v>
      </c>
      <c r="H9" s="2">
        <f t="shared" si="3"/>
        <v>-1.421115913555937E-2</v>
      </c>
      <c r="I9" s="2">
        <f t="shared" ref="I9:J9" si="8">LN(C8)-LN(C7)</f>
        <v>-1.7604088915991301E-2</v>
      </c>
      <c r="J9" s="2">
        <f t="shared" si="8"/>
        <v>-1.8086111077910472E-2</v>
      </c>
    </row>
    <row r="10" spans="1:10" x14ac:dyDescent="0.45">
      <c r="A10" s="1">
        <v>40193</v>
      </c>
      <c r="B10">
        <v>78</v>
      </c>
      <c r="C10">
        <v>2.0459999999999998</v>
      </c>
      <c r="D10">
        <v>2.0453999999999999</v>
      </c>
      <c r="E10" s="2">
        <f t="shared" si="0"/>
        <v>7.9151999999999889</v>
      </c>
      <c r="F10" s="2">
        <f t="shared" si="1"/>
        <v>7.8369999999999891</v>
      </c>
      <c r="G10" s="2">
        <f t="shared" si="2"/>
        <v>7.3599999999999852</v>
      </c>
      <c r="H10" s="2">
        <f t="shared" si="3"/>
        <v>-3.2696206190356847E-3</v>
      </c>
      <c r="I10" s="2">
        <f t="shared" ref="I10:J10" si="9">LN(C9)-LN(C8)</f>
        <v>-5.6014509117078282E-3</v>
      </c>
      <c r="J10" s="2">
        <f t="shared" si="9"/>
        <v>6.5796076745846532E-3</v>
      </c>
    </row>
    <row r="11" spans="1:10" x14ac:dyDescent="0.45">
      <c r="A11" s="1">
        <v>40197</v>
      </c>
      <c r="B11">
        <v>79.319999999999993</v>
      </c>
      <c r="C11">
        <v>2.0453999999999999</v>
      </c>
      <c r="D11">
        <v>2.0590999999999999</v>
      </c>
      <c r="E11" s="2">
        <f t="shared" si="0"/>
        <v>6.9704000000000024</v>
      </c>
      <c r="F11" s="2">
        <f t="shared" si="1"/>
        <v>7.9151999999999889</v>
      </c>
      <c r="G11" s="2">
        <f t="shared" si="2"/>
        <v>7.8369999999999891</v>
      </c>
      <c r="H11" s="2">
        <f t="shared" si="3"/>
        <v>-1.766358904743015E-2</v>
      </c>
      <c r="I11" s="2">
        <f t="shared" ref="I11:J11" si="10">LN(C10)-LN(C9)</f>
        <v>-1.7874485915765681E-2</v>
      </c>
      <c r="J11" s="2">
        <f t="shared" si="10"/>
        <v>-1.3789303752265281E-2</v>
      </c>
    </row>
    <row r="12" spans="1:10" x14ac:dyDescent="0.45">
      <c r="A12" s="1">
        <v>40198</v>
      </c>
      <c r="B12">
        <v>77.739999999999995</v>
      </c>
      <c r="C12">
        <v>2.0211000000000001</v>
      </c>
      <c r="D12">
        <v>2.0465</v>
      </c>
      <c r="E12" s="2">
        <f t="shared" si="0"/>
        <v>7.8574000000000028</v>
      </c>
      <c r="F12" s="2">
        <f t="shared" si="1"/>
        <v>6.9704000000000024</v>
      </c>
      <c r="G12" s="2">
        <f t="shared" si="2"/>
        <v>7.9151999999999889</v>
      </c>
      <c r="H12" s="2">
        <f t="shared" si="3"/>
        <v>1.6781476962003161E-2</v>
      </c>
      <c r="I12" s="2">
        <f t="shared" ref="I12:J12" si="11">LN(C11)-LN(C10)</f>
        <v>-2.9329813965928153E-4</v>
      </c>
      <c r="J12" s="2">
        <f t="shared" si="11"/>
        <v>6.675624742188524E-3</v>
      </c>
    </row>
    <row r="13" spans="1:10" x14ac:dyDescent="0.45">
      <c r="A13" s="1">
        <v>40199</v>
      </c>
      <c r="B13">
        <v>76.08</v>
      </c>
      <c r="C13">
        <v>1.9975000000000001</v>
      </c>
      <c r="D13">
        <v>1.9944</v>
      </c>
      <c r="E13" s="2">
        <f t="shared" si="0"/>
        <v>7.7281999999999966</v>
      </c>
      <c r="F13" s="2">
        <f t="shared" si="1"/>
        <v>7.8574000000000028</v>
      </c>
      <c r="G13" s="2">
        <f t="shared" si="2"/>
        <v>6.9704000000000024</v>
      </c>
      <c r="H13" s="2">
        <f t="shared" si="3"/>
        <v>-2.012037822751811E-2</v>
      </c>
      <c r="I13" s="2">
        <f t="shared" ref="I13:J13" si="12">LN(C12)-LN(C11)</f>
        <v>-1.1951451737188479E-2</v>
      </c>
      <c r="J13" s="2">
        <f t="shared" si="12"/>
        <v>-6.1379771816432172E-3</v>
      </c>
    </row>
    <row r="14" spans="1:10" x14ac:dyDescent="0.45">
      <c r="A14" s="1">
        <v>40200</v>
      </c>
      <c r="B14">
        <v>74.540000000000006</v>
      </c>
      <c r="C14">
        <v>1.9530000000000001</v>
      </c>
      <c r="D14">
        <v>1.9734</v>
      </c>
      <c r="E14" s="2">
        <f t="shared" si="0"/>
        <v>8.0572000000000035</v>
      </c>
      <c r="F14" s="2">
        <f t="shared" si="1"/>
        <v>7.7281999999999966</v>
      </c>
      <c r="G14" s="2">
        <f t="shared" si="2"/>
        <v>7.8574000000000028</v>
      </c>
      <c r="H14" s="2">
        <f t="shared" si="3"/>
        <v>-2.1584507186942048E-2</v>
      </c>
      <c r="I14" s="2">
        <f t="shared" ref="I14:J14" si="13">LN(C13)-LN(C12)</f>
        <v>-1.1745518994294213E-2</v>
      </c>
      <c r="J14" s="2">
        <f t="shared" si="13"/>
        <v>-2.5787763723109647E-2</v>
      </c>
    </row>
    <row r="15" spans="1:10" x14ac:dyDescent="0.45">
      <c r="A15" s="1">
        <v>40203</v>
      </c>
      <c r="B15">
        <v>75.260000000000005</v>
      </c>
      <c r="C15">
        <v>1.9750000000000001</v>
      </c>
      <c r="D15">
        <v>2.0076000000000001</v>
      </c>
      <c r="E15" s="2">
        <f t="shared" si="0"/>
        <v>8.6027999999999825</v>
      </c>
      <c r="F15" s="2">
        <f t="shared" si="1"/>
        <v>8.0572000000000035</v>
      </c>
      <c r="G15" s="2">
        <f t="shared" si="2"/>
        <v>7.7281999999999966</v>
      </c>
      <c r="H15" s="2">
        <f t="shared" si="3"/>
        <v>-2.0449524186021861E-2</v>
      </c>
      <c r="I15" s="2">
        <f t="shared" ref="I15:J15" si="14">LN(C14)-LN(C13)</f>
        <v>-2.2529746763750746E-2</v>
      </c>
      <c r="J15" s="2">
        <f t="shared" si="14"/>
        <v>-1.0585309786281805E-2</v>
      </c>
    </row>
    <row r="16" spans="1:10" x14ac:dyDescent="0.45">
      <c r="A16" s="1">
        <v>40204</v>
      </c>
      <c r="B16">
        <v>74.709999999999994</v>
      </c>
      <c r="C16">
        <v>1.9616</v>
      </c>
      <c r="D16">
        <v>1.9766999999999999</v>
      </c>
      <c r="E16" s="2">
        <f t="shared" si="0"/>
        <v>8.1000000000000032</v>
      </c>
      <c r="F16" s="2">
        <f t="shared" si="1"/>
        <v>8.6027999999999825</v>
      </c>
      <c r="G16" s="2">
        <f t="shared" si="2"/>
        <v>8.0572000000000035</v>
      </c>
      <c r="H16" s="2">
        <f t="shared" si="3"/>
        <v>9.6128911141786233E-3</v>
      </c>
      <c r="I16" s="2">
        <f t="shared" ref="I16:J16" si="15">LN(C15)-LN(C14)</f>
        <v>1.1201746458543327E-2</v>
      </c>
      <c r="J16" s="2">
        <f t="shared" si="15"/>
        <v>1.7182035357712344E-2</v>
      </c>
    </row>
    <row r="17" spans="1:10" x14ac:dyDescent="0.45">
      <c r="A17" s="1">
        <v>40205</v>
      </c>
      <c r="B17">
        <v>73.67</v>
      </c>
      <c r="C17">
        <v>1.9267000000000001</v>
      </c>
      <c r="D17">
        <v>1.9474</v>
      </c>
      <c r="E17" s="2">
        <f t="shared" si="0"/>
        <v>7.8310000000000075</v>
      </c>
      <c r="F17" s="2">
        <f t="shared" si="1"/>
        <v>8.1000000000000032</v>
      </c>
      <c r="G17" s="2">
        <f t="shared" si="2"/>
        <v>8.6027999999999825</v>
      </c>
      <c r="H17" s="2">
        <f t="shared" si="3"/>
        <v>-7.3348331775813236E-3</v>
      </c>
      <c r="I17" s="2">
        <f t="shared" ref="I17:J17" si="16">LN(C16)-LN(C15)</f>
        <v>-6.8079315933300411E-3</v>
      </c>
      <c r="J17" s="2">
        <f t="shared" si="16"/>
        <v>-1.5511191192894791E-2</v>
      </c>
    </row>
    <row r="18" spans="1:10" x14ac:dyDescent="0.45">
      <c r="A18" s="1">
        <v>40206</v>
      </c>
      <c r="B18">
        <v>73.64</v>
      </c>
      <c r="C18">
        <v>1.929</v>
      </c>
      <c r="D18">
        <v>1.9274</v>
      </c>
      <c r="E18" s="2">
        <f t="shared" si="0"/>
        <v>7.3331999999999953</v>
      </c>
      <c r="F18" s="2">
        <f t="shared" si="1"/>
        <v>7.8310000000000075</v>
      </c>
      <c r="G18" s="2">
        <f t="shared" si="2"/>
        <v>8.1000000000000032</v>
      </c>
      <c r="H18" s="2">
        <f t="shared" si="3"/>
        <v>-1.4018291292988039E-2</v>
      </c>
      <c r="I18" s="2">
        <f t="shared" ref="I18:J18" si="17">LN(C17)-LN(C16)</f>
        <v>-1.7951771855177712E-2</v>
      </c>
      <c r="J18" s="2">
        <f t="shared" si="17"/>
        <v>-1.4933638043228004E-2</v>
      </c>
    </row>
    <row r="19" spans="1:10" x14ac:dyDescent="0.45">
      <c r="A19" s="1">
        <v>40207</v>
      </c>
      <c r="B19">
        <v>72.89</v>
      </c>
      <c r="C19">
        <v>1.913</v>
      </c>
      <c r="D19">
        <v>1.9134</v>
      </c>
      <c r="E19" s="2">
        <f t="shared" si="0"/>
        <v>7.4671999999999912</v>
      </c>
      <c r="F19" s="2">
        <f t="shared" si="1"/>
        <v>7.3331999999999953</v>
      </c>
      <c r="G19" s="2">
        <f t="shared" si="2"/>
        <v>7.8310000000000075</v>
      </c>
      <c r="H19" s="2">
        <f t="shared" si="3"/>
        <v>-4.0730432984492637E-4</v>
      </c>
      <c r="I19" s="2">
        <f t="shared" ref="I19:J19" si="18">LN(C18)-LN(C17)</f>
        <v>1.1930390190145745E-3</v>
      </c>
      <c r="J19" s="2">
        <f t="shared" si="18"/>
        <v>-1.032320512746876E-2</v>
      </c>
    </row>
    <row r="20" spans="1:10" x14ac:dyDescent="0.45">
      <c r="A20" s="1">
        <v>40210</v>
      </c>
      <c r="B20">
        <v>74.430000000000007</v>
      </c>
      <c r="C20">
        <v>1.9549000000000001</v>
      </c>
      <c r="D20">
        <v>1.9320999999999999</v>
      </c>
      <c r="E20" s="2">
        <f t="shared" si="0"/>
        <v>7.037399999999991</v>
      </c>
      <c r="F20" s="2">
        <f t="shared" si="1"/>
        <v>7.4671999999999912</v>
      </c>
      <c r="G20" s="2">
        <f t="shared" si="2"/>
        <v>7.3331999999999953</v>
      </c>
      <c r="H20" s="2">
        <f t="shared" si="3"/>
        <v>-1.0236900970755691E-2</v>
      </c>
      <c r="I20" s="2">
        <f t="shared" ref="I20:J20" si="19">LN(C19)-LN(C18)</f>
        <v>-8.3290434654762491E-3</v>
      </c>
      <c r="J20" s="2">
        <f t="shared" si="19"/>
        <v>-7.2901801731201088E-3</v>
      </c>
    </row>
    <row r="21" spans="1:10" x14ac:dyDescent="0.45">
      <c r="A21" s="1">
        <v>40211</v>
      </c>
      <c r="B21">
        <v>77.23</v>
      </c>
      <c r="C21">
        <v>2.0316999999999998</v>
      </c>
      <c r="D21">
        <v>2.0179</v>
      </c>
      <c r="E21" s="2">
        <f t="shared" si="0"/>
        <v>7.7149999999999936</v>
      </c>
      <c r="F21" s="2">
        <f t="shared" si="1"/>
        <v>7.037399999999991</v>
      </c>
      <c r="G21" s="2">
        <f t="shared" si="2"/>
        <v>7.4671999999999912</v>
      </c>
      <c r="H21" s="2">
        <f t="shared" si="3"/>
        <v>2.0907630977697877E-2</v>
      </c>
      <c r="I21" s="2">
        <f t="shared" ref="I21:J21" si="20">LN(C20)-LN(C19)</f>
        <v>2.1666350775821019E-2</v>
      </c>
      <c r="J21" s="2">
        <f t="shared" si="20"/>
        <v>9.7257300232708177E-3</v>
      </c>
    </row>
    <row r="22" spans="1:10" x14ac:dyDescent="0.45">
      <c r="A22" s="1">
        <v>40212</v>
      </c>
      <c r="B22">
        <v>76.98</v>
      </c>
      <c r="C22">
        <v>2.0194000000000001</v>
      </c>
      <c r="D22">
        <v>2.0362</v>
      </c>
      <c r="E22" s="2">
        <f t="shared" si="0"/>
        <v>8.3051999999999939</v>
      </c>
      <c r="F22" s="2">
        <f t="shared" si="1"/>
        <v>7.7149999999999936</v>
      </c>
      <c r="G22" s="2">
        <f t="shared" si="2"/>
        <v>7.037399999999991</v>
      </c>
      <c r="H22" s="2">
        <f t="shared" si="3"/>
        <v>3.6928896209353468E-2</v>
      </c>
      <c r="I22" s="2">
        <f t="shared" ref="I22:J22" si="21">LN(C21)-LN(C20)</f>
        <v>3.8533839787490809E-2</v>
      </c>
      <c r="J22" s="2">
        <f t="shared" si="21"/>
        <v>4.3449872404500711E-2</v>
      </c>
    </row>
    <row r="23" spans="1:10" x14ac:dyDescent="0.45">
      <c r="A23" s="1">
        <v>40213</v>
      </c>
      <c r="B23">
        <v>73.14</v>
      </c>
      <c r="C23">
        <v>1.9352</v>
      </c>
      <c r="D23">
        <v>1.9508000000000001</v>
      </c>
      <c r="E23" s="2">
        <f t="shared" si="0"/>
        <v>8.5751999999999953</v>
      </c>
      <c r="F23" s="2">
        <f t="shared" si="1"/>
        <v>8.3051999999999939</v>
      </c>
      <c r="G23" s="2">
        <f t="shared" si="2"/>
        <v>7.7149999999999936</v>
      </c>
      <c r="H23" s="2">
        <f t="shared" si="3"/>
        <v>-3.2423347255727819E-3</v>
      </c>
      <c r="I23" s="2">
        <f t="shared" ref="I23:J23" si="22">LN(C22)-LN(C21)</f>
        <v>-6.0724434333440103E-3</v>
      </c>
      <c r="J23" s="2">
        <f t="shared" si="22"/>
        <v>9.0279590012568578E-3</v>
      </c>
    </row>
    <row r="24" spans="1:10" x14ac:dyDescent="0.45">
      <c r="A24" s="1">
        <v>40214</v>
      </c>
      <c r="B24">
        <v>71.19</v>
      </c>
      <c r="C24">
        <v>1.8748</v>
      </c>
      <c r="D24">
        <v>1.8864000000000001</v>
      </c>
      <c r="E24" s="2">
        <f t="shared" si="0"/>
        <v>7.8764000000000083</v>
      </c>
      <c r="F24" s="2">
        <f t="shared" si="1"/>
        <v>8.5751999999999953</v>
      </c>
      <c r="G24" s="2">
        <f t="shared" si="2"/>
        <v>8.3051999999999939</v>
      </c>
      <c r="H24" s="2">
        <f t="shared" si="3"/>
        <v>-5.117023513436525E-2</v>
      </c>
      <c r="I24" s="2">
        <f t="shared" ref="I24:J24" si="23">LN(C23)-LN(C22)</f>
        <v>-4.2589757274403173E-2</v>
      </c>
      <c r="J24" s="2">
        <f t="shared" si="23"/>
        <v>-4.28457808371977E-2</v>
      </c>
    </row>
    <row r="25" spans="1:10" x14ac:dyDescent="0.45">
      <c r="A25" s="1">
        <v>40217</v>
      </c>
      <c r="B25">
        <v>71.89</v>
      </c>
      <c r="C25">
        <v>1.8855</v>
      </c>
      <c r="D25">
        <v>1.8939999999999999</v>
      </c>
      <c r="E25" s="2">
        <f t="shared" si="0"/>
        <v>7.538999999999997</v>
      </c>
      <c r="F25" s="2">
        <f t="shared" si="1"/>
        <v>7.8764000000000083</v>
      </c>
      <c r="G25" s="2">
        <f t="shared" si="2"/>
        <v>8.5751999999999953</v>
      </c>
      <c r="H25" s="2">
        <f t="shared" si="3"/>
        <v>-2.7023053605453207E-2</v>
      </c>
      <c r="I25" s="2">
        <f t="shared" ref="I25:J25" si="24">LN(C24)-LN(C23)</f>
        <v>-3.170869324726644E-2</v>
      </c>
      <c r="J25" s="2">
        <f t="shared" si="24"/>
        <v>-3.3569294052791077E-2</v>
      </c>
    </row>
    <row r="26" spans="1:10" x14ac:dyDescent="0.45">
      <c r="A26" s="1">
        <v>40218</v>
      </c>
      <c r="B26">
        <v>73.75</v>
      </c>
      <c r="C26">
        <v>1.9373</v>
      </c>
      <c r="D26">
        <v>1.929</v>
      </c>
      <c r="E26" s="2">
        <f t="shared" si="0"/>
        <v>7.3842000000000025</v>
      </c>
      <c r="F26" s="2">
        <f t="shared" si="1"/>
        <v>7.538999999999997</v>
      </c>
      <c r="G26" s="2">
        <f t="shared" si="2"/>
        <v>7.8764000000000083</v>
      </c>
      <c r="H26" s="2">
        <f t="shared" si="3"/>
        <v>9.7848138799987439E-3</v>
      </c>
      <c r="I26" s="2">
        <f t="shared" ref="I26:J26" si="25">LN(C25)-LN(C24)</f>
        <v>5.6910506498607516E-3</v>
      </c>
      <c r="J26" s="2">
        <f t="shared" si="25"/>
        <v>4.0207439629169617E-3</v>
      </c>
    </row>
    <row r="27" spans="1:10" x14ac:dyDescent="0.45">
      <c r="A27" s="1">
        <v>40219</v>
      </c>
      <c r="B27">
        <v>74.52</v>
      </c>
      <c r="C27">
        <v>1.9469000000000001</v>
      </c>
      <c r="D27">
        <v>1.929</v>
      </c>
      <c r="E27" s="2">
        <f t="shared" si="0"/>
        <v>6.7486000000000006</v>
      </c>
      <c r="F27" s="2">
        <f t="shared" si="1"/>
        <v>7.3842000000000025</v>
      </c>
      <c r="G27" s="2">
        <f t="shared" si="2"/>
        <v>7.538999999999997</v>
      </c>
      <c r="H27" s="2">
        <f t="shared" si="3"/>
        <v>2.5543822224149082E-2</v>
      </c>
      <c r="I27" s="2">
        <f t="shared" ref="I27:J27" si="26">LN(C26)-LN(C25)</f>
        <v>2.7102213394488373E-2</v>
      </c>
      <c r="J27" s="2">
        <f t="shared" si="26"/>
        <v>1.8310739159705602E-2</v>
      </c>
    </row>
    <row r="28" spans="1:10" x14ac:dyDescent="0.45">
      <c r="A28" s="1">
        <v>40220</v>
      </c>
      <c r="B28">
        <v>75.28</v>
      </c>
      <c r="C28">
        <v>1.9630000000000001</v>
      </c>
      <c r="D28">
        <v>1.9357</v>
      </c>
      <c r="E28" s="2">
        <f t="shared" si="0"/>
        <v>6.401600000000002</v>
      </c>
      <c r="F28" s="2">
        <f t="shared" si="1"/>
        <v>6.7486000000000006</v>
      </c>
      <c r="G28" s="2">
        <f t="shared" si="2"/>
        <v>7.3842000000000025</v>
      </c>
      <c r="H28" s="2">
        <f t="shared" si="3"/>
        <v>1.0386550513458381E-2</v>
      </c>
      <c r="I28" s="2">
        <f t="shared" ref="I28:J28" si="27">LN(C27)-LN(C26)</f>
        <v>4.943112891964474E-3</v>
      </c>
      <c r="J28" s="2">
        <f t="shared" si="27"/>
        <v>0</v>
      </c>
    </row>
    <row r="29" spans="1:10" x14ac:dyDescent="0.45">
      <c r="A29" s="1">
        <v>40221</v>
      </c>
      <c r="B29">
        <v>74.13</v>
      </c>
      <c r="C29">
        <v>1.9189000000000001</v>
      </c>
      <c r="D29">
        <v>1.9295</v>
      </c>
      <c r="E29" s="2">
        <f t="shared" si="0"/>
        <v>6.7606000000000108</v>
      </c>
      <c r="F29" s="2">
        <f t="shared" si="1"/>
        <v>6.401600000000002</v>
      </c>
      <c r="G29" s="2">
        <f t="shared" si="2"/>
        <v>6.7486000000000006</v>
      </c>
      <c r="H29" s="2">
        <f t="shared" si="3"/>
        <v>1.0146949543736739E-2</v>
      </c>
      <c r="I29" s="2">
        <f t="shared" ref="I29:J29" si="28">LN(C28)-LN(C27)</f>
        <v>8.2355512915964768E-3</v>
      </c>
      <c r="J29" s="2">
        <f t="shared" si="28"/>
        <v>3.4672842457709185E-3</v>
      </c>
    </row>
    <row r="30" spans="1:10" x14ac:dyDescent="0.45">
      <c r="A30" s="1">
        <v>40225</v>
      </c>
      <c r="B30">
        <v>77.010000000000005</v>
      </c>
      <c r="C30">
        <v>1.9963</v>
      </c>
      <c r="D30">
        <v>1.9882</v>
      </c>
      <c r="E30" s="2">
        <f t="shared" si="0"/>
        <v>6.6077999999999975</v>
      </c>
      <c r="F30" s="2">
        <f t="shared" si="1"/>
        <v>6.7606000000000108</v>
      </c>
      <c r="G30" s="2">
        <f t="shared" si="2"/>
        <v>6.401600000000002</v>
      </c>
      <c r="H30" s="2">
        <f t="shared" si="3"/>
        <v>-1.5394186608496341E-2</v>
      </c>
      <c r="I30" s="2">
        <f t="shared" ref="I30:J30" si="29">LN(C29)-LN(C28)</f>
        <v>-2.2721810100764461E-2</v>
      </c>
      <c r="J30" s="2">
        <f t="shared" si="29"/>
        <v>-3.2081161738265473E-3</v>
      </c>
    </row>
    <row r="31" spans="1:10" x14ac:dyDescent="0.45">
      <c r="A31" s="1">
        <v>40226</v>
      </c>
      <c r="B31">
        <v>77.33</v>
      </c>
      <c r="C31">
        <v>2.0066999999999999</v>
      </c>
      <c r="D31">
        <v>2.0070999999999999</v>
      </c>
      <c r="E31" s="2">
        <f t="shared" si="0"/>
        <v>6.9625999999999904</v>
      </c>
      <c r="F31" s="2">
        <f t="shared" si="1"/>
        <v>6.6077999999999975</v>
      </c>
      <c r="G31" s="2">
        <f t="shared" si="2"/>
        <v>6.7606000000000108</v>
      </c>
      <c r="H31" s="2">
        <f t="shared" si="3"/>
        <v>3.8114974882530461E-2</v>
      </c>
      <c r="I31" s="2">
        <f t="shared" ref="I31:J31" si="30">LN(C30)-LN(C29)</f>
        <v>3.9543362002911309E-2</v>
      </c>
      <c r="J31" s="2">
        <f t="shared" si="30"/>
        <v>2.9968804800371229E-2</v>
      </c>
    </row>
    <row r="32" spans="1:10" x14ac:dyDescent="0.45">
      <c r="A32" s="1">
        <v>40227</v>
      </c>
      <c r="B32">
        <v>79.06</v>
      </c>
      <c r="C32">
        <v>2.0516000000000001</v>
      </c>
      <c r="D32">
        <v>2.0691999999999999</v>
      </c>
      <c r="E32" s="2">
        <f t="shared" si="0"/>
        <v>7.6000000000000041</v>
      </c>
      <c r="F32" s="2">
        <f t="shared" si="1"/>
        <v>6.9625999999999904</v>
      </c>
      <c r="G32" s="2">
        <f t="shared" si="2"/>
        <v>6.6077999999999975</v>
      </c>
      <c r="H32" s="2">
        <f t="shared" si="3"/>
        <v>4.1466950697852667E-3</v>
      </c>
      <c r="I32" s="2">
        <f t="shared" ref="I32:J32" si="31">LN(C31)-LN(C30)</f>
        <v>5.1961146138640446E-3</v>
      </c>
      <c r="J32" s="2">
        <f t="shared" si="31"/>
        <v>9.4611873874026475E-3</v>
      </c>
    </row>
    <row r="33" spans="1:10" x14ac:dyDescent="0.45">
      <c r="A33" s="1">
        <v>40228</v>
      </c>
      <c r="B33">
        <v>80.06</v>
      </c>
      <c r="C33">
        <v>2.0699000000000001</v>
      </c>
      <c r="D33">
        <v>2.0857000000000001</v>
      </c>
      <c r="E33" s="2">
        <f t="shared" si="0"/>
        <v>7.3181999999999903</v>
      </c>
      <c r="F33" s="2">
        <f t="shared" si="1"/>
        <v>7.6000000000000041</v>
      </c>
      <c r="G33" s="2">
        <f t="shared" si="2"/>
        <v>6.9625999999999904</v>
      </c>
      <c r="H33" s="2">
        <f t="shared" si="3"/>
        <v>2.2125079247595991E-2</v>
      </c>
      <c r="I33" s="2">
        <f t="shared" ref="I33:J33" si="32">LN(C32)-LN(C31)</f>
        <v>2.2128394722641387E-2</v>
      </c>
      <c r="J33" s="2">
        <f t="shared" si="32"/>
        <v>3.0471164963912556E-2</v>
      </c>
    </row>
    <row r="34" spans="1:10" x14ac:dyDescent="0.45">
      <c r="A34" s="1">
        <v>40231</v>
      </c>
      <c r="B34">
        <v>80.31</v>
      </c>
      <c r="C34">
        <v>2.0882000000000001</v>
      </c>
      <c r="D34">
        <v>2.1158000000000001</v>
      </c>
      <c r="E34" s="2">
        <f t="shared" si="0"/>
        <v>8.1671999999999993</v>
      </c>
      <c r="F34" s="2">
        <f t="shared" si="1"/>
        <v>7.3181999999999903</v>
      </c>
      <c r="G34" s="2">
        <f t="shared" si="2"/>
        <v>7.6000000000000041</v>
      </c>
      <c r="H34" s="2">
        <f t="shared" si="3"/>
        <v>1.2569295695887384E-2</v>
      </c>
      <c r="I34" s="2">
        <f t="shared" ref="I34:J34" si="33">LN(C33)-LN(C32)</f>
        <v>8.8803203986314028E-3</v>
      </c>
      <c r="J34" s="2">
        <f t="shared" si="33"/>
        <v>7.9424711732294373E-3</v>
      </c>
    </row>
    <row r="35" spans="1:10" x14ac:dyDescent="0.45">
      <c r="A35" s="1">
        <v>40233</v>
      </c>
      <c r="B35">
        <v>80</v>
      </c>
      <c r="C35">
        <v>2.0539000000000001</v>
      </c>
      <c r="D35">
        <v>2.2067000000000001</v>
      </c>
      <c r="E35" s="2">
        <f t="shared" si="0"/>
        <v>10.542200000000017</v>
      </c>
      <c r="F35" s="2">
        <f t="shared" si="1"/>
        <v>8.1671999999999993</v>
      </c>
      <c r="G35" s="2">
        <f t="shared" si="2"/>
        <v>7.3181999999999903</v>
      </c>
      <c r="H35" s="2">
        <f t="shared" si="3"/>
        <v>3.1177926359431396E-3</v>
      </c>
      <c r="I35" s="2">
        <f t="shared" ref="I35:J35" si="34">LN(C34)-LN(C33)</f>
        <v>8.802153942265134E-3</v>
      </c>
      <c r="J35" s="2">
        <f t="shared" si="34"/>
        <v>1.4328461250084912E-2</v>
      </c>
    </row>
    <row r="36" spans="1:10" x14ac:dyDescent="0.45">
      <c r="A36" s="1">
        <v>40234</v>
      </c>
      <c r="B36">
        <v>78.17</v>
      </c>
      <c r="C36">
        <v>1.9985999999999999</v>
      </c>
      <c r="D36">
        <v>2.1476999999999999</v>
      </c>
      <c r="E36" s="2">
        <f t="shared" si="0"/>
        <v>9.9460000000000068</v>
      </c>
      <c r="F36" s="2">
        <f t="shared" si="1"/>
        <v>10.542200000000017</v>
      </c>
      <c r="G36" s="2">
        <f t="shared" si="2"/>
        <v>8.1671999999999993</v>
      </c>
      <c r="H36" s="2">
        <f t="shared" si="3"/>
        <v>-3.8675115264892312E-3</v>
      </c>
      <c r="I36" s="2">
        <f t="shared" ref="I36:J36" si="35">LN(C35)-LN(C34)</f>
        <v>-1.656202604440693E-2</v>
      </c>
      <c r="J36" s="2">
        <f t="shared" si="35"/>
        <v>4.2065195336360661E-2</v>
      </c>
    </row>
    <row r="37" spans="1:10" x14ac:dyDescent="0.45">
      <c r="A37" s="1">
        <v>40235</v>
      </c>
      <c r="B37">
        <v>79.66</v>
      </c>
      <c r="C37">
        <v>2.0352999999999999</v>
      </c>
      <c r="D37">
        <v>2.1879</v>
      </c>
      <c r="E37" s="2">
        <f t="shared" si="0"/>
        <v>10.095400000000012</v>
      </c>
      <c r="F37" s="2">
        <f t="shared" si="1"/>
        <v>9.9460000000000068</v>
      </c>
      <c r="G37" s="2">
        <f t="shared" si="2"/>
        <v>10.542200000000017</v>
      </c>
      <c r="H37" s="2">
        <f t="shared" si="3"/>
        <v>-2.3140692441642408E-2</v>
      </c>
      <c r="I37" s="2">
        <f t="shared" ref="I37:J37" si="36">LN(C36)-LN(C35)</f>
        <v>-2.7293489383914071E-2</v>
      </c>
      <c r="J37" s="2">
        <f t="shared" si="36"/>
        <v>-2.7100684818785914E-2</v>
      </c>
    </row>
    <row r="38" spans="1:10" x14ac:dyDescent="0.45">
      <c r="A38" s="1">
        <v>40238</v>
      </c>
      <c r="B38">
        <v>78.7</v>
      </c>
      <c r="C38">
        <v>2.0234999999999999</v>
      </c>
      <c r="D38">
        <v>2.1556000000000002</v>
      </c>
      <c r="E38" s="2">
        <f t="shared" si="0"/>
        <v>9.9858000000000029</v>
      </c>
      <c r="F38" s="2">
        <f t="shared" si="1"/>
        <v>10.095400000000012</v>
      </c>
      <c r="G38" s="2">
        <f t="shared" si="2"/>
        <v>9.9460000000000068</v>
      </c>
      <c r="H38" s="2">
        <f t="shared" si="3"/>
        <v>1.8881635521259099E-2</v>
      </c>
      <c r="I38" s="2">
        <f t="shared" ref="I38:J38" si="37">LN(C37)-LN(C36)</f>
        <v>1.8196292731144426E-2</v>
      </c>
      <c r="J38" s="2">
        <f t="shared" si="37"/>
        <v>1.8544677588048009E-2</v>
      </c>
    </row>
    <row r="39" spans="1:10" x14ac:dyDescent="0.45">
      <c r="A39" s="1">
        <v>40239</v>
      </c>
      <c r="B39">
        <v>79.680000000000007</v>
      </c>
      <c r="C39">
        <v>2.0560999999999998</v>
      </c>
      <c r="D39">
        <v>2.1966000000000001</v>
      </c>
      <c r="E39" s="2">
        <f t="shared" si="0"/>
        <v>10.610200000000001</v>
      </c>
      <c r="F39" s="2">
        <f t="shared" si="1"/>
        <v>9.9858000000000029</v>
      </c>
      <c r="G39" s="2">
        <f t="shared" si="2"/>
        <v>10.095400000000012</v>
      </c>
      <c r="H39" s="2">
        <f t="shared" si="3"/>
        <v>-1.2124422330140661E-2</v>
      </c>
      <c r="I39" s="2">
        <f t="shared" ref="I39:J39" si="38">LN(C38)-LN(C37)</f>
        <v>-5.8145428429131618E-3</v>
      </c>
      <c r="J39" s="2">
        <f t="shared" si="38"/>
        <v>-1.4873072598955317E-2</v>
      </c>
    </row>
    <row r="40" spans="1:10" x14ac:dyDescent="0.45">
      <c r="A40" s="1">
        <v>40240</v>
      </c>
      <c r="B40">
        <v>80.87</v>
      </c>
      <c r="C40">
        <v>2.0937000000000001</v>
      </c>
      <c r="D40">
        <v>2.2475999999999998</v>
      </c>
      <c r="E40" s="2">
        <f t="shared" si="0"/>
        <v>11.374599999999987</v>
      </c>
      <c r="F40" s="2">
        <f t="shared" si="1"/>
        <v>10.610200000000001</v>
      </c>
      <c r="G40" s="2">
        <f t="shared" si="2"/>
        <v>9.9858000000000029</v>
      </c>
      <c r="H40" s="2">
        <f t="shared" si="3"/>
        <v>1.2375457852985328E-2</v>
      </c>
      <c r="I40" s="2">
        <f t="shared" ref="I40:J40" si="39">LN(C39)-LN(C38)</f>
        <v>1.5982299208635475E-2</v>
      </c>
      <c r="J40" s="2">
        <f t="shared" si="39"/>
        <v>1.8841603294903808E-2</v>
      </c>
    </row>
    <row r="41" spans="1:10" x14ac:dyDescent="0.45">
      <c r="A41" s="1">
        <v>40241</v>
      </c>
      <c r="B41">
        <v>80.209999999999994</v>
      </c>
      <c r="C41">
        <v>2.0687000000000002</v>
      </c>
      <c r="D41">
        <v>2.2336999999999998</v>
      </c>
      <c r="E41" s="2">
        <f t="shared" si="0"/>
        <v>11.29540000000001</v>
      </c>
      <c r="F41" s="2">
        <f t="shared" si="1"/>
        <v>11.374599999999987</v>
      </c>
      <c r="G41" s="2">
        <f t="shared" si="2"/>
        <v>10.610200000000001</v>
      </c>
      <c r="H41" s="2">
        <f t="shared" si="3"/>
        <v>1.482431383138838E-2</v>
      </c>
      <c r="I41" s="2">
        <f t="shared" ref="I41:J41" si="40">LN(C40)-LN(C39)</f>
        <v>1.8121851166659986E-2</v>
      </c>
      <c r="J41" s="2">
        <f t="shared" si="40"/>
        <v>2.2952269883797505E-2</v>
      </c>
    </row>
    <row r="42" spans="1:10" x14ac:dyDescent="0.45">
      <c r="A42" s="1">
        <v>40242</v>
      </c>
      <c r="B42">
        <v>81.5</v>
      </c>
      <c r="C42">
        <v>2.0973999999999999</v>
      </c>
      <c r="D42">
        <v>2.2709999999999999</v>
      </c>
      <c r="E42" s="2">
        <f t="shared" si="0"/>
        <v>11.451599999999985</v>
      </c>
      <c r="F42" s="2">
        <f t="shared" si="1"/>
        <v>11.29540000000001</v>
      </c>
      <c r="G42" s="2">
        <f t="shared" si="2"/>
        <v>11.374599999999987</v>
      </c>
      <c r="H42" s="2">
        <f t="shared" si="3"/>
        <v>-8.1947317288975086E-3</v>
      </c>
      <c r="I42" s="2">
        <f t="shared" ref="I42:J42" si="41">LN(C41)-LN(C40)</f>
        <v>-1.2012445042211994E-2</v>
      </c>
      <c r="J42" s="2">
        <f t="shared" si="41"/>
        <v>-6.203576898532015E-3</v>
      </c>
    </row>
    <row r="43" spans="1:10" x14ac:dyDescent="0.45">
      <c r="A43" s="1">
        <v>40245</v>
      </c>
      <c r="B43">
        <v>81.87</v>
      </c>
      <c r="C43">
        <v>2.1055000000000001</v>
      </c>
      <c r="D43">
        <v>2.2892000000000001</v>
      </c>
      <c r="E43" s="2">
        <f t="shared" si="0"/>
        <v>11.70459999999999</v>
      </c>
      <c r="F43" s="2">
        <f t="shared" si="1"/>
        <v>11.451599999999985</v>
      </c>
      <c r="G43" s="2">
        <f t="shared" si="2"/>
        <v>11.29540000000001</v>
      </c>
      <c r="H43" s="2">
        <f t="shared" si="3"/>
        <v>1.5954824867983497E-2</v>
      </c>
      <c r="I43" s="2">
        <f t="shared" ref="I43:J43" si="42">LN(C42)-LN(C41)</f>
        <v>1.3778091751301069E-2</v>
      </c>
      <c r="J43" s="2">
        <f t="shared" si="42"/>
        <v>1.6560859766047376E-2</v>
      </c>
    </row>
    <row r="44" spans="1:10" x14ac:dyDescent="0.45">
      <c r="A44" s="1">
        <v>40246</v>
      </c>
      <c r="B44">
        <v>81.489999999999995</v>
      </c>
      <c r="C44">
        <v>2.0897999999999999</v>
      </c>
      <c r="D44">
        <v>2.2603</v>
      </c>
      <c r="E44" s="2">
        <f t="shared" si="0"/>
        <v>11.055600000000007</v>
      </c>
      <c r="F44" s="2">
        <f t="shared" si="1"/>
        <v>11.70459999999999</v>
      </c>
      <c r="G44" s="2">
        <f t="shared" si="2"/>
        <v>11.451599999999985</v>
      </c>
      <c r="H44" s="2">
        <f t="shared" si="3"/>
        <v>4.5296031415400506E-3</v>
      </c>
      <c r="I44" s="2">
        <f t="shared" ref="I44:J44" si="43">LN(C43)-LN(C42)</f>
        <v>3.8544862016777204E-3</v>
      </c>
      <c r="J44" s="2">
        <f t="shared" si="43"/>
        <v>7.9821484293888245E-3</v>
      </c>
    </row>
    <row r="45" spans="1:10" x14ac:dyDescent="0.45">
      <c r="A45" s="1">
        <v>40247</v>
      </c>
      <c r="B45">
        <v>82.09</v>
      </c>
      <c r="C45">
        <v>2.1162000000000001</v>
      </c>
      <c r="D45">
        <v>2.2850999999999999</v>
      </c>
      <c r="E45" s="2">
        <f t="shared" si="0"/>
        <v>11.519599999999997</v>
      </c>
      <c r="F45" s="2">
        <f t="shared" si="1"/>
        <v>11.055600000000007</v>
      </c>
      <c r="G45" s="2">
        <f t="shared" si="2"/>
        <v>11.70459999999999</v>
      </c>
      <c r="H45" s="2">
        <f t="shared" si="3"/>
        <v>-4.6523100562287922E-3</v>
      </c>
      <c r="I45" s="2">
        <f t="shared" ref="I45:J45" si="44">LN(C44)-LN(C43)</f>
        <v>-7.4846010019720133E-3</v>
      </c>
      <c r="J45" s="2">
        <f t="shared" si="44"/>
        <v>-1.2704863715404358E-2</v>
      </c>
    </row>
    <row r="46" spans="1:10" x14ac:dyDescent="0.45">
      <c r="A46" s="1">
        <v>40248</v>
      </c>
      <c r="B46">
        <v>82.11</v>
      </c>
      <c r="C46">
        <v>2.1150000000000002</v>
      </c>
      <c r="D46">
        <v>2.2719999999999998</v>
      </c>
      <c r="E46" s="2">
        <f t="shared" si="0"/>
        <v>11.116000000000005</v>
      </c>
      <c r="F46" s="2">
        <f t="shared" si="1"/>
        <v>11.519599999999997</v>
      </c>
      <c r="G46" s="2">
        <f t="shared" si="2"/>
        <v>11.055600000000007</v>
      </c>
      <c r="H46" s="2">
        <f t="shared" si="3"/>
        <v>7.3358930280464918E-3</v>
      </c>
      <c r="I46" s="2">
        <f t="shared" ref="I46:J46" si="45">LN(C45)-LN(C44)</f>
        <v>1.2553659870050859E-2</v>
      </c>
      <c r="J46" s="2">
        <f t="shared" si="45"/>
        <v>1.0912239227309217E-2</v>
      </c>
    </row>
    <row r="47" spans="1:10" x14ac:dyDescent="0.45">
      <c r="A47" s="1">
        <v>40249</v>
      </c>
      <c r="B47">
        <v>81.239999999999995</v>
      </c>
      <c r="C47">
        <v>2.0939999999999999</v>
      </c>
      <c r="D47">
        <v>2.2549999999999999</v>
      </c>
      <c r="E47" s="2">
        <f t="shared" si="0"/>
        <v>11.216000000000008</v>
      </c>
      <c r="F47" s="2">
        <f t="shared" si="1"/>
        <v>11.116000000000005</v>
      </c>
      <c r="G47" s="2">
        <f t="shared" si="2"/>
        <v>11.519599999999997</v>
      </c>
      <c r="H47" s="2">
        <f t="shared" si="3"/>
        <v>2.436053605228139E-4</v>
      </c>
      <c r="I47" s="2">
        <f t="shared" ref="I47:J47" si="46">LN(C46)-LN(C45)</f>
        <v>-5.6721498968292927E-4</v>
      </c>
      <c r="J47" s="2">
        <f t="shared" si="46"/>
        <v>-5.7492862058101668E-3</v>
      </c>
    </row>
    <row r="48" spans="1:10" x14ac:dyDescent="0.45">
      <c r="A48" s="1">
        <v>40252</v>
      </c>
      <c r="B48">
        <v>79.8</v>
      </c>
      <c r="C48">
        <v>2.0575999999999999</v>
      </c>
      <c r="D48">
        <v>2.2227999999999999</v>
      </c>
      <c r="E48" s="2">
        <f t="shared" si="0"/>
        <v>11.244799999999998</v>
      </c>
      <c r="F48" s="2">
        <f t="shared" si="1"/>
        <v>11.216000000000008</v>
      </c>
      <c r="G48" s="2">
        <f t="shared" si="2"/>
        <v>11.116000000000005</v>
      </c>
      <c r="H48" s="2">
        <f t="shared" si="3"/>
        <v>-1.0652075008513506E-2</v>
      </c>
      <c r="I48" s="2">
        <f t="shared" ref="I48:J48" si="47">LN(C47)-LN(C46)</f>
        <v>-9.9787000498963163E-3</v>
      </c>
      <c r="J48" s="2">
        <f t="shared" si="47"/>
        <v>-7.5105279042632089E-3</v>
      </c>
    </row>
    <row r="49" spans="1:10" x14ac:dyDescent="0.45">
      <c r="A49" s="1">
        <v>40253</v>
      </c>
      <c r="B49">
        <v>81.7</v>
      </c>
      <c r="C49">
        <v>2.1143000000000001</v>
      </c>
      <c r="D49">
        <v>2.2749999999999999</v>
      </c>
      <c r="E49" s="2">
        <f t="shared" si="0"/>
        <v>11.600199999999992</v>
      </c>
      <c r="F49" s="2">
        <f t="shared" si="1"/>
        <v>11.244799999999998</v>
      </c>
      <c r="G49" s="2">
        <f t="shared" si="2"/>
        <v>11.216000000000008</v>
      </c>
      <c r="H49" s="2">
        <f t="shared" si="3"/>
        <v>-1.7884232256420773E-2</v>
      </c>
      <c r="I49" s="2">
        <f t="shared" ref="I49:J49" si="48">LN(C48)-LN(C47)</f>
        <v>-1.7535857387181886E-2</v>
      </c>
      <c r="J49" s="2">
        <f t="shared" si="48"/>
        <v>-1.4382310531012577E-2</v>
      </c>
    </row>
    <row r="50" spans="1:10" x14ac:dyDescent="0.45">
      <c r="A50" s="1">
        <v>40254</v>
      </c>
      <c r="B50">
        <v>82.93</v>
      </c>
      <c r="C50">
        <v>2.1395</v>
      </c>
      <c r="D50">
        <v>2.3096999999999999</v>
      </c>
      <c r="E50" s="2">
        <f t="shared" si="0"/>
        <v>11.69459999999998</v>
      </c>
      <c r="F50" s="2">
        <f t="shared" si="1"/>
        <v>11.600199999999992</v>
      </c>
      <c r="G50" s="2">
        <f t="shared" si="2"/>
        <v>11.244799999999998</v>
      </c>
      <c r="H50" s="2">
        <f t="shared" si="3"/>
        <v>2.3530497410193973E-2</v>
      </c>
      <c r="I50" s="2">
        <f t="shared" ref="I50:J50" si="49">LN(C49)-LN(C48)</f>
        <v>2.7183533387522885E-2</v>
      </c>
      <c r="J50" s="2">
        <f t="shared" si="49"/>
        <v>2.3212389979284653E-2</v>
      </c>
    </row>
    <row r="51" spans="1:10" x14ac:dyDescent="0.45">
      <c r="A51" s="1">
        <v>40255</v>
      </c>
      <c r="B51">
        <v>82.2</v>
      </c>
      <c r="C51">
        <v>2.1191</v>
      </c>
      <c r="D51">
        <v>2.3008999999999999</v>
      </c>
      <c r="E51" s="2">
        <f t="shared" si="0"/>
        <v>11.892599999999996</v>
      </c>
      <c r="F51" s="2">
        <f t="shared" si="1"/>
        <v>11.69459999999998</v>
      </c>
      <c r="G51" s="2">
        <f t="shared" si="2"/>
        <v>11.600199999999992</v>
      </c>
      <c r="H51" s="2">
        <f t="shared" si="3"/>
        <v>1.4942876597155319E-2</v>
      </c>
      <c r="I51" s="2">
        <f t="shared" ref="I51:J51" si="50">LN(C50)-LN(C49)</f>
        <v>1.1848368426048417E-2</v>
      </c>
      <c r="J51" s="2">
        <f t="shared" si="50"/>
        <v>1.513759356706279E-2</v>
      </c>
    </row>
    <row r="52" spans="1:10" x14ac:dyDescent="0.45">
      <c r="A52" s="1">
        <v>40256</v>
      </c>
      <c r="B52">
        <v>80.97</v>
      </c>
      <c r="C52">
        <v>2.0767000000000002</v>
      </c>
      <c r="D52">
        <v>2.2555999999999998</v>
      </c>
      <c r="E52" s="2">
        <f t="shared" si="0"/>
        <v>11.260600000000002</v>
      </c>
      <c r="F52" s="2">
        <f t="shared" si="1"/>
        <v>11.892599999999996</v>
      </c>
      <c r="G52" s="2">
        <f t="shared" si="2"/>
        <v>11.69459999999998</v>
      </c>
      <c r="H52" s="2">
        <f t="shared" si="3"/>
        <v>-8.8415764009779352E-3</v>
      </c>
      <c r="I52" s="2">
        <f t="shared" ref="I52:J52" si="51">LN(C51)-LN(C50)</f>
        <v>-9.5806866303512761E-3</v>
      </c>
      <c r="J52" s="2">
        <f t="shared" si="51"/>
        <v>-3.8172952266265492E-3</v>
      </c>
    </row>
    <row r="53" spans="1:10" x14ac:dyDescent="0.45">
      <c r="A53" s="1">
        <v>40259</v>
      </c>
      <c r="B53">
        <v>81.599999999999994</v>
      </c>
      <c r="C53">
        <v>2.0979000000000001</v>
      </c>
      <c r="D53">
        <v>2.2562000000000002</v>
      </c>
      <c r="E53" s="2">
        <f t="shared" si="0"/>
        <v>10.944200000000015</v>
      </c>
      <c r="F53" s="2">
        <f t="shared" si="1"/>
        <v>11.260600000000002</v>
      </c>
      <c r="G53" s="2">
        <f t="shared" si="2"/>
        <v>11.892599999999996</v>
      </c>
      <c r="H53" s="2">
        <f t="shared" si="3"/>
        <v>-1.5076586364111577E-2</v>
      </c>
      <c r="I53" s="2">
        <f t="shared" ref="I53:J53" si="52">LN(C52)-LN(C51)</f>
        <v>-2.0211374877586841E-2</v>
      </c>
      <c r="J53" s="2">
        <f t="shared" si="52"/>
        <v>-1.9884337792460016E-2</v>
      </c>
    </row>
    <row r="54" spans="1:10" x14ac:dyDescent="0.45">
      <c r="A54" s="1">
        <v>40260</v>
      </c>
      <c r="B54">
        <v>81.91</v>
      </c>
      <c r="C54">
        <v>2.1143000000000001</v>
      </c>
      <c r="D54">
        <v>2.2625000000000002</v>
      </c>
      <c r="E54" s="2">
        <f t="shared" si="0"/>
        <v>11.040199999999999</v>
      </c>
      <c r="F54" s="2">
        <f t="shared" si="1"/>
        <v>10.944200000000015</v>
      </c>
      <c r="G54" s="2">
        <f t="shared" si="2"/>
        <v>11.260600000000002</v>
      </c>
      <c r="H54" s="2">
        <f t="shared" si="3"/>
        <v>7.7505462720379725E-3</v>
      </c>
      <c r="I54" s="2">
        <f t="shared" ref="I54:J54" si="53">LN(C53)-LN(C52)</f>
        <v>1.0156749028997547E-2</v>
      </c>
      <c r="J54" s="2">
        <f t="shared" si="53"/>
        <v>2.6596923779309556E-4</v>
      </c>
    </row>
    <row r="55" spans="1:10" x14ac:dyDescent="0.45">
      <c r="A55" s="1">
        <v>40261</v>
      </c>
      <c r="B55">
        <v>80.61</v>
      </c>
      <c r="C55">
        <v>2.0834999999999999</v>
      </c>
      <c r="D55">
        <v>2.2225000000000001</v>
      </c>
      <c r="E55" s="2">
        <f t="shared" si="0"/>
        <v>10.789000000000007</v>
      </c>
      <c r="F55" s="2">
        <f t="shared" si="1"/>
        <v>11.040199999999999</v>
      </c>
      <c r="G55" s="2">
        <f t="shared" si="2"/>
        <v>10.944200000000015</v>
      </c>
      <c r="H55" s="2">
        <f t="shared" si="3"/>
        <v>3.791821557449282E-3</v>
      </c>
      <c r="I55" s="2">
        <f t="shared" ref="I55:J55" si="54">LN(C54)-LN(C53)</f>
        <v>7.786944052892153E-3</v>
      </c>
      <c r="J55" s="2">
        <f t="shared" si="54"/>
        <v>2.7884144032611635E-3</v>
      </c>
    </row>
    <row r="56" spans="1:10" x14ac:dyDescent="0.45">
      <c r="A56" s="1">
        <v>40262</v>
      </c>
      <c r="B56">
        <v>80.53</v>
      </c>
      <c r="C56">
        <v>2.0823999999999998</v>
      </c>
      <c r="D56">
        <v>2.2199</v>
      </c>
      <c r="E56" s="2">
        <f t="shared" si="0"/>
        <v>10.78079999999999</v>
      </c>
      <c r="F56" s="2">
        <f t="shared" si="1"/>
        <v>10.789000000000007</v>
      </c>
      <c r="G56" s="2">
        <f t="shared" si="2"/>
        <v>11.040199999999999</v>
      </c>
      <c r="H56" s="2">
        <f t="shared" si="3"/>
        <v>-1.5998372232000513E-2</v>
      </c>
      <c r="I56" s="2">
        <f t="shared" ref="I56:J56" si="55">LN(C55)-LN(C54)</f>
        <v>-1.4674616568315035E-2</v>
      </c>
      <c r="J56" s="2">
        <f t="shared" si="55"/>
        <v>-1.7837708186021595E-2</v>
      </c>
    </row>
    <row r="57" spans="1:10" x14ac:dyDescent="0.45">
      <c r="A57" s="1">
        <v>40263</v>
      </c>
      <c r="B57">
        <v>80</v>
      </c>
      <c r="C57">
        <v>2.0813000000000001</v>
      </c>
      <c r="D57">
        <v>2.2084999999999999</v>
      </c>
      <c r="E57" s="2">
        <f t="shared" si="0"/>
        <v>10.976199999999986</v>
      </c>
      <c r="F57" s="2">
        <f t="shared" si="1"/>
        <v>10.78079999999999</v>
      </c>
      <c r="G57" s="2">
        <f t="shared" si="2"/>
        <v>10.789000000000007</v>
      </c>
      <c r="H57" s="2">
        <f t="shared" si="3"/>
        <v>-9.9292548805607339E-4</v>
      </c>
      <c r="I57" s="2">
        <f t="shared" ref="I57:J57" si="56">LN(C56)-LN(C55)</f>
        <v>-5.2809718215252044E-4</v>
      </c>
      <c r="J57" s="2">
        <f t="shared" si="56"/>
        <v>-1.1705385813380875E-3</v>
      </c>
    </row>
    <row r="58" spans="1:10" x14ac:dyDescent="0.45">
      <c r="A58" s="1">
        <v>40266</v>
      </c>
      <c r="B58">
        <v>82.17</v>
      </c>
      <c r="C58">
        <v>2.1286</v>
      </c>
      <c r="D58">
        <v>2.2627000000000002</v>
      </c>
      <c r="E58" s="2">
        <f t="shared" si="0"/>
        <v>10.98600000000001</v>
      </c>
      <c r="F58" s="2">
        <f t="shared" si="1"/>
        <v>10.976199999999986</v>
      </c>
      <c r="G58" s="2">
        <f t="shared" si="2"/>
        <v>10.78079999999999</v>
      </c>
      <c r="H58" s="2">
        <f t="shared" si="3"/>
        <v>-6.6031511335724602E-3</v>
      </c>
      <c r="I58" s="2">
        <f t="shared" ref="I58:J58" si="57">LN(C57)-LN(C56)</f>
        <v>-5.2837621614976182E-4</v>
      </c>
      <c r="J58" s="2">
        <f t="shared" si="57"/>
        <v>-5.1485977701404284E-3</v>
      </c>
    </row>
    <row r="59" spans="1:10" x14ac:dyDescent="0.45">
      <c r="A59" s="1">
        <v>40267</v>
      </c>
      <c r="B59">
        <v>82.37</v>
      </c>
      <c r="C59">
        <v>2.1316000000000002</v>
      </c>
      <c r="D59">
        <v>2.2721</v>
      </c>
      <c r="E59" s="2">
        <f t="shared" si="0"/>
        <v>11.091199999999995</v>
      </c>
      <c r="F59" s="2">
        <f t="shared" si="1"/>
        <v>10.98600000000001</v>
      </c>
      <c r="G59" s="2">
        <f t="shared" si="2"/>
        <v>10.976199999999986</v>
      </c>
      <c r="H59" s="2">
        <f t="shared" si="3"/>
        <v>2.6763637269215046E-2</v>
      </c>
      <c r="I59" s="2">
        <f t="shared" ref="I59:J59" si="58">LN(C58)-LN(C57)</f>
        <v>2.2471788142738203E-2</v>
      </c>
      <c r="J59" s="2">
        <f t="shared" si="58"/>
        <v>2.4245238420700921E-2</v>
      </c>
    </row>
    <row r="60" spans="1:10" x14ac:dyDescent="0.45">
      <c r="A60" s="1">
        <v>40268</v>
      </c>
      <c r="B60">
        <v>83.76</v>
      </c>
      <c r="C60">
        <v>2.1789999999999998</v>
      </c>
      <c r="D60">
        <v>2.3071999999999999</v>
      </c>
      <c r="E60" s="2">
        <f t="shared" si="0"/>
        <v>11.34759999999998</v>
      </c>
      <c r="F60" s="2">
        <f t="shared" si="1"/>
        <v>11.091199999999995</v>
      </c>
      <c r="G60" s="2">
        <f t="shared" si="2"/>
        <v>10.98600000000001</v>
      </c>
      <c r="H60" s="2">
        <f t="shared" si="3"/>
        <v>2.4310210100608742E-3</v>
      </c>
      <c r="I60" s="2">
        <f t="shared" ref="I60:J60" si="59">LN(C59)-LN(C58)</f>
        <v>1.4083848156832834E-3</v>
      </c>
      <c r="J60" s="2">
        <f t="shared" si="59"/>
        <v>4.1457234996755687E-3</v>
      </c>
    </row>
    <row r="61" spans="1:10" x14ac:dyDescent="0.45">
      <c r="A61" s="1">
        <v>40269</v>
      </c>
      <c r="B61">
        <v>88.3</v>
      </c>
      <c r="C61">
        <v>2.2166999999999999</v>
      </c>
      <c r="D61">
        <v>2.3237000000000001</v>
      </c>
      <c r="E61" s="2">
        <f t="shared" si="0"/>
        <v>7.7974000000000006</v>
      </c>
      <c r="F61" s="2">
        <f t="shared" si="1"/>
        <v>11.34759999999998</v>
      </c>
      <c r="G61" s="2">
        <f t="shared" si="2"/>
        <v>11.091199999999995</v>
      </c>
      <c r="H61" s="2">
        <f t="shared" si="3"/>
        <v>1.6734273609124273E-2</v>
      </c>
      <c r="I61" s="2">
        <f t="shared" ref="I61:J61" si="60">LN(C60)-LN(C59)</f>
        <v>2.1993184521992504E-2</v>
      </c>
      <c r="J61" s="2">
        <f t="shared" si="60"/>
        <v>1.5330154133672225E-2</v>
      </c>
    </row>
    <row r="62" spans="1:10" x14ac:dyDescent="0.45">
      <c r="A62" s="1">
        <v>40273</v>
      </c>
      <c r="B62">
        <v>86.62</v>
      </c>
      <c r="C62">
        <v>2.3199000000000001</v>
      </c>
      <c r="D62">
        <v>2.3502000000000001</v>
      </c>
      <c r="E62" s="2">
        <f t="shared" si="0"/>
        <v>11.664199999999994</v>
      </c>
      <c r="F62" s="2">
        <f t="shared" si="1"/>
        <v>7.7974000000000006</v>
      </c>
      <c r="G62" s="2">
        <f t="shared" si="2"/>
        <v>11.34759999999998</v>
      </c>
      <c r="H62" s="2">
        <f t="shared" si="3"/>
        <v>5.2784541047633304E-2</v>
      </c>
      <c r="I62" s="2">
        <f t="shared" ref="I62:J62" si="61">LN(C61)-LN(C60)</f>
        <v>1.7153547518091838E-2</v>
      </c>
      <c r="J62" s="2">
        <f t="shared" si="61"/>
        <v>7.1260747689373405E-3</v>
      </c>
    </row>
    <row r="63" spans="1:10" x14ac:dyDescent="0.45">
      <c r="A63" s="1">
        <v>40274</v>
      </c>
      <c r="B63">
        <v>86.84</v>
      </c>
      <c r="C63">
        <v>2.2683</v>
      </c>
      <c r="D63">
        <v>2.3483000000000001</v>
      </c>
      <c r="E63" s="2">
        <f t="shared" si="0"/>
        <v>10.668600000000007</v>
      </c>
      <c r="F63" s="2">
        <f t="shared" si="1"/>
        <v>11.664199999999994</v>
      </c>
      <c r="G63" s="2">
        <f t="shared" si="2"/>
        <v>7.7974000000000006</v>
      </c>
      <c r="H63" s="2">
        <f t="shared" si="3"/>
        <v>-1.9209371823434296E-2</v>
      </c>
      <c r="I63" s="2">
        <f t="shared" ref="I63:J63" si="62">LN(C62)-LN(C61)</f>
        <v>4.5504477820387912E-2</v>
      </c>
      <c r="J63" s="2">
        <f t="shared" si="62"/>
        <v>1.133968804027341E-2</v>
      </c>
    </row>
    <row r="64" spans="1:10" x14ac:dyDescent="0.45">
      <c r="A64" s="1">
        <v>40275</v>
      </c>
      <c r="B64">
        <v>85.88</v>
      </c>
      <c r="C64">
        <v>2.2439</v>
      </c>
      <c r="D64">
        <v>2.3147000000000002</v>
      </c>
      <c r="E64" s="2">
        <f t="shared" si="0"/>
        <v>10.34620000000001</v>
      </c>
      <c r="F64" s="2">
        <f t="shared" si="1"/>
        <v>10.668600000000007</v>
      </c>
      <c r="G64" s="2">
        <f t="shared" si="2"/>
        <v>11.664199999999994</v>
      </c>
      <c r="H64" s="2">
        <f t="shared" si="3"/>
        <v>2.5366092236103199E-3</v>
      </c>
      <c r="I64" s="2">
        <f t="shared" ref="I64:J64" si="63">LN(C63)-LN(C62)</f>
        <v>-2.2493429050765568E-2</v>
      </c>
      <c r="J64" s="2">
        <f t="shared" si="63"/>
        <v>-8.0876880007096918E-4</v>
      </c>
    </row>
    <row r="65" spans="1:10" x14ac:dyDescent="0.45">
      <c r="A65" s="1">
        <v>40276</v>
      </c>
      <c r="B65">
        <v>85.39</v>
      </c>
      <c r="C65">
        <v>2.2282000000000002</v>
      </c>
      <c r="D65">
        <v>2.2982999999999998</v>
      </c>
      <c r="E65" s="2">
        <f t="shared" si="0"/>
        <v>10.157199999999989</v>
      </c>
      <c r="F65" s="2">
        <f t="shared" si="1"/>
        <v>10.34620000000001</v>
      </c>
      <c r="G65" s="2">
        <f t="shared" si="2"/>
        <v>10.668600000000007</v>
      </c>
      <c r="H65" s="2">
        <f t="shared" si="3"/>
        <v>-1.1116371999510655E-2</v>
      </c>
      <c r="I65" s="2">
        <f t="shared" ref="I65:J65" si="64">LN(C64)-LN(C63)</f>
        <v>-1.0815228862576909E-2</v>
      </c>
      <c r="J65" s="2">
        <f t="shared" si="64"/>
        <v>-1.4411572609726475E-2</v>
      </c>
    </row>
    <row r="66" spans="1:10" x14ac:dyDescent="0.45">
      <c r="A66" s="1">
        <v>40277</v>
      </c>
      <c r="B66">
        <v>84.92</v>
      </c>
      <c r="C66">
        <v>2.226</v>
      </c>
      <c r="D66">
        <v>2.2892999999999999</v>
      </c>
      <c r="E66" s="2">
        <f t="shared" si="0"/>
        <v>10.344400000000007</v>
      </c>
      <c r="F66" s="2">
        <f t="shared" si="1"/>
        <v>10.157199999999989</v>
      </c>
      <c r="G66" s="2">
        <f t="shared" si="2"/>
        <v>10.34620000000001</v>
      </c>
      <c r="H66" s="2">
        <f t="shared" si="3"/>
        <v>-5.7219750910650902E-3</v>
      </c>
      <c r="I66" s="2">
        <f t="shared" ref="I66:J66" si="65">LN(C65)-LN(C64)</f>
        <v>-7.021338744540806E-3</v>
      </c>
      <c r="J66" s="2">
        <f t="shared" si="65"/>
        <v>-7.1103702991582862E-3</v>
      </c>
    </row>
    <row r="67" spans="1:10" x14ac:dyDescent="0.45">
      <c r="A67" s="1">
        <v>40280</v>
      </c>
      <c r="B67">
        <v>84.34</v>
      </c>
      <c r="C67">
        <v>2.2189000000000001</v>
      </c>
      <c r="D67">
        <v>2.2957999999999998</v>
      </c>
      <c r="E67" s="2">
        <f t="shared" ref="E67:E130" si="66">(2*D67*42+1*C67*42-3*B67)/3</f>
        <v>11.006999999999996</v>
      </c>
      <c r="F67" s="2">
        <f t="shared" si="1"/>
        <v>10.344400000000007</v>
      </c>
      <c r="G67" s="2">
        <f t="shared" si="2"/>
        <v>10.157199999999989</v>
      </c>
      <c r="H67" s="2">
        <f t="shared" si="3"/>
        <v>-5.5193610844597174E-3</v>
      </c>
      <c r="I67" s="2">
        <f t="shared" ref="I67:J67" si="67">LN(C66)-LN(C65)</f>
        <v>-9.878317897260569E-4</v>
      </c>
      <c r="J67" s="2">
        <f t="shared" si="67"/>
        <v>-3.9236252271876992E-3</v>
      </c>
    </row>
    <row r="68" spans="1:10" x14ac:dyDescent="0.45">
      <c r="A68" s="1">
        <v>40281</v>
      </c>
      <c r="B68">
        <v>84.05</v>
      </c>
      <c r="C68">
        <v>2.2141999999999999</v>
      </c>
      <c r="D68">
        <v>2.3092999999999999</v>
      </c>
      <c r="E68" s="2">
        <f t="shared" si="66"/>
        <v>11.609200000000007</v>
      </c>
      <c r="F68" s="2">
        <f t="shared" ref="F68:F131" si="68">E67</f>
        <v>11.006999999999996</v>
      </c>
      <c r="G68" s="2">
        <f t="shared" si="2"/>
        <v>10.344400000000007</v>
      </c>
      <c r="H68" s="2">
        <f t="shared" si="3"/>
        <v>-6.8533885166415232E-3</v>
      </c>
      <c r="I68" s="2">
        <f t="shared" ref="I68:J68" si="69">LN(C67)-LN(C66)</f>
        <v>-3.1946752631192288E-3</v>
      </c>
      <c r="J68" s="2">
        <f t="shared" si="69"/>
        <v>2.835272667699118E-3</v>
      </c>
    </row>
    <row r="69" spans="1:10" x14ac:dyDescent="0.45">
      <c r="A69" s="1">
        <v>40282</v>
      </c>
      <c r="B69">
        <v>85.84</v>
      </c>
      <c r="C69">
        <v>2.2421000000000002</v>
      </c>
      <c r="D69">
        <v>2.3327</v>
      </c>
      <c r="E69" s="2">
        <f t="shared" si="66"/>
        <v>10.865000000000009</v>
      </c>
      <c r="F69" s="2">
        <f t="shared" si="68"/>
        <v>11.609200000000007</v>
      </c>
      <c r="G69" s="2">
        <f t="shared" ref="G69:G132" si="70">E67</f>
        <v>11.006999999999996</v>
      </c>
      <c r="H69" s="2">
        <f t="shared" ref="H69:H132" si="71">LN(B68)-LN(B67)</f>
        <v>-3.4443884637891387E-3</v>
      </c>
      <c r="I69" s="2">
        <f t="shared" ref="I69:J69" si="72">LN(C68)-LN(C67)</f>
        <v>-2.1204131470045073E-3</v>
      </c>
      <c r="J69" s="2">
        <f t="shared" si="72"/>
        <v>5.863081658452729E-3</v>
      </c>
    </row>
    <row r="70" spans="1:10" x14ac:dyDescent="0.45">
      <c r="A70" s="1">
        <v>40283</v>
      </c>
      <c r="B70">
        <v>85.51</v>
      </c>
      <c r="C70">
        <v>2.2523</v>
      </c>
      <c r="D70">
        <v>2.3262</v>
      </c>
      <c r="E70" s="2">
        <f t="shared" si="66"/>
        <v>11.15579999999998</v>
      </c>
      <c r="F70" s="2">
        <f t="shared" si="68"/>
        <v>10.865000000000009</v>
      </c>
      <c r="G70" s="2">
        <f t="shared" si="70"/>
        <v>11.609200000000007</v>
      </c>
      <c r="H70" s="2">
        <f t="shared" si="71"/>
        <v>2.1073238467818278E-2</v>
      </c>
      <c r="I70" s="2">
        <f t="shared" ref="I70:J70" si="73">LN(C69)-LN(C68)</f>
        <v>1.2521762245059409E-2</v>
      </c>
      <c r="J70" s="2">
        <f t="shared" si="73"/>
        <v>1.0081946664661334E-2</v>
      </c>
    </row>
    <row r="71" spans="1:10" x14ac:dyDescent="0.45">
      <c r="A71" s="1">
        <v>40284</v>
      </c>
      <c r="B71">
        <v>84.67</v>
      </c>
      <c r="C71">
        <v>2.2168999999999999</v>
      </c>
      <c r="D71">
        <v>2.2770000000000001</v>
      </c>
      <c r="E71" s="2">
        <f t="shared" si="66"/>
        <v>10.122599999999997</v>
      </c>
      <c r="F71" s="2">
        <f t="shared" si="68"/>
        <v>11.15579999999998</v>
      </c>
      <c r="G71" s="2">
        <f t="shared" si="70"/>
        <v>10.865000000000009</v>
      </c>
      <c r="H71" s="2">
        <f t="shared" si="71"/>
        <v>-3.8517701545792704E-3</v>
      </c>
      <c r="I71" s="2">
        <f t="shared" ref="I71:J71" si="74">LN(C70)-LN(C69)</f>
        <v>4.5389896369066873E-3</v>
      </c>
      <c r="J71" s="2">
        <f t="shared" si="74"/>
        <v>-2.7903600495718939E-3</v>
      </c>
    </row>
    <row r="72" spans="1:10" x14ac:dyDescent="0.45">
      <c r="A72" s="1">
        <v>40287</v>
      </c>
      <c r="B72">
        <v>83.13</v>
      </c>
      <c r="C72">
        <v>2.1568000000000001</v>
      </c>
      <c r="D72">
        <v>2.2544</v>
      </c>
      <c r="E72" s="2">
        <f t="shared" si="66"/>
        <v>10.188400000000001</v>
      </c>
      <c r="F72" s="2">
        <f t="shared" si="68"/>
        <v>10.122599999999997</v>
      </c>
      <c r="G72" s="2">
        <f t="shared" si="70"/>
        <v>11.15579999999998</v>
      </c>
      <c r="H72" s="2">
        <f t="shared" si="71"/>
        <v>-9.8719805136777694E-3</v>
      </c>
      <c r="I72" s="2">
        <f t="shared" ref="I72:J72" si="75">LN(C71)-LN(C70)</f>
        <v>-1.5842092707425204E-2</v>
      </c>
      <c r="J72" s="2">
        <f t="shared" si="75"/>
        <v>-2.1377247841198765E-2</v>
      </c>
    </row>
    <row r="73" spans="1:10" x14ac:dyDescent="0.45">
      <c r="A73" s="1">
        <v>40288</v>
      </c>
      <c r="B73">
        <v>83.85</v>
      </c>
      <c r="C73">
        <v>2.2048999999999999</v>
      </c>
      <c r="D73">
        <v>2.2938000000000001</v>
      </c>
      <c r="E73" s="2">
        <f t="shared" si="66"/>
        <v>11.244999999999996</v>
      </c>
      <c r="F73" s="2">
        <f t="shared" si="68"/>
        <v>10.188400000000001</v>
      </c>
      <c r="G73" s="2">
        <f t="shared" si="70"/>
        <v>10.122599999999997</v>
      </c>
      <c r="H73" s="2">
        <f t="shared" si="71"/>
        <v>-1.8355700111189144E-2</v>
      </c>
      <c r="I73" s="2">
        <f t="shared" ref="I73:J73" si="76">LN(C72)-LN(C71)</f>
        <v>-2.7484181881919367E-2</v>
      </c>
      <c r="J73" s="2">
        <f t="shared" si="76"/>
        <v>-9.9749249193239464E-3</v>
      </c>
    </row>
    <row r="74" spans="1:10" x14ac:dyDescent="0.45">
      <c r="A74" s="1">
        <v>40289</v>
      </c>
      <c r="B74">
        <v>83.68</v>
      </c>
      <c r="C74">
        <v>2.2296999999999998</v>
      </c>
      <c r="D74">
        <v>2.2959000000000001</v>
      </c>
      <c r="E74" s="2">
        <f t="shared" si="66"/>
        <v>11.820999999999989</v>
      </c>
      <c r="F74" s="2">
        <f t="shared" si="68"/>
        <v>11.244999999999996</v>
      </c>
      <c r="G74" s="2">
        <f t="shared" si="70"/>
        <v>10.188400000000001</v>
      </c>
      <c r="H74" s="2">
        <f t="shared" si="71"/>
        <v>8.6238407262211325E-3</v>
      </c>
      <c r="I74" s="2">
        <f t="shared" ref="I74:J74" si="77">LN(C73)-LN(C72)</f>
        <v>2.2056514660626303E-2</v>
      </c>
      <c r="J74" s="2">
        <f t="shared" si="77"/>
        <v>1.732596878600634E-2</v>
      </c>
    </row>
    <row r="75" spans="1:10" x14ac:dyDescent="0.45">
      <c r="A75" s="1">
        <v>40290</v>
      </c>
      <c r="B75">
        <v>83.7</v>
      </c>
      <c r="C75">
        <v>2.2397</v>
      </c>
      <c r="D75">
        <v>2.3102999999999998</v>
      </c>
      <c r="E75" s="2">
        <f t="shared" si="66"/>
        <v>12.344199999999981</v>
      </c>
      <c r="F75" s="2">
        <f t="shared" si="68"/>
        <v>11.820999999999989</v>
      </c>
      <c r="G75" s="2">
        <f t="shared" si="70"/>
        <v>11.244999999999996</v>
      </c>
      <c r="H75" s="2">
        <f t="shared" si="71"/>
        <v>-2.0294879526048248E-3</v>
      </c>
      <c r="I75" s="2">
        <f t="shared" ref="I75:J75" si="78">LN(C74)-LN(C73)</f>
        <v>1.1184890877710574E-2</v>
      </c>
      <c r="J75" s="2">
        <f t="shared" si="78"/>
        <v>9.1509255356303498E-4</v>
      </c>
    </row>
    <row r="76" spans="1:10" x14ac:dyDescent="0.45">
      <c r="A76" s="1">
        <v>40291</v>
      </c>
      <c r="B76">
        <v>85.12</v>
      </c>
      <c r="C76">
        <v>2.2747000000000002</v>
      </c>
      <c r="D76">
        <v>2.3592</v>
      </c>
      <c r="E76" s="2">
        <f t="shared" si="66"/>
        <v>12.783399999999991</v>
      </c>
      <c r="F76" s="2">
        <f t="shared" si="68"/>
        <v>12.344199999999981</v>
      </c>
      <c r="G76" s="2">
        <f t="shared" si="70"/>
        <v>11.820999999999989</v>
      </c>
      <c r="H76" s="2">
        <f t="shared" si="71"/>
        <v>2.3897717881649072E-4</v>
      </c>
      <c r="I76" s="2">
        <f t="shared" ref="I76:J76" si="79">LN(C75)-LN(C74)</f>
        <v>4.4748810521001436E-3</v>
      </c>
      <c r="J76" s="2">
        <f t="shared" si="79"/>
        <v>6.2524627293288892E-3</v>
      </c>
    </row>
    <row r="77" spans="1:10" x14ac:dyDescent="0.45">
      <c r="A77" s="1">
        <v>40294</v>
      </c>
      <c r="B77">
        <v>84.2</v>
      </c>
      <c r="C77">
        <v>2.2637</v>
      </c>
      <c r="D77">
        <v>2.3452999999999999</v>
      </c>
      <c r="E77" s="2">
        <f t="shared" si="66"/>
        <v>13.160199999999994</v>
      </c>
      <c r="F77" s="2">
        <f t="shared" si="68"/>
        <v>12.783399999999991</v>
      </c>
      <c r="G77" s="2">
        <f t="shared" si="70"/>
        <v>12.344199999999981</v>
      </c>
      <c r="H77" s="2">
        <f t="shared" si="71"/>
        <v>1.6823048097904802E-2</v>
      </c>
      <c r="I77" s="2">
        <f t="shared" ref="I77:J77" si="80">LN(C76)-LN(C75)</f>
        <v>1.5506247249391203E-2</v>
      </c>
      <c r="J77" s="2">
        <f t="shared" si="80"/>
        <v>2.094519228775249E-2</v>
      </c>
    </row>
    <row r="78" spans="1:10" x14ac:dyDescent="0.45">
      <c r="A78" s="1">
        <v>40295</v>
      </c>
      <c r="B78">
        <v>82.44</v>
      </c>
      <c r="C78">
        <v>2.2551000000000001</v>
      </c>
      <c r="D78">
        <v>2.3283999999999998</v>
      </c>
      <c r="E78" s="2">
        <f t="shared" si="66"/>
        <v>14.326600000000004</v>
      </c>
      <c r="F78" s="2">
        <f t="shared" si="68"/>
        <v>13.160199999999994</v>
      </c>
      <c r="G78" s="2">
        <f t="shared" si="70"/>
        <v>12.783399999999991</v>
      </c>
      <c r="H78" s="2">
        <f t="shared" si="71"/>
        <v>-1.086710434505278E-2</v>
      </c>
      <c r="I78" s="2">
        <f t="shared" ref="I78:J78" si="81">LN(C77)-LN(C76)</f>
        <v>-4.8475328487360692E-3</v>
      </c>
      <c r="J78" s="2">
        <f t="shared" si="81"/>
        <v>-5.9092530335349558E-3</v>
      </c>
    </row>
    <row r="79" spans="1:10" x14ac:dyDescent="0.45">
      <c r="A79" s="1">
        <v>40296</v>
      </c>
      <c r="B79">
        <v>83.22</v>
      </c>
      <c r="C79">
        <v>2.2542</v>
      </c>
      <c r="D79">
        <v>2.3330000000000002</v>
      </c>
      <c r="E79" s="2">
        <f t="shared" si="66"/>
        <v>13.662800000000013</v>
      </c>
      <c r="F79" s="2">
        <f t="shared" si="68"/>
        <v>14.326600000000004</v>
      </c>
      <c r="G79" s="2">
        <f t="shared" si="70"/>
        <v>13.160199999999994</v>
      </c>
      <c r="H79" s="2">
        <f t="shared" si="71"/>
        <v>-2.112416522602345E-2</v>
      </c>
      <c r="I79" s="2">
        <f t="shared" ref="I79:J79" si="82">LN(C78)-LN(C77)</f>
        <v>-3.806324857547172E-3</v>
      </c>
      <c r="J79" s="2">
        <f t="shared" si="82"/>
        <v>-7.2319890699511502E-3</v>
      </c>
    </row>
    <row r="80" spans="1:10" x14ac:dyDescent="0.45">
      <c r="A80" s="1">
        <v>40297</v>
      </c>
      <c r="B80">
        <v>85.17</v>
      </c>
      <c r="C80">
        <v>2.2782</v>
      </c>
      <c r="D80">
        <v>2.3567999999999998</v>
      </c>
      <c r="E80" s="2">
        <f t="shared" si="66"/>
        <v>12.715200000000001</v>
      </c>
      <c r="F80" s="2">
        <f t="shared" si="68"/>
        <v>13.662800000000013</v>
      </c>
      <c r="G80" s="2">
        <f t="shared" si="70"/>
        <v>14.326600000000004</v>
      </c>
      <c r="H80" s="2">
        <f t="shared" si="71"/>
        <v>9.4169475325367458E-3</v>
      </c>
      <c r="I80" s="2">
        <f t="shared" ref="I80:J80" si="83">LN(C79)-LN(C78)</f>
        <v>-3.9917504355468925E-4</v>
      </c>
      <c r="J80" s="2">
        <f t="shared" si="83"/>
        <v>1.9736566238496289E-3</v>
      </c>
    </row>
    <row r="81" spans="1:10" x14ac:dyDescent="0.45">
      <c r="A81" s="1">
        <v>40298</v>
      </c>
      <c r="B81">
        <v>86.15</v>
      </c>
      <c r="C81">
        <v>2.3157000000000001</v>
      </c>
      <c r="D81">
        <v>2.3994</v>
      </c>
      <c r="E81" s="2">
        <f t="shared" si="66"/>
        <v>13.452999999999975</v>
      </c>
      <c r="F81" s="2">
        <f t="shared" si="68"/>
        <v>12.715200000000001</v>
      </c>
      <c r="G81" s="2">
        <f t="shared" si="70"/>
        <v>13.662800000000013</v>
      </c>
      <c r="H81" s="2">
        <f t="shared" si="71"/>
        <v>2.3161555598194994E-2</v>
      </c>
      <c r="I81" s="2">
        <f t="shared" ref="I81:J81" si="84">LN(C80)-LN(C79)</f>
        <v>1.0590514657833339E-2</v>
      </c>
      <c r="J81" s="2">
        <f t="shared" si="84"/>
        <v>1.0149773686935704E-2</v>
      </c>
    </row>
    <row r="82" spans="1:10" x14ac:dyDescent="0.45">
      <c r="A82" s="1">
        <v>40301</v>
      </c>
      <c r="B82">
        <v>86.19</v>
      </c>
      <c r="C82">
        <v>2.3451</v>
      </c>
      <c r="D82">
        <v>2.4350999999999998</v>
      </c>
      <c r="E82" s="2">
        <f t="shared" si="66"/>
        <v>14.824199999999999</v>
      </c>
      <c r="F82" s="2">
        <f t="shared" si="68"/>
        <v>13.452999999999975</v>
      </c>
      <c r="G82" s="2">
        <f t="shared" si="70"/>
        <v>12.715200000000001</v>
      </c>
      <c r="H82" s="2">
        <f t="shared" si="71"/>
        <v>1.1440703820948528E-2</v>
      </c>
      <c r="I82" s="2">
        <f t="shared" ref="I82:J82" si="85">LN(C81)-LN(C80)</f>
        <v>1.632636015810629E-2</v>
      </c>
      <c r="J82" s="2">
        <f t="shared" si="85"/>
        <v>1.7913939372461885E-2</v>
      </c>
    </row>
    <row r="83" spans="1:10" x14ac:dyDescent="0.45">
      <c r="A83" s="1">
        <v>40302</v>
      </c>
      <c r="B83">
        <v>82.74</v>
      </c>
      <c r="C83">
        <v>2.2595000000000001</v>
      </c>
      <c r="D83">
        <v>2.3222</v>
      </c>
      <c r="E83" s="2">
        <f t="shared" si="66"/>
        <v>13.914600000000007</v>
      </c>
      <c r="F83" s="2">
        <f t="shared" si="68"/>
        <v>14.824199999999999</v>
      </c>
      <c r="G83" s="2">
        <f t="shared" si="70"/>
        <v>13.452999999999975</v>
      </c>
      <c r="H83" s="2">
        <f t="shared" si="71"/>
        <v>4.6419868536951014E-4</v>
      </c>
      <c r="I83" s="2">
        <f t="shared" ref="I83:J83" si="86">LN(C82)-LN(C81)</f>
        <v>1.2616027270476504E-2</v>
      </c>
      <c r="J83" s="2">
        <f t="shared" si="86"/>
        <v>1.4769117354411998E-2</v>
      </c>
    </row>
    <row r="84" spans="1:10" x14ac:dyDescent="0.45">
      <c r="A84" s="1">
        <v>40303</v>
      </c>
      <c r="B84">
        <v>79.97</v>
      </c>
      <c r="C84">
        <v>2.1844999999999999</v>
      </c>
      <c r="D84">
        <v>2.2204000000000002</v>
      </c>
      <c r="E84" s="2">
        <f t="shared" si="66"/>
        <v>12.784200000000007</v>
      </c>
      <c r="F84" s="2">
        <f t="shared" si="68"/>
        <v>13.914600000000007</v>
      </c>
      <c r="G84" s="2">
        <f t="shared" si="70"/>
        <v>14.824199999999999</v>
      </c>
      <c r="H84" s="2">
        <f t="shared" si="71"/>
        <v>-4.08510006260423E-2</v>
      </c>
      <c r="I84" s="2">
        <f t="shared" ref="I84:J84" si="87">LN(C83)-LN(C82)</f>
        <v>-3.7184495043059984E-2</v>
      </c>
      <c r="J84" s="2">
        <f t="shared" si="87"/>
        <v>-4.7472811242333823E-2</v>
      </c>
    </row>
    <row r="85" spans="1:10" x14ac:dyDescent="0.45">
      <c r="A85" s="1">
        <v>40304</v>
      </c>
      <c r="B85">
        <v>77.11</v>
      </c>
      <c r="C85">
        <v>2.1137000000000001</v>
      </c>
      <c r="D85">
        <v>2.1562999999999999</v>
      </c>
      <c r="E85" s="2">
        <f t="shared" si="66"/>
        <v>12.858200000000011</v>
      </c>
      <c r="F85" s="2">
        <f t="shared" si="68"/>
        <v>12.784200000000007</v>
      </c>
      <c r="G85" s="2">
        <f t="shared" si="70"/>
        <v>13.914600000000007</v>
      </c>
      <c r="H85" s="2">
        <f t="shared" si="71"/>
        <v>-3.4051596689467445E-2</v>
      </c>
      <c r="I85" s="2">
        <f t="shared" ref="I85:J85" si="88">LN(C84)-LN(C83)</f>
        <v>-3.3756580459843866E-2</v>
      </c>
      <c r="J85" s="2">
        <f t="shared" si="88"/>
        <v>-4.4827652376899452E-2</v>
      </c>
    </row>
    <row r="86" spans="1:10" x14ac:dyDescent="0.45">
      <c r="A86" s="1">
        <v>40305</v>
      </c>
      <c r="B86">
        <v>75.11</v>
      </c>
      <c r="C86">
        <v>2.0794999999999999</v>
      </c>
      <c r="D86">
        <v>2.1251000000000002</v>
      </c>
      <c r="E86" s="2">
        <f t="shared" si="66"/>
        <v>13.505800000000002</v>
      </c>
      <c r="F86" s="2">
        <f t="shared" si="68"/>
        <v>12.858200000000011</v>
      </c>
      <c r="G86" s="2">
        <f t="shared" si="70"/>
        <v>12.784200000000007</v>
      </c>
      <c r="H86" s="2">
        <f t="shared" si="71"/>
        <v>-3.6418590498929149E-2</v>
      </c>
      <c r="I86" s="2">
        <f t="shared" ref="I86:J86" si="89">LN(C85)-LN(C84)</f>
        <v>-3.2947003100699424E-2</v>
      </c>
      <c r="J86" s="2">
        <f t="shared" si="89"/>
        <v>-2.9293569899386362E-2</v>
      </c>
    </row>
    <row r="87" spans="1:10" x14ac:dyDescent="0.45">
      <c r="A87" s="1">
        <v>40308</v>
      </c>
      <c r="B87">
        <v>76.8</v>
      </c>
      <c r="C87">
        <v>2.1202000000000001</v>
      </c>
      <c r="D87">
        <v>2.1726000000000001</v>
      </c>
      <c r="E87" s="2">
        <f t="shared" si="66"/>
        <v>13.715600000000014</v>
      </c>
      <c r="F87" s="2">
        <f t="shared" si="68"/>
        <v>13.505800000000002</v>
      </c>
      <c r="G87" s="2">
        <f t="shared" si="70"/>
        <v>12.858200000000011</v>
      </c>
      <c r="H87" s="2">
        <f t="shared" si="71"/>
        <v>-2.6279268146948809E-2</v>
      </c>
      <c r="I87" s="2">
        <f t="shared" ref="I87:J87" si="90">LN(C86)-LN(C85)</f>
        <v>-1.6312486107824764E-2</v>
      </c>
      <c r="J87" s="2">
        <f t="shared" si="90"/>
        <v>-1.4574929841804973E-2</v>
      </c>
    </row>
    <row r="88" spans="1:10" x14ac:dyDescent="0.45">
      <c r="A88" s="1">
        <v>40309</v>
      </c>
      <c r="B88">
        <v>76.37</v>
      </c>
      <c r="C88">
        <v>2.1400999999999999</v>
      </c>
      <c r="D88">
        <v>2.1951999999999998</v>
      </c>
      <c r="E88" s="2">
        <f t="shared" si="66"/>
        <v>15.056999999999979</v>
      </c>
      <c r="F88" s="2">
        <f t="shared" si="68"/>
        <v>13.715600000000014</v>
      </c>
      <c r="G88" s="2">
        <f t="shared" si="70"/>
        <v>13.505800000000002</v>
      </c>
      <c r="H88" s="2">
        <f t="shared" si="71"/>
        <v>2.2250934455706251E-2</v>
      </c>
      <c r="I88" s="2">
        <f t="shared" ref="I88:J88" si="91">LN(C87)-LN(C86)</f>
        <v>1.9382943656030993E-2</v>
      </c>
      <c r="J88" s="2">
        <f t="shared" si="91"/>
        <v>2.2105746924835579E-2</v>
      </c>
    </row>
    <row r="89" spans="1:10" x14ac:dyDescent="0.45">
      <c r="A89" s="1">
        <v>40310</v>
      </c>
      <c r="B89">
        <v>75.650000000000006</v>
      </c>
      <c r="C89">
        <v>2.1591</v>
      </c>
      <c r="D89">
        <v>2.2103999999999999</v>
      </c>
      <c r="E89" s="2">
        <f t="shared" si="66"/>
        <v>16.468599999999991</v>
      </c>
      <c r="F89" s="2">
        <f t="shared" si="68"/>
        <v>15.056999999999979</v>
      </c>
      <c r="G89" s="2">
        <f t="shared" si="70"/>
        <v>13.715600000000014</v>
      </c>
      <c r="H89" s="2">
        <f t="shared" si="71"/>
        <v>-5.6146912533332483E-3</v>
      </c>
      <c r="I89" s="2">
        <f t="shared" ref="I89:J89" si="92">LN(C88)-LN(C87)</f>
        <v>9.3421330570979677E-3</v>
      </c>
      <c r="J89" s="2">
        <f t="shared" si="92"/>
        <v>1.0348551531915384E-2</v>
      </c>
    </row>
    <row r="90" spans="1:10" x14ac:dyDescent="0.45">
      <c r="A90" s="1">
        <v>40311</v>
      </c>
      <c r="B90">
        <v>74.400000000000006</v>
      </c>
      <c r="C90">
        <v>2.1318999999999999</v>
      </c>
      <c r="D90">
        <v>2.1951000000000001</v>
      </c>
      <c r="E90" s="2">
        <f t="shared" si="66"/>
        <v>16.909399999999994</v>
      </c>
      <c r="F90" s="2">
        <f t="shared" si="68"/>
        <v>16.468599999999991</v>
      </c>
      <c r="G90" s="2">
        <f t="shared" si="70"/>
        <v>15.056999999999979</v>
      </c>
      <c r="H90" s="2">
        <f t="shared" si="71"/>
        <v>-9.472508665927748E-3</v>
      </c>
      <c r="I90" s="2">
        <f t="shared" ref="I90:J90" si="93">LN(C89)-LN(C88)</f>
        <v>8.8389112857729657E-3</v>
      </c>
      <c r="J90" s="2">
        <f t="shared" si="93"/>
        <v>6.9003360776407341E-3</v>
      </c>
    </row>
    <row r="91" spans="1:10" x14ac:dyDescent="0.45">
      <c r="A91" s="1">
        <v>40312</v>
      </c>
      <c r="B91">
        <v>71.61</v>
      </c>
      <c r="C91">
        <v>2.0606</v>
      </c>
      <c r="D91">
        <v>2.1307999999999998</v>
      </c>
      <c r="E91" s="2">
        <f t="shared" si="66"/>
        <v>16.900799999999986</v>
      </c>
      <c r="F91" s="2">
        <f t="shared" si="68"/>
        <v>16.909399999999994</v>
      </c>
      <c r="G91" s="2">
        <f t="shared" si="70"/>
        <v>16.468599999999991</v>
      </c>
      <c r="H91" s="2">
        <f t="shared" si="71"/>
        <v>-1.666149839531883E-2</v>
      </c>
      <c r="I91" s="2">
        <f t="shared" ref="I91:J91" si="94">LN(C90)-LN(C89)</f>
        <v>-1.2677867311371993E-2</v>
      </c>
      <c r="J91" s="2">
        <f t="shared" si="94"/>
        <v>-6.9458910511126515E-3</v>
      </c>
    </row>
    <row r="92" spans="1:10" x14ac:dyDescent="0.45">
      <c r="A92" s="1">
        <v>40315</v>
      </c>
      <c r="B92">
        <v>70.08</v>
      </c>
      <c r="C92">
        <v>1.9852000000000001</v>
      </c>
      <c r="D92">
        <v>2.0430999999999999</v>
      </c>
      <c r="E92" s="2">
        <f t="shared" si="66"/>
        <v>14.919599999999994</v>
      </c>
      <c r="F92" s="2">
        <f t="shared" si="68"/>
        <v>16.900799999999986</v>
      </c>
      <c r="G92" s="2">
        <f t="shared" si="70"/>
        <v>16.909399999999994</v>
      </c>
      <c r="H92" s="2">
        <f t="shared" si="71"/>
        <v>-3.822121282019797E-2</v>
      </c>
      <c r="I92" s="2">
        <f t="shared" ref="I92:J92" si="95">LN(C91)-LN(C90)</f>
        <v>-3.4016398359528632E-2</v>
      </c>
      <c r="J92" s="2">
        <f t="shared" si="95"/>
        <v>-2.973010751525007E-2</v>
      </c>
    </row>
    <row r="93" spans="1:10" x14ac:dyDescent="0.45">
      <c r="A93" s="1">
        <v>40316</v>
      </c>
      <c r="B93">
        <v>72.7</v>
      </c>
      <c r="C93">
        <v>1.9615</v>
      </c>
      <c r="D93">
        <v>2.0430999999999999</v>
      </c>
      <c r="E93" s="2">
        <f t="shared" si="66"/>
        <v>11.967799999999992</v>
      </c>
      <c r="F93" s="2">
        <f t="shared" si="68"/>
        <v>14.919599999999994</v>
      </c>
      <c r="G93" s="2">
        <f t="shared" si="70"/>
        <v>16.900799999999986</v>
      </c>
      <c r="H93" s="2">
        <f t="shared" si="71"/>
        <v>-2.1597282390712458E-2</v>
      </c>
      <c r="I93" s="2">
        <f t="shared" ref="I93:J93" si="96">LN(C92)-LN(C91)</f>
        <v>-3.7277537797681837E-2</v>
      </c>
      <c r="J93" s="2">
        <f t="shared" si="96"/>
        <v>-4.2029233797077792E-2</v>
      </c>
    </row>
    <row r="94" spans="1:10" x14ac:dyDescent="0.45">
      <c r="A94" s="1">
        <v>40317</v>
      </c>
      <c r="B94">
        <v>72.48</v>
      </c>
      <c r="C94">
        <v>1.9452</v>
      </c>
      <c r="D94">
        <v>2.0152000000000001</v>
      </c>
      <c r="E94" s="2">
        <f t="shared" si="66"/>
        <v>11.178400000000011</v>
      </c>
      <c r="F94" s="2">
        <f t="shared" si="68"/>
        <v>11.967799999999992</v>
      </c>
      <c r="G94" s="2">
        <f t="shared" si="70"/>
        <v>14.919599999999994</v>
      </c>
      <c r="H94" s="2">
        <f t="shared" si="71"/>
        <v>3.6703937911337192E-2</v>
      </c>
      <c r="I94" s="2">
        <f t="shared" ref="I94:J94" si="97">LN(C93)-LN(C92)</f>
        <v>-1.2010178063678545E-2</v>
      </c>
      <c r="J94" s="2">
        <f t="shared" si="97"/>
        <v>0</v>
      </c>
    </row>
    <row r="95" spans="1:10" x14ac:dyDescent="0.45">
      <c r="A95" s="1">
        <v>40318</v>
      </c>
      <c r="B95">
        <v>70.8</v>
      </c>
      <c r="C95">
        <v>1.9161999999999999</v>
      </c>
      <c r="D95">
        <v>1.9591000000000001</v>
      </c>
      <c r="E95" s="2">
        <f t="shared" si="66"/>
        <v>10.881600000000011</v>
      </c>
      <c r="F95" s="2">
        <f t="shared" si="68"/>
        <v>11.178400000000011</v>
      </c>
      <c r="G95" s="2">
        <f t="shared" si="70"/>
        <v>11.967799999999992</v>
      </c>
      <c r="H95" s="2">
        <f t="shared" si="71"/>
        <v>-3.0307228047492529E-3</v>
      </c>
      <c r="I95" s="2">
        <f t="shared" ref="I95:J95" si="98">LN(C94)-LN(C93)</f>
        <v>-8.3446871199764905E-3</v>
      </c>
      <c r="J95" s="2">
        <f t="shared" si="98"/>
        <v>-1.3749816207365706E-2</v>
      </c>
    </row>
    <row r="96" spans="1:10" x14ac:dyDescent="0.45">
      <c r="A96" s="1">
        <v>40319</v>
      </c>
      <c r="B96">
        <v>70.040000000000006</v>
      </c>
      <c r="C96">
        <v>1.9109</v>
      </c>
      <c r="D96">
        <v>1.9528000000000001</v>
      </c>
      <c r="E96" s="2">
        <f t="shared" si="66"/>
        <v>11.391</v>
      </c>
      <c r="F96" s="2">
        <f t="shared" si="68"/>
        <v>10.881600000000011</v>
      </c>
      <c r="G96" s="2">
        <f t="shared" si="70"/>
        <v>11.178400000000011</v>
      </c>
      <c r="H96" s="2">
        <f t="shared" si="71"/>
        <v>-2.3451661035050364E-2</v>
      </c>
      <c r="I96" s="2">
        <f t="shared" ref="I96:J96" si="99">LN(C95)-LN(C94)</f>
        <v>-1.502074131285791E-2</v>
      </c>
      <c r="J96" s="2">
        <f t="shared" si="99"/>
        <v>-2.823326194441389E-2</v>
      </c>
    </row>
    <row r="97" spans="1:10" x14ac:dyDescent="0.45">
      <c r="A97" s="1">
        <v>40322</v>
      </c>
      <c r="B97">
        <v>70.209999999999994</v>
      </c>
      <c r="C97">
        <v>1.9136</v>
      </c>
      <c r="D97">
        <v>1.9571000000000001</v>
      </c>
      <c r="E97" s="2">
        <f t="shared" si="66"/>
        <v>11.379200000000006</v>
      </c>
      <c r="F97" s="2">
        <f t="shared" si="68"/>
        <v>11.391</v>
      </c>
      <c r="G97" s="2">
        <f t="shared" si="70"/>
        <v>10.881600000000011</v>
      </c>
      <c r="H97" s="2">
        <f t="shared" si="71"/>
        <v>-1.0792493282022697E-2</v>
      </c>
      <c r="I97" s="2">
        <f t="shared" ref="I97:J97" si="100">LN(C96)-LN(C95)</f>
        <v>-2.7697229694472192E-3</v>
      </c>
      <c r="J97" s="2">
        <f t="shared" si="100"/>
        <v>-3.2209440152362045E-3</v>
      </c>
    </row>
    <row r="98" spans="1:10" x14ac:dyDescent="0.45">
      <c r="A98" s="1">
        <v>40323</v>
      </c>
      <c r="B98">
        <v>68.75</v>
      </c>
      <c r="C98">
        <v>1.8842000000000001</v>
      </c>
      <c r="D98">
        <v>1.9193</v>
      </c>
      <c r="E98" s="2">
        <f t="shared" si="66"/>
        <v>11.369200000000006</v>
      </c>
      <c r="F98" s="2">
        <f t="shared" si="68"/>
        <v>11.379200000000006</v>
      </c>
      <c r="G98" s="2">
        <f t="shared" si="70"/>
        <v>11.391</v>
      </c>
      <c r="H98" s="2">
        <f t="shared" si="71"/>
        <v>2.4242436115065047E-3</v>
      </c>
      <c r="I98" s="2">
        <f t="shared" ref="I98:J98" si="101">LN(C97)-LN(C96)</f>
        <v>1.4119495089869316E-3</v>
      </c>
      <c r="J98" s="2">
        <f t="shared" si="101"/>
        <v>2.1995456321730611E-3</v>
      </c>
    </row>
    <row r="99" spans="1:10" x14ac:dyDescent="0.45">
      <c r="A99" s="1">
        <v>40324</v>
      </c>
      <c r="B99">
        <v>71.510000000000005</v>
      </c>
      <c r="C99">
        <v>1.9323999999999999</v>
      </c>
      <c r="D99">
        <v>1.9648000000000001</v>
      </c>
      <c r="E99" s="2">
        <f t="shared" si="66"/>
        <v>10.557999999999993</v>
      </c>
      <c r="F99" s="2">
        <f t="shared" si="68"/>
        <v>11.369200000000006</v>
      </c>
      <c r="G99" s="2">
        <f t="shared" si="70"/>
        <v>11.379200000000006</v>
      </c>
      <c r="H99" s="2">
        <f t="shared" si="71"/>
        <v>-2.101401448247664E-2</v>
      </c>
      <c r="I99" s="2">
        <f t="shared" ref="I99:J99" si="102">LN(C98)-LN(C97)</f>
        <v>-1.5482957141745191E-2</v>
      </c>
      <c r="J99" s="2">
        <f t="shared" si="102"/>
        <v>-1.9503249499090991E-2</v>
      </c>
    </row>
    <row r="100" spans="1:10" x14ac:dyDescent="0.45">
      <c r="A100" s="1">
        <v>40325</v>
      </c>
      <c r="B100">
        <v>74.55</v>
      </c>
      <c r="C100">
        <v>2.0097</v>
      </c>
      <c r="D100">
        <v>2.0354000000000001</v>
      </c>
      <c r="E100" s="2">
        <f t="shared" si="66"/>
        <v>10.577000000000007</v>
      </c>
      <c r="F100" s="2">
        <f t="shared" si="68"/>
        <v>10.557999999999993</v>
      </c>
      <c r="G100" s="2">
        <f t="shared" si="70"/>
        <v>11.369200000000006</v>
      </c>
      <c r="H100" s="2">
        <f t="shared" si="71"/>
        <v>3.9360563513623603E-2</v>
      </c>
      <c r="I100" s="2">
        <f t="shared" ref="I100:J100" si="103">LN(C99)-LN(C98)</f>
        <v>2.525942606568421E-2</v>
      </c>
      <c r="J100" s="2">
        <f t="shared" si="103"/>
        <v>2.3429922740990872E-2</v>
      </c>
    </row>
    <row r="101" spans="1:10" x14ac:dyDescent="0.45">
      <c r="A101" s="1">
        <v>40326</v>
      </c>
      <c r="B101">
        <v>73.97</v>
      </c>
      <c r="C101">
        <v>2.0045000000000002</v>
      </c>
      <c r="D101">
        <v>2.0266000000000002</v>
      </c>
      <c r="E101" s="2">
        <f t="shared" si="66"/>
        <v>10.837800000000007</v>
      </c>
      <c r="F101" s="2">
        <f t="shared" si="68"/>
        <v>10.577000000000007</v>
      </c>
      <c r="G101" s="2">
        <f t="shared" si="70"/>
        <v>10.557999999999993</v>
      </c>
      <c r="H101" s="2">
        <f t="shared" si="71"/>
        <v>4.1632741150443131E-2</v>
      </c>
      <c r="I101" s="2">
        <f t="shared" ref="I101:J101" si="104">LN(C100)-LN(C99)</f>
        <v>3.9222703502080014E-2</v>
      </c>
      <c r="J101" s="2">
        <f t="shared" si="104"/>
        <v>3.5301900805007946E-2</v>
      </c>
    </row>
    <row r="102" spans="1:10" x14ac:dyDescent="0.45">
      <c r="A102" s="1">
        <v>40330</v>
      </c>
      <c r="B102">
        <v>72.58</v>
      </c>
      <c r="C102">
        <v>1.9703999999999999</v>
      </c>
      <c r="D102">
        <v>1.9824999999999999</v>
      </c>
      <c r="E102" s="2">
        <f t="shared" si="66"/>
        <v>10.515599999999997</v>
      </c>
      <c r="F102" s="2">
        <f t="shared" si="68"/>
        <v>10.837800000000007</v>
      </c>
      <c r="G102" s="2">
        <f t="shared" si="70"/>
        <v>10.577000000000007</v>
      </c>
      <c r="H102" s="2">
        <f t="shared" si="71"/>
        <v>-7.8104356109713891E-3</v>
      </c>
      <c r="I102" s="2">
        <f t="shared" ref="I102:J102" si="105">LN(C101)-LN(C100)</f>
        <v>-2.5908040997698611E-3</v>
      </c>
      <c r="J102" s="2">
        <f t="shared" si="105"/>
        <v>-4.3328477436139767E-3</v>
      </c>
    </row>
    <row r="103" spans="1:10" x14ac:dyDescent="0.45">
      <c r="A103" s="1">
        <v>40331</v>
      </c>
      <c r="B103">
        <v>72.86</v>
      </c>
      <c r="C103">
        <v>2.0059</v>
      </c>
      <c r="D103">
        <v>2.0261</v>
      </c>
      <c r="E103" s="2">
        <f t="shared" si="66"/>
        <v>11.953400000000007</v>
      </c>
      <c r="F103" s="2">
        <f t="shared" si="68"/>
        <v>10.515599999999997</v>
      </c>
      <c r="G103" s="2">
        <f t="shared" si="70"/>
        <v>10.837800000000007</v>
      </c>
      <c r="H103" s="2">
        <f t="shared" si="71"/>
        <v>-1.8970203814851594E-2</v>
      </c>
      <c r="I103" s="2">
        <f t="shared" ref="I103:J103" si="106">LN(C102)-LN(C101)</f>
        <v>-1.7158085276233637E-2</v>
      </c>
      <c r="J103" s="2">
        <f t="shared" si="106"/>
        <v>-2.200083750521431E-2</v>
      </c>
    </row>
    <row r="104" spans="1:10" x14ac:dyDescent="0.45">
      <c r="A104" s="1">
        <v>40332</v>
      </c>
      <c r="B104">
        <v>74.61</v>
      </c>
      <c r="C104">
        <v>2.0390999999999999</v>
      </c>
      <c r="D104">
        <v>2.0811999999999999</v>
      </c>
      <c r="E104" s="2">
        <f t="shared" si="66"/>
        <v>12.210999999999993</v>
      </c>
      <c r="F104" s="2">
        <f t="shared" si="68"/>
        <v>11.953400000000007</v>
      </c>
      <c r="G104" s="2">
        <f t="shared" si="70"/>
        <v>10.515599999999997</v>
      </c>
      <c r="H104" s="2">
        <f t="shared" si="71"/>
        <v>3.8503897954926813E-3</v>
      </c>
      <c r="I104" s="2">
        <f t="shared" ref="I104:J104" si="107">LN(C103)-LN(C102)</f>
        <v>1.7856270024323773E-2</v>
      </c>
      <c r="J104" s="2">
        <f t="shared" si="107"/>
        <v>2.1754088423102558E-2</v>
      </c>
    </row>
    <row r="105" spans="1:10" x14ac:dyDescent="0.45">
      <c r="A105" s="1">
        <v>40333</v>
      </c>
      <c r="B105">
        <v>71.510000000000005</v>
      </c>
      <c r="C105">
        <v>1.9577</v>
      </c>
      <c r="D105">
        <v>1.9953000000000001</v>
      </c>
      <c r="E105" s="2">
        <f t="shared" si="66"/>
        <v>11.766199999999989</v>
      </c>
      <c r="F105" s="2">
        <f t="shared" si="68"/>
        <v>12.210999999999993</v>
      </c>
      <c r="G105" s="2">
        <f t="shared" si="70"/>
        <v>11.953400000000007</v>
      </c>
      <c r="H105" s="2">
        <f t="shared" si="71"/>
        <v>2.3734754903006028E-2</v>
      </c>
      <c r="I105" s="2">
        <f t="shared" ref="I105:J105" si="108">LN(C104)-LN(C103)</f>
        <v>1.6415696190050344E-2</v>
      </c>
      <c r="J105" s="2">
        <f t="shared" si="108"/>
        <v>2.683188748404286E-2</v>
      </c>
    </row>
    <row r="106" spans="1:10" x14ac:dyDescent="0.45">
      <c r="A106" s="1">
        <v>40336</v>
      </c>
      <c r="B106">
        <v>71.44</v>
      </c>
      <c r="C106">
        <v>1.9682999999999999</v>
      </c>
      <c r="D106">
        <v>1.9948999999999999</v>
      </c>
      <c r="E106" s="2">
        <f t="shared" si="66"/>
        <v>11.973399999999998</v>
      </c>
      <c r="F106" s="2">
        <f t="shared" si="68"/>
        <v>11.766199999999989</v>
      </c>
      <c r="G106" s="2">
        <f t="shared" si="70"/>
        <v>12.210999999999993</v>
      </c>
      <c r="H106" s="2">
        <f t="shared" si="71"/>
        <v>-4.2437246423118857E-2</v>
      </c>
      <c r="I106" s="2">
        <f t="shared" ref="I106:J106" si="109">LN(C105)-LN(C104)</f>
        <v>-4.0738219238205309E-2</v>
      </c>
      <c r="J106" s="2">
        <f t="shared" si="109"/>
        <v>-4.2150235457663165E-2</v>
      </c>
    </row>
    <row r="107" spans="1:10" x14ac:dyDescent="0.45">
      <c r="A107" s="1">
        <v>40337</v>
      </c>
      <c r="B107">
        <v>71.989999999999995</v>
      </c>
      <c r="C107">
        <v>1.9653</v>
      </c>
      <c r="D107">
        <v>1.9891000000000001</v>
      </c>
      <c r="E107" s="2">
        <f t="shared" si="66"/>
        <v>11.219000000000014</v>
      </c>
      <c r="F107" s="2">
        <f t="shared" si="68"/>
        <v>11.973399999999998</v>
      </c>
      <c r="G107" s="2">
        <f t="shared" si="70"/>
        <v>11.766199999999989</v>
      </c>
      <c r="H107" s="2">
        <f t="shared" si="71"/>
        <v>-9.7936349206051432E-4</v>
      </c>
      <c r="I107" s="2">
        <f t="shared" ref="I107:J107" si="110">LN(C106)-LN(C105)</f>
        <v>5.3999112364445656E-3</v>
      </c>
      <c r="J107" s="2">
        <f t="shared" si="110"/>
        <v>-2.0049120412013455E-4</v>
      </c>
    </row>
    <row r="108" spans="1:10" x14ac:dyDescent="0.45">
      <c r="A108" s="1">
        <v>40338</v>
      </c>
      <c r="B108">
        <v>74.38</v>
      </c>
      <c r="C108">
        <v>2.0095999999999998</v>
      </c>
      <c r="D108">
        <v>2.0396999999999998</v>
      </c>
      <c r="E108" s="2">
        <f t="shared" si="66"/>
        <v>10.865999999999994</v>
      </c>
      <c r="F108" s="2">
        <f t="shared" si="68"/>
        <v>11.219000000000014</v>
      </c>
      <c r="G108" s="2">
        <f t="shared" si="70"/>
        <v>11.973399999999998</v>
      </c>
      <c r="H108" s="2">
        <f t="shared" si="71"/>
        <v>7.6692839129677282E-3</v>
      </c>
      <c r="I108" s="2">
        <f t="shared" ref="I108:J108" si="111">LN(C107)-LN(C106)</f>
        <v>-1.5253206130011465E-3</v>
      </c>
      <c r="J108" s="2">
        <f t="shared" si="111"/>
        <v>-2.9116486433500288E-3</v>
      </c>
    </row>
    <row r="109" spans="1:10" x14ac:dyDescent="0.45">
      <c r="A109" s="1">
        <v>40339</v>
      </c>
      <c r="B109">
        <v>75.48</v>
      </c>
      <c r="C109">
        <v>2.0327999999999999</v>
      </c>
      <c r="D109">
        <v>2.0705</v>
      </c>
      <c r="E109" s="2">
        <f t="shared" si="66"/>
        <v>10.953200000000001</v>
      </c>
      <c r="F109" s="2">
        <f t="shared" si="68"/>
        <v>10.865999999999994</v>
      </c>
      <c r="G109" s="2">
        <f t="shared" si="70"/>
        <v>11.219000000000014</v>
      </c>
      <c r="H109" s="2">
        <f t="shared" si="71"/>
        <v>3.2659868015712412E-2</v>
      </c>
      <c r="I109" s="2">
        <f t="shared" ref="I109:J109" si="112">LN(C108)-LN(C107)</f>
        <v>2.2290791867939141E-2</v>
      </c>
      <c r="J109" s="2">
        <f t="shared" si="112"/>
        <v>2.5120463089508438E-2</v>
      </c>
    </row>
    <row r="110" spans="1:10" x14ac:dyDescent="0.45">
      <c r="A110" s="1">
        <v>40340</v>
      </c>
      <c r="B110">
        <v>73.78</v>
      </c>
      <c r="C110">
        <v>2.0053000000000001</v>
      </c>
      <c r="D110">
        <v>2.0497000000000001</v>
      </c>
      <c r="E110" s="2">
        <f t="shared" si="66"/>
        <v>11.6858</v>
      </c>
      <c r="F110" s="2">
        <f t="shared" si="68"/>
        <v>10.953200000000001</v>
      </c>
      <c r="G110" s="2">
        <f t="shared" si="70"/>
        <v>10.865999999999994</v>
      </c>
      <c r="H110" s="2">
        <f t="shared" si="71"/>
        <v>1.4680632003425842E-2</v>
      </c>
      <c r="I110" s="2">
        <f t="shared" ref="I110:J110" si="113">LN(C109)-LN(C108)</f>
        <v>1.1478455732074844E-2</v>
      </c>
      <c r="J110" s="2">
        <f t="shared" si="113"/>
        <v>1.4987385785098395E-2</v>
      </c>
    </row>
    <row r="111" spans="1:10" x14ac:dyDescent="0.45">
      <c r="A111" s="1">
        <v>40343</v>
      </c>
      <c r="B111">
        <v>75.12</v>
      </c>
      <c r="C111">
        <v>2.0259</v>
      </c>
      <c r="D111">
        <v>2.0764</v>
      </c>
      <c r="E111" s="2">
        <f t="shared" si="66"/>
        <v>11.381799999999998</v>
      </c>
      <c r="F111" s="2">
        <f t="shared" si="68"/>
        <v>11.6858</v>
      </c>
      <c r="G111" s="2">
        <f t="shared" si="70"/>
        <v>10.953200000000001</v>
      </c>
      <c r="H111" s="2">
        <f t="shared" si="71"/>
        <v>-2.2780028331820468E-2</v>
      </c>
      <c r="I111" s="2">
        <f t="shared" ref="I111:J111" si="114">LN(C110)-LN(C109)</f>
        <v>-1.3620477522966357E-2</v>
      </c>
      <c r="J111" s="2">
        <f t="shared" si="114"/>
        <v>-1.0096683025539344E-2</v>
      </c>
    </row>
    <row r="112" spans="1:10" x14ac:dyDescent="0.45">
      <c r="A112" s="1">
        <v>40344</v>
      </c>
      <c r="B112">
        <v>76.94</v>
      </c>
      <c r="C112">
        <v>2.0684999999999998</v>
      </c>
      <c r="D112">
        <v>2.1215000000000002</v>
      </c>
      <c r="E112" s="2">
        <f t="shared" si="66"/>
        <v>11.421000000000012</v>
      </c>
      <c r="F112" s="2">
        <f t="shared" si="68"/>
        <v>11.381799999999998</v>
      </c>
      <c r="G112" s="2">
        <f t="shared" si="70"/>
        <v>11.6858</v>
      </c>
      <c r="H112" s="2">
        <f t="shared" si="71"/>
        <v>1.7999142731477846E-2</v>
      </c>
      <c r="I112" s="2">
        <f t="shared" ref="I112:J112" si="115">LN(C111)-LN(C110)</f>
        <v>1.0220370765917974E-2</v>
      </c>
      <c r="J112" s="2">
        <f t="shared" si="115"/>
        <v>1.2942183992991407E-2</v>
      </c>
    </row>
    <row r="113" spans="1:10" x14ac:dyDescent="0.45">
      <c r="A113" s="1">
        <v>40345</v>
      </c>
      <c r="B113">
        <v>77.67</v>
      </c>
      <c r="C113">
        <v>2.1101000000000001</v>
      </c>
      <c r="D113">
        <v>2.1452</v>
      </c>
      <c r="E113" s="2">
        <f t="shared" si="66"/>
        <v>11.937000000000012</v>
      </c>
      <c r="F113" s="2">
        <f t="shared" si="68"/>
        <v>11.421000000000012</v>
      </c>
      <c r="G113" s="2">
        <f t="shared" si="70"/>
        <v>11.381799999999998</v>
      </c>
      <c r="H113" s="2">
        <f t="shared" si="71"/>
        <v>2.3939062424141788E-2</v>
      </c>
      <c r="I113" s="2">
        <f t="shared" ref="I113:J113" si="116">LN(C112)-LN(C111)</f>
        <v>2.080966065256018E-2</v>
      </c>
      <c r="J113" s="2">
        <f t="shared" si="116"/>
        <v>2.148776068930569E-2</v>
      </c>
    </row>
    <row r="114" spans="1:10" x14ac:dyDescent="0.45">
      <c r="A114" s="1">
        <v>40346</v>
      </c>
      <c r="B114">
        <v>76.790000000000006</v>
      </c>
      <c r="C114">
        <v>2.1474000000000002</v>
      </c>
      <c r="D114">
        <v>2.1640000000000001</v>
      </c>
      <c r="E114" s="2">
        <f t="shared" si="66"/>
        <v>13.865600000000009</v>
      </c>
      <c r="F114" s="2">
        <f t="shared" si="68"/>
        <v>11.937000000000012</v>
      </c>
      <c r="G114" s="2">
        <f t="shared" si="70"/>
        <v>11.421000000000012</v>
      </c>
      <c r="H114" s="2">
        <f t="shared" si="71"/>
        <v>9.4431851074068263E-3</v>
      </c>
      <c r="I114" s="2">
        <f t="shared" ref="I114:J114" si="117">LN(C113)-LN(C112)</f>
        <v>1.9911632810544977E-2</v>
      </c>
      <c r="J114" s="2">
        <f t="shared" si="117"/>
        <v>1.1109402466390472E-2</v>
      </c>
    </row>
    <row r="115" spans="1:10" x14ac:dyDescent="0.45">
      <c r="A115" s="1">
        <v>40347</v>
      </c>
      <c r="B115">
        <v>78.260000000000005</v>
      </c>
      <c r="C115">
        <v>2.1288999999999998</v>
      </c>
      <c r="D115">
        <v>2.1476000000000002</v>
      </c>
      <c r="E115" s="2">
        <f t="shared" si="66"/>
        <v>11.677399999999997</v>
      </c>
      <c r="F115" s="2">
        <f t="shared" si="68"/>
        <v>13.865600000000009</v>
      </c>
      <c r="G115" s="2">
        <f t="shared" si="70"/>
        <v>11.937000000000012</v>
      </c>
      <c r="H115" s="2">
        <f t="shared" si="71"/>
        <v>-1.1394659089103421E-2</v>
      </c>
      <c r="I115" s="2">
        <f t="shared" ref="I115:J115" si="118">LN(C114)-LN(C113)</f>
        <v>1.7522468288024062E-2</v>
      </c>
      <c r="J115" s="2">
        <f t="shared" si="118"/>
        <v>8.7255728576021152E-3</v>
      </c>
    </row>
    <row r="116" spans="1:10" x14ac:dyDescent="0.45">
      <c r="A116" s="1">
        <v>40350</v>
      </c>
      <c r="B116">
        <v>78.61</v>
      </c>
      <c r="C116">
        <v>2.1459000000000001</v>
      </c>
      <c r="D116">
        <v>2.1427999999999998</v>
      </c>
      <c r="E116" s="2">
        <f t="shared" si="66"/>
        <v>11.431000000000003</v>
      </c>
      <c r="F116" s="2">
        <f t="shared" si="68"/>
        <v>11.677399999999997</v>
      </c>
      <c r="G116" s="2">
        <f t="shared" si="70"/>
        <v>13.865600000000009</v>
      </c>
      <c r="H116" s="2">
        <f t="shared" si="71"/>
        <v>1.8962193439813646E-2</v>
      </c>
      <c r="I116" s="2">
        <f t="shared" ref="I116:J116" si="119">LN(C115)-LN(C114)</f>
        <v>-8.6523936183425798E-3</v>
      </c>
      <c r="J116" s="2">
        <f t="shared" si="119"/>
        <v>-7.6074214179577826E-3</v>
      </c>
    </row>
    <row r="117" spans="1:10" x14ac:dyDescent="0.45">
      <c r="A117" s="1">
        <v>40351</v>
      </c>
      <c r="B117">
        <v>77.849999999999994</v>
      </c>
      <c r="C117">
        <v>2.1307</v>
      </c>
      <c r="D117">
        <v>2.1261999999999999</v>
      </c>
      <c r="E117" s="2">
        <f t="shared" si="66"/>
        <v>11.513399999999999</v>
      </c>
      <c r="F117" s="2">
        <f t="shared" si="68"/>
        <v>11.431000000000003</v>
      </c>
      <c r="G117" s="2">
        <f t="shared" si="70"/>
        <v>11.677399999999997</v>
      </c>
      <c r="H117" s="2">
        <f t="shared" si="71"/>
        <v>4.4623010233992844E-3</v>
      </c>
      <c r="I117" s="2">
        <f t="shared" ref="I117:J117" si="120">LN(C116)-LN(C115)</f>
        <v>7.9536304007553627E-3</v>
      </c>
      <c r="J117" s="2">
        <f t="shared" si="120"/>
        <v>-2.2375545416093434E-3</v>
      </c>
    </row>
    <row r="118" spans="1:10" x14ac:dyDescent="0.45">
      <c r="A118" s="1">
        <v>40352</v>
      </c>
      <c r="B118">
        <v>76.349999999999994</v>
      </c>
      <c r="C118">
        <v>2.0865</v>
      </c>
      <c r="D118">
        <v>2.0773999999999999</v>
      </c>
      <c r="E118" s="2">
        <f t="shared" si="66"/>
        <v>11.028199999999998</v>
      </c>
      <c r="F118" s="2">
        <f t="shared" si="68"/>
        <v>11.513399999999999</v>
      </c>
      <c r="G118" s="2">
        <f t="shared" si="70"/>
        <v>11.431000000000003</v>
      </c>
      <c r="H118" s="2">
        <f t="shared" si="71"/>
        <v>-9.7150195256583416E-3</v>
      </c>
      <c r="I118" s="2">
        <f t="shared" ref="I118:J118" si="121">LN(C117)-LN(C116)</f>
        <v>-7.1084805711272292E-3</v>
      </c>
      <c r="J118" s="2">
        <f t="shared" si="121"/>
        <v>-7.7770361523004095E-3</v>
      </c>
    </row>
    <row r="119" spans="1:10" x14ac:dyDescent="0.45">
      <c r="A119" s="1">
        <v>40353</v>
      </c>
      <c r="B119">
        <v>76.510000000000005</v>
      </c>
      <c r="C119">
        <v>2.0783</v>
      </c>
      <c r="D119">
        <v>2.0882999999999998</v>
      </c>
      <c r="E119" s="2">
        <f t="shared" si="66"/>
        <v>11.058599999999975</v>
      </c>
      <c r="F119" s="2">
        <f t="shared" si="68"/>
        <v>11.028199999999998</v>
      </c>
      <c r="G119" s="2">
        <f t="shared" si="70"/>
        <v>11.513399999999999</v>
      </c>
      <c r="H119" s="2">
        <f t="shared" si="71"/>
        <v>-1.9455866615365913E-2</v>
      </c>
      <c r="I119" s="2">
        <f t="shared" ref="I119:J119" si="122">LN(C118)-LN(C117)</f>
        <v>-2.0962543179713466E-2</v>
      </c>
      <c r="J119" s="2">
        <f t="shared" si="122"/>
        <v>-2.3219237060793763E-2</v>
      </c>
    </row>
    <row r="120" spans="1:10" x14ac:dyDescent="0.45">
      <c r="A120" s="1">
        <v>40354</v>
      </c>
      <c r="B120">
        <v>78.86</v>
      </c>
      <c r="C120">
        <v>2.1334</v>
      </c>
      <c r="D120">
        <v>2.1587999999999998</v>
      </c>
      <c r="E120" s="2">
        <f t="shared" si="66"/>
        <v>11.454000000000008</v>
      </c>
      <c r="F120" s="2">
        <f t="shared" si="68"/>
        <v>11.058599999999975</v>
      </c>
      <c r="G120" s="2">
        <f t="shared" si="70"/>
        <v>11.028199999999998</v>
      </c>
      <c r="H120" s="2">
        <f t="shared" si="71"/>
        <v>2.0934195791193488E-3</v>
      </c>
      <c r="I120" s="2">
        <f t="shared" ref="I120:J120" si="123">LN(C119)-LN(C118)</f>
        <v>-3.9377692065798442E-3</v>
      </c>
      <c r="J120" s="2">
        <f t="shared" si="123"/>
        <v>5.2332260490194349E-3</v>
      </c>
    </row>
    <row r="121" spans="1:10" x14ac:dyDescent="0.45">
      <c r="A121" s="1">
        <v>40357</v>
      </c>
      <c r="B121">
        <v>78.25</v>
      </c>
      <c r="C121">
        <v>2.1171000000000002</v>
      </c>
      <c r="D121">
        <v>2.1301999999999999</v>
      </c>
      <c r="E121" s="2">
        <f t="shared" si="66"/>
        <v>11.035000000000005</v>
      </c>
      <c r="F121" s="2">
        <f t="shared" si="68"/>
        <v>11.454000000000008</v>
      </c>
      <c r="G121" s="2">
        <f t="shared" si="70"/>
        <v>11.058599999999975</v>
      </c>
      <c r="H121" s="2">
        <f t="shared" si="71"/>
        <v>3.0252677205720779E-2</v>
      </c>
      <c r="I121" s="2">
        <f t="shared" ref="I121:J121" si="124">LN(C120)-LN(C119)</f>
        <v>2.6166699366355073E-2</v>
      </c>
      <c r="J121" s="2">
        <f t="shared" si="124"/>
        <v>3.3202173901757281E-2</v>
      </c>
    </row>
    <row r="122" spans="1:10" x14ac:dyDescent="0.45">
      <c r="A122" s="1">
        <v>40358</v>
      </c>
      <c r="B122">
        <v>75.94</v>
      </c>
      <c r="C122">
        <v>2.0497999999999998</v>
      </c>
      <c r="D122">
        <v>2.0651000000000002</v>
      </c>
      <c r="E122" s="2">
        <f t="shared" si="66"/>
        <v>10.580000000000004</v>
      </c>
      <c r="F122" s="2">
        <f t="shared" si="68"/>
        <v>11.035000000000005</v>
      </c>
      <c r="G122" s="2">
        <f t="shared" si="70"/>
        <v>11.454000000000008</v>
      </c>
      <c r="H122" s="2">
        <f t="shared" si="71"/>
        <v>-7.7652990292182977E-3</v>
      </c>
      <c r="I122" s="2">
        <f t="shared" ref="I122:J122" si="125">LN(C121)-LN(C120)</f>
        <v>-7.6697235164880917E-3</v>
      </c>
      <c r="J122" s="2">
        <f t="shared" si="125"/>
        <v>-1.3336639735422429E-2</v>
      </c>
    </row>
    <row r="123" spans="1:10" x14ac:dyDescent="0.45">
      <c r="A123" s="1">
        <v>40359</v>
      </c>
      <c r="B123">
        <v>75.63</v>
      </c>
      <c r="C123">
        <v>2.0143</v>
      </c>
      <c r="D123">
        <v>2.0604</v>
      </c>
      <c r="E123" s="2">
        <f t="shared" si="66"/>
        <v>10.2614</v>
      </c>
      <c r="F123" s="2">
        <f t="shared" si="68"/>
        <v>10.580000000000004</v>
      </c>
      <c r="G123" s="2">
        <f t="shared" si="70"/>
        <v>11.035000000000005</v>
      </c>
      <c r="H123" s="2">
        <f t="shared" si="71"/>
        <v>-2.9965274616606585E-2</v>
      </c>
      <c r="I123" s="2">
        <f t="shared" ref="I123:J123" si="126">LN(C122)-LN(C121)</f>
        <v>-3.2305000277431883E-2</v>
      </c>
      <c r="J123" s="2">
        <f t="shared" si="126"/>
        <v>-3.1037220636319085E-2</v>
      </c>
    </row>
    <row r="124" spans="1:10" x14ac:dyDescent="0.45">
      <c r="A124" s="1">
        <v>40360</v>
      </c>
      <c r="B124">
        <v>72.95</v>
      </c>
      <c r="C124">
        <v>1.9384999999999999</v>
      </c>
      <c r="D124">
        <v>1.9976</v>
      </c>
      <c r="E124" s="2">
        <f t="shared" si="66"/>
        <v>10.121799999999999</v>
      </c>
      <c r="F124" s="2">
        <f t="shared" si="68"/>
        <v>10.2614</v>
      </c>
      <c r="G124" s="2">
        <f t="shared" si="70"/>
        <v>10.580000000000004</v>
      </c>
      <c r="H124" s="2">
        <f t="shared" si="71"/>
        <v>-4.090524935718598E-3</v>
      </c>
      <c r="I124" s="2">
        <f t="shared" ref="I124:J124" si="127">LN(C123)-LN(C122)</f>
        <v>-1.7470486913084171E-2</v>
      </c>
      <c r="J124" s="2">
        <f t="shared" si="127"/>
        <v>-2.2785126813159584E-3</v>
      </c>
    </row>
    <row r="125" spans="1:10" x14ac:dyDescent="0.45">
      <c r="A125" s="1">
        <v>40361</v>
      </c>
      <c r="B125">
        <v>72.14</v>
      </c>
      <c r="C125">
        <v>1.9155</v>
      </c>
      <c r="D125">
        <v>1.9777</v>
      </c>
      <c r="E125" s="2">
        <f t="shared" si="66"/>
        <v>10.052599999999993</v>
      </c>
      <c r="F125" s="2">
        <f t="shared" si="68"/>
        <v>10.121799999999999</v>
      </c>
      <c r="G125" s="2">
        <f t="shared" si="70"/>
        <v>10.2614</v>
      </c>
      <c r="H125" s="2">
        <f t="shared" si="71"/>
        <v>-3.6078754899143028E-2</v>
      </c>
      <c r="I125" s="2">
        <f t="shared" ref="I125:J125" si="128">LN(C124)-LN(C123)</f>
        <v>-3.8357262373394541E-2</v>
      </c>
      <c r="J125" s="2">
        <f t="shared" si="128"/>
        <v>-3.095367872586674E-2</v>
      </c>
    </row>
    <row r="126" spans="1:10" x14ac:dyDescent="0.45">
      <c r="A126" s="1">
        <v>40365</v>
      </c>
      <c r="B126">
        <v>71.98</v>
      </c>
      <c r="C126">
        <v>1.9172</v>
      </c>
      <c r="D126">
        <v>1.9713000000000001</v>
      </c>
      <c r="E126" s="2">
        <f t="shared" si="66"/>
        <v>10.057200000000003</v>
      </c>
      <c r="F126" s="2">
        <f t="shared" si="68"/>
        <v>10.052599999999993</v>
      </c>
      <c r="G126" s="2">
        <f t="shared" si="70"/>
        <v>10.121799999999999</v>
      </c>
      <c r="H126" s="2">
        <f t="shared" si="71"/>
        <v>-1.1165599493401679E-2</v>
      </c>
      <c r="I126" s="2">
        <f t="shared" ref="I126:J126" si="129">LN(C125)-LN(C124)</f>
        <v>-1.1935792970280135E-2</v>
      </c>
      <c r="J126" s="2">
        <f t="shared" si="129"/>
        <v>-1.0011906637584223E-2</v>
      </c>
    </row>
    <row r="127" spans="1:10" x14ac:dyDescent="0.45">
      <c r="A127" s="1">
        <v>40366</v>
      </c>
      <c r="B127">
        <v>74.069999999999993</v>
      </c>
      <c r="C127">
        <v>1.9786999999999999</v>
      </c>
      <c r="D127">
        <v>2.0253000000000001</v>
      </c>
      <c r="E127" s="2">
        <f t="shared" si="66"/>
        <v>10.34020000000001</v>
      </c>
      <c r="F127" s="2">
        <f t="shared" si="68"/>
        <v>10.057200000000003</v>
      </c>
      <c r="G127" s="2">
        <f t="shared" si="70"/>
        <v>10.052599999999993</v>
      </c>
      <c r="H127" s="2">
        <f t="shared" si="71"/>
        <v>-2.2203728245084875E-3</v>
      </c>
      <c r="I127" s="2">
        <f t="shared" ref="I127:J127" si="130">LN(C126)-LN(C125)</f>
        <v>8.8710314477258301E-4</v>
      </c>
      <c r="J127" s="2">
        <f t="shared" si="130"/>
        <v>-3.2413297560472953E-3</v>
      </c>
    </row>
    <row r="128" spans="1:10" x14ac:dyDescent="0.45">
      <c r="A128" s="1">
        <v>40367</v>
      </c>
      <c r="B128">
        <v>75.44</v>
      </c>
      <c r="C128">
        <v>2.0053000000000001</v>
      </c>
      <c r="D128">
        <v>2.0510999999999999</v>
      </c>
      <c r="E128" s="2">
        <f t="shared" si="66"/>
        <v>10.064999999999998</v>
      </c>
      <c r="F128" s="2">
        <f t="shared" si="68"/>
        <v>10.34020000000001</v>
      </c>
      <c r="G128" s="2">
        <f t="shared" si="70"/>
        <v>10.057200000000003</v>
      </c>
      <c r="H128" s="2">
        <f t="shared" si="71"/>
        <v>2.8622289374313326E-2</v>
      </c>
      <c r="I128" s="2">
        <f t="shared" ref="I128:J128" si="131">LN(C127)-LN(C126)</f>
        <v>3.1574275112917993E-2</v>
      </c>
      <c r="J128" s="2">
        <f t="shared" si="131"/>
        <v>2.702461414400259E-2</v>
      </c>
    </row>
    <row r="129" spans="1:10" x14ac:dyDescent="0.45">
      <c r="A129" s="1">
        <v>40368</v>
      </c>
      <c r="B129">
        <v>76.09</v>
      </c>
      <c r="C129">
        <v>2.0257000000000001</v>
      </c>
      <c r="D129">
        <v>2.0699999999999998</v>
      </c>
      <c r="E129" s="2">
        <f t="shared" si="66"/>
        <v>10.229800000000003</v>
      </c>
      <c r="F129" s="2">
        <f t="shared" si="68"/>
        <v>10.064999999999998</v>
      </c>
      <c r="G129" s="2">
        <f t="shared" si="70"/>
        <v>10.34020000000001</v>
      </c>
      <c r="H129" s="2">
        <f t="shared" si="71"/>
        <v>1.8327046300004035E-2</v>
      </c>
      <c r="I129" s="2">
        <f t="shared" ref="I129:J129" si="132">LN(C128)-LN(C127)</f>
        <v>1.3353612084593736E-2</v>
      </c>
      <c r="J129" s="2">
        <f t="shared" si="132"/>
        <v>1.2658396871923383E-2</v>
      </c>
    </row>
    <row r="130" spans="1:10" x14ac:dyDescent="0.45">
      <c r="A130" s="1">
        <v>40371</v>
      </c>
      <c r="B130">
        <v>74.95</v>
      </c>
      <c r="C130">
        <v>1.9913000000000001</v>
      </c>
      <c r="D130">
        <v>2.028</v>
      </c>
      <c r="E130" s="2">
        <f t="shared" si="66"/>
        <v>9.7121999999999957</v>
      </c>
      <c r="F130" s="2">
        <f t="shared" si="68"/>
        <v>10.229800000000003</v>
      </c>
      <c r="G130" s="2">
        <f t="shared" si="70"/>
        <v>10.064999999999998</v>
      </c>
      <c r="H130" s="2">
        <f t="shared" si="71"/>
        <v>8.5792118632292969E-3</v>
      </c>
      <c r="I130" s="2">
        <f t="shared" ref="I130:J130" si="133">LN(C129)-LN(C128)</f>
        <v>1.0121644336772762E-2</v>
      </c>
      <c r="J130" s="2">
        <f t="shared" si="133"/>
        <v>9.1723726715567944E-3</v>
      </c>
    </row>
    <row r="131" spans="1:10" x14ac:dyDescent="0.45">
      <c r="A131" s="1">
        <v>40372</v>
      </c>
      <c r="B131">
        <v>77.150000000000006</v>
      </c>
      <c r="C131">
        <v>2.0474000000000001</v>
      </c>
      <c r="D131">
        <v>2.0821000000000001</v>
      </c>
      <c r="E131" s="2">
        <f t="shared" ref="E131:E194" si="134">(2*D131*42+1*C131*42-3*B131)/3</f>
        <v>9.8123999999999967</v>
      </c>
      <c r="F131" s="2">
        <f t="shared" si="68"/>
        <v>9.7121999999999957</v>
      </c>
      <c r="G131" s="2">
        <f t="shared" si="70"/>
        <v>10.229800000000003</v>
      </c>
      <c r="H131" s="2">
        <f t="shared" si="71"/>
        <v>-1.5095625639824917E-2</v>
      </c>
      <c r="I131" s="2">
        <f t="shared" ref="I131:J131" si="135">LN(C130)-LN(C129)</f>
        <v>-1.7127628055131239E-2</v>
      </c>
      <c r="J131" s="2">
        <f t="shared" si="135"/>
        <v>-2.0498521548340864E-2</v>
      </c>
    </row>
    <row r="132" spans="1:10" x14ac:dyDescent="0.45">
      <c r="A132" s="1">
        <v>40373</v>
      </c>
      <c r="B132">
        <v>77.040000000000006</v>
      </c>
      <c r="C132">
        <v>2.0360999999999998</v>
      </c>
      <c r="D132">
        <v>2.0665</v>
      </c>
      <c r="E132" s="2">
        <f t="shared" si="134"/>
        <v>9.3274000000000115</v>
      </c>
      <c r="F132" s="2">
        <f t="shared" ref="F132:F195" si="136">E131</f>
        <v>9.8123999999999967</v>
      </c>
      <c r="G132" s="2">
        <f t="shared" si="70"/>
        <v>9.7121999999999957</v>
      </c>
      <c r="H132" s="2">
        <f t="shared" si="71"/>
        <v>2.8930354260563895E-2</v>
      </c>
      <c r="I132" s="2">
        <f t="shared" ref="I132:J132" si="137">LN(C131)-LN(C130)</f>
        <v>2.7783003721041033E-2</v>
      </c>
      <c r="J132" s="2">
        <f t="shared" si="137"/>
        <v>2.6326914050074701E-2</v>
      </c>
    </row>
    <row r="133" spans="1:10" x14ac:dyDescent="0.45">
      <c r="A133" s="1">
        <v>40374</v>
      </c>
      <c r="B133">
        <v>76.62</v>
      </c>
      <c r="C133">
        <v>2.0183</v>
      </c>
      <c r="D133">
        <v>2.0607000000000002</v>
      </c>
      <c r="E133" s="2">
        <f t="shared" si="134"/>
        <v>9.3357999999999866</v>
      </c>
      <c r="F133" s="2">
        <f t="shared" si="136"/>
        <v>9.3274000000000115</v>
      </c>
      <c r="G133" s="2">
        <f t="shared" ref="G133:G196" si="138">E131</f>
        <v>9.8123999999999967</v>
      </c>
      <c r="H133" s="2">
        <f t="shared" ref="H133:H196" si="139">LN(B132)-LN(B131)</f>
        <v>-1.4268113193001142E-3</v>
      </c>
      <c r="I133" s="2">
        <f t="shared" ref="I133:J133" si="140">LN(C132)-LN(C131)</f>
        <v>-5.5344821078482376E-3</v>
      </c>
      <c r="J133" s="2">
        <f t="shared" si="140"/>
        <v>-7.520644809361543E-3</v>
      </c>
    </row>
    <row r="134" spans="1:10" x14ac:dyDescent="0.45">
      <c r="A134" s="1">
        <v>40375</v>
      </c>
      <c r="B134">
        <v>76.010000000000005</v>
      </c>
      <c r="C134">
        <v>2.0112999999999999</v>
      </c>
      <c r="D134">
        <v>2.0486</v>
      </c>
      <c r="E134" s="2">
        <f t="shared" si="134"/>
        <v>9.508999999999995</v>
      </c>
      <c r="F134" s="2">
        <f t="shared" si="136"/>
        <v>9.3357999999999866</v>
      </c>
      <c r="G134" s="2">
        <f t="shared" si="138"/>
        <v>9.3274000000000115</v>
      </c>
      <c r="H134" s="2">
        <f t="shared" si="139"/>
        <v>-5.4666282173672087E-3</v>
      </c>
      <c r="I134" s="2">
        <f t="shared" ref="I134:J134" si="141">LN(C133)-LN(C132)</f>
        <v>-8.7806404717489794E-3</v>
      </c>
      <c r="J134" s="2">
        <f t="shared" si="141"/>
        <v>-2.8106240638412494E-3</v>
      </c>
    </row>
    <row r="135" spans="1:10" x14ac:dyDescent="0.45">
      <c r="A135" s="1">
        <v>40378</v>
      </c>
      <c r="B135">
        <v>76.900000000000006</v>
      </c>
      <c r="C135">
        <v>2.0169999999999999</v>
      </c>
      <c r="D135">
        <v>2.0590000000000002</v>
      </c>
      <c r="E135" s="2">
        <f t="shared" si="134"/>
        <v>8.99</v>
      </c>
      <c r="F135" s="2">
        <f t="shared" si="136"/>
        <v>9.508999999999995</v>
      </c>
      <c r="G135" s="2">
        <f t="shared" si="138"/>
        <v>9.3357999999999866</v>
      </c>
      <c r="H135" s="2">
        <f t="shared" si="139"/>
        <v>-7.9932286945538777E-3</v>
      </c>
      <c r="I135" s="2">
        <f t="shared" ref="I135:J135" si="142">LN(C134)-LN(C133)</f>
        <v>-3.4742937468980051E-3</v>
      </c>
      <c r="J135" s="2">
        <f t="shared" si="142"/>
        <v>-5.8890978855115073E-3</v>
      </c>
    </row>
    <row r="136" spans="1:10" x14ac:dyDescent="0.45">
      <c r="A136" s="1">
        <v>40379</v>
      </c>
      <c r="B136">
        <v>77.58</v>
      </c>
      <c r="C136">
        <v>2.0247000000000002</v>
      </c>
      <c r="D136">
        <v>2.0785999999999998</v>
      </c>
      <c r="E136" s="2">
        <f t="shared" si="134"/>
        <v>8.9665999999999908</v>
      </c>
      <c r="F136" s="2">
        <f t="shared" si="136"/>
        <v>8.99</v>
      </c>
      <c r="G136" s="2">
        <f t="shared" si="138"/>
        <v>9.508999999999995</v>
      </c>
      <c r="H136" s="2">
        <f t="shared" si="139"/>
        <v>1.1640965933649383E-2</v>
      </c>
      <c r="I136" s="2">
        <f t="shared" ref="I136:J136" si="143">LN(C135)-LN(C134)</f>
        <v>2.8299797950364081E-3</v>
      </c>
      <c r="J136" s="2">
        <f t="shared" si="143"/>
        <v>5.0637950253552555E-3</v>
      </c>
    </row>
    <row r="137" spans="1:10" x14ac:dyDescent="0.45">
      <c r="A137" s="1">
        <v>40380</v>
      </c>
      <c r="B137">
        <v>76.56</v>
      </c>
      <c r="C137">
        <v>2.0163000000000002</v>
      </c>
      <c r="D137">
        <v>2.0649000000000002</v>
      </c>
      <c r="E137" s="2">
        <f t="shared" si="134"/>
        <v>9.4854000000000074</v>
      </c>
      <c r="F137" s="2">
        <f t="shared" si="136"/>
        <v>8.9665999999999908</v>
      </c>
      <c r="G137" s="2">
        <f t="shared" si="138"/>
        <v>8.99</v>
      </c>
      <c r="H137" s="2">
        <f t="shared" si="139"/>
        <v>8.8037855002225385E-3</v>
      </c>
      <c r="I137" s="2">
        <f t="shared" ref="I137:J137" si="144">LN(C136)-LN(C135)</f>
        <v>3.8102824632588739E-3</v>
      </c>
      <c r="J137" s="2">
        <f t="shared" si="144"/>
        <v>9.4741621265316267E-3</v>
      </c>
    </row>
    <row r="138" spans="1:10" x14ac:dyDescent="0.45">
      <c r="A138" s="1">
        <v>40381</v>
      </c>
      <c r="B138">
        <v>79.3</v>
      </c>
      <c r="C138">
        <v>2.0895000000000001</v>
      </c>
      <c r="D138">
        <v>2.1408999999999998</v>
      </c>
      <c r="E138" s="2">
        <f t="shared" si="134"/>
        <v>9.8981999999999939</v>
      </c>
      <c r="F138" s="2">
        <f t="shared" si="136"/>
        <v>9.4854000000000074</v>
      </c>
      <c r="G138" s="2">
        <f t="shared" si="138"/>
        <v>8.9665999999999908</v>
      </c>
      <c r="H138" s="2">
        <f t="shared" si="139"/>
        <v>-1.3234914867122249E-2</v>
      </c>
      <c r="I138" s="2">
        <f t="shared" ref="I138:J138" si="145">LN(C137)-LN(C136)</f>
        <v>-4.1573927734406269E-3</v>
      </c>
      <c r="J138" s="2">
        <f t="shared" si="145"/>
        <v>-6.6127910818928326E-3</v>
      </c>
    </row>
    <row r="139" spans="1:10" x14ac:dyDescent="0.45">
      <c r="A139" s="1">
        <v>40382</v>
      </c>
      <c r="B139">
        <v>78.98</v>
      </c>
      <c r="C139">
        <v>2.0785999999999998</v>
      </c>
      <c r="D139">
        <v>2.1192000000000002</v>
      </c>
      <c r="E139" s="2">
        <f t="shared" si="134"/>
        <v>9.4580000000000073</v>
      </c>
      <c r="F139" s="2">
        <f t="shared" si="136"/>
        <v>9.8981999999999939</v>
      </c>
      <c r="G139" s="2">
        <f t="shared" si="138"/>
        <v>9.4854000000000074</v>
      </c>
      <c r="H139" s="2">
        <f t="shared" si="139"/>
        <v>3.5163381496103874E-2</v>
      </c>
      <c r="I139" s="2">
        <f t="shared" ref="I139:J139" si="146">LN(C138)-LN(C137)</f>
        <v>3.566065424394016E-2</v>
      </c>
      <c r="J139" s="2">
        <f t="shared" si="146"/>
        <v>3.6144502280248347E-2</v>
      </c>
    </row>
    <row r="140" spans="1:10" x14ac:dyDescent="0.45">
      <c r="A140" s="1">
        <v>40385</v>
      </c>
      <c r="B140">
        <v>78.98</v>
      </c>
      <c r="C140">
        <v>2.0710999999999999</v>
      </c>
      <c r="D140">
        <v>2.1063999999999998</v>
      </c>
      <c r="E140" s="2">
        <f t="shared" si="134"/>
        <v>8.9945999999999913</v>
      </c>
      <c r="F140" s="2">
        <f t="shared" si="136"/>
        <v>9.4580000000000073</v>
      </c>
      <c r="G140" s="2">
        <f t="shared" si="138"/>
        <v>9.8981999999999939</v>
      </c>
      <c r="H140" s="2">
        <f t="shared" si="139"/>
        <v>-4.0434727822988847E-3</v>
      </c>
      <c r="I140" s="2">
        <f t="shared" ref="I140:J140" si="147">LN(C139)-LN(C138)</f>
        <v>-5.2302127336489868E-3</v>
      </c>
      <c r="J140" s="2">
        <f t="shared" si="147"/>
        <v>-1.0187642394816621E-2</v>
      </c>
    </row>
    <row r="141" spans="1:10" x14ac:dyDescent="0.45">
      <c r="A141" s="1">
        <v>40386</v>
      </c>
      <c r="B141">
        <v>77.5</v>
      </c>
      <c r="C141">
        <v>2.0293999999999999</v>
      </c>
      <c r="D141">
        <v>2.0640999999999998</v>
      </c>
      <c r="E141" s="2">
        <f t="shared" si="134"/>
        <v>8.7063999999999933</v>
      </c>
      <c r="F141" s="2">
        <f t="shared" si="136"/>
        <v>8.9945999999999913</v>
      </c>
      <c r="G141" s="2">
        <f t="shared" si="138"/>
        <v>9.4580000000000073</v>
      </c>
      <c r="H141" s="2">
        <f t="shared" si="139"/>
        <v>0</v>
      </c>
      <c r="I141" s="2">
        <f t="shared" ref="I141:J141" si="148">LN(C140)-LN(C139)</f>
        <v>-3.6147230722159973E-3</v>
      </c>
      <c r="J141" s="2">
        <f t="shared" si="148"/>
        <v>-6.0583297757604848E-3</v>
      </c>
    </row>
    <row r="142" spans="1:10" x14ac:dyDescent="0.45">
      <c r="A142" s="1">
        <v>40387</v>
      </c>
      <c r="B142">
        <v>76.989999999999995</v>
      </c>
      <c r="C142">
        <v>2.0259999999999998</v>
      </c>
      <c r="D142">
        <v>2.0647000000000002</v>
      </c>
      <c r="E142" s="2">
        <f t="shared" si="134"/>
        <v>9.1856000000000027</v>
      </c>
      <c r="F142" s="2">
        <f t="shared" si="136"/>
        <v>8.7063999999999933</v>
      </c>
      <c r="G142" s="2">
        <f t="shared" si="138"/>
        <v>8.9945999999999913</v>
      </c>
      <c r="H142" s="2">
        <f t="shared" si="139"/>
        <v>-1.8916719499202372E-2</v>
      </c>
      <c r="I142" s="2">
        <f t="shared" ref="I142:J142" si="149">LN(C141)-LN(C140)</f>
        <v>-2.0339684237122735E-2</v>
      </c>
      <c r="J142" s="2">
        <f t="shared" si="149"/>
        <v>-2.0286033141887705E-2</v>
      </c>
    </row>
    <row r="143" spans="1:10" x14ac:dyDescent="0.45">
      <c r="A143" s="1">
        <v>40388</v>
      </c>
      <c r="B143">
        <v>78.36</v>
      </c>
      <c r="C143">
        <v>2.0695999999999999</v>
      </c>
      <c r="D143">
        <v>2.101</v>
      </c>
      <c r="E143" s="2">
        <f t="shared" si="134"/>
        <v>9.442400000000001</v>
      </c>
      <c r="F143" s="2">
        <f t="shared" si="136"/>
        <v>9.1856000000000027</v>
      </c>
      <c r="G143" s="2">
        <f t="shared" si="138"/>
        <v>8.7063999999999933</v>
      </c>
      <c r="H143" s="2">
        <f t="shared" si="139"/>
        <v>-6.6023930693432931E-3</v>
      </c>
      <c r="I143" s="2">
        <f t="shared" ref="I143:J143" si="150">LN(C142)-LN(C141)</f>
        <v>-1.676777036353827E-3</v>
      </c>
      <c r="J143" s="2">
        <f t="shared" si="150"/>
        <v>2.9064135062195628E-4</v>
      </c>
    </row>
    <row r="144" spans="1:10" x14ac:dyDescent="0.45">
      <c r="A144" s="1">
        <v>40389</v>
      </c>
      <c r="B144">
        <v>78.95</v>
      </c>
      <c r="C144">
        <v>2.0880999999999998</v>
      </c>
      <c r="D144">
        <v>2.1223999999999998</v>
      </c>
      <c r="E144" s="2">
        <f t="shared" si="134"/>
        <v>9.7105999999999995</v>
      </c>
      <c r="F144" s="2">
        <f t="shared" si="136"/>
        <v>9.442400000000001</v>
      </c>
      <c r="G144" s="2">
        <f t="shared" si="138"/>
        <v>9.1856000000000027</v>
      </c>
      <c r="H144" s="2">
        <f t="shared" si="139"/>
        <v>1.7638049786381949E-2</v>
      </c>
      <c r="I144" s="2">
        <f t="shared" ref="I144:J144" si="151">LN(C143)-LN(C142)</f>
        <v>2.1291946063190736E-2</v>
      </c>
      <c r="J144" s="2">
        <f t="shared" si="151"/>
        <v>1.7428484454166671E-2</v>
      </c>
    </row>
    <row r="145" spans="1:10" x14ac:dyDescent="0.45">
      <c r="A145" s="1">
        <v>40392</v>
      </c>
      <c r="B145">
        <v>81.34</v>
      </c>
      <c r="C145">
        <v>2.1537999999999999</v>
      </c>
      <c r="D145">
        <v>2.1684999999999999</v>
      </c>
      <c r="E145" s="2">
        <f t="shared" si="134"/>
        <v>9.5312000000000037</v>
      </c>
      <c r="F145" s="2">
        <f t="shared" si="136"/>
        <v>9.7105999999999995</v>
      </c>
      <c r="G145" s="2">
        <f t="shared" si="138"/>
        <v>9.442400000000001</v>
      </c>
      <c r="H145" s="2">
        <f t="shared" si="139"/>
        <v>7.5011476253115106E-3</v>
      </c>
      <c r="I145" s="2">
        <f t="shared" ref="I145:J145" si="152">LN(C144)-LN(C143)</f>
        <v>8.8992097041967755E-3</v>
      </c>
      <c r="J145" s="2">
        <f t="shared" si="152"/>
        <v>1.0134101978529375E-2</v>
      </c>
    </row>
    <row r="146" spans="1:10" x14ac:dyDescent="0.45">
      <c r="A146" s="1">
        <v>40393</v>
      </c>
      <c r="B146">
        <v>82.55</v>
      </c>
      <c r="C146">
        <v>2.2000000000000002</v>
      </c>
      <c r="D146">
        <v>2.1934999999999998</v>
      </c>
      <c r="E146" s="2">
        <f t="shared" si="134"/>
        <v>9.6680000000000064</v>
      </c>
      <c r="F146" s="2">
        <f t="shared" si="136"/>
        <v>9.5312000000000037</v>
      </c>
      <c r="G146" s="2">
        <f t="shared" si="138"/>
        <v>9.7105999999999995</v>
      </c>
      <c r="H146" s="2">
        <f t="shared" si="139"/>
        <v>2.9823159777427222E-2</v>
      </c>
      <c r="I146" s="2">
        <f t="shared" ref="I146:J146" si="153">LN(C145)-LN(C144)</f>
        <v>3.0979162318764408E-2</v>
      </c>
      <c r="J146" s="2">
        <f t="shared" si="153"/>
        <v>2.1488160451891058E-2</v>
      </c>
    </row>
    <row r="147" spans="1:10" x14ac:dyDescent="0.45">
      <c r="A147" s="1">
        <v>40394</v>
      </c>
      <c r="B147">
        <v>82.47</v>
      </c>
      <c r="C147">
        <v>2.2021999999999999</v>
      </c>
      <c r="D147">
        <v>2.1749999999999998</v>
      </c>
      <c r="E147" s="2">
        <f t="shared" si="134"/>
        <v>9.2608000000000086</v>
      </c>
      <c r="F147" s="2">
        <f t="shared" si="136"/>
        <v>9.6680000000000064</v>
      </c>
      <c r="G147" s="2">
        <f t="shared" si="138"/>
        <v>9.5312000000000037</v>
      </c>
      <c r="H147" s="2">
        <f t="shared" si="139"/>
        <v>1.4766269887058314E-2</v>
      </c>
      <c r="I147" s="2">
        <f t="shared" ref="I147:J147" si="154">LN(C146)-LN(C145)</f>
        <v>2.1223636451626837E-2</v>
      </c>
      <c r="J147" s="2">
        <f t="shared" si="154"/>
        <v>1.1462757330847673E-2</v>
      </c>
    </row>
    <row r="148" spans="1:10" x14ac:dyDescent="0.45">
      <c r="A148" s="1">
        <v>40395</v>
      </c>
      <c r="B148">
        <v>82.01</v>
      </c>
      <c r="C148">
        <v>2.1867999999999999</v>
      </c>
      <c r="D148">
        <v>2.1644000000000001</v>
      </c>
      <c r="E148" s="2">
        <f t="shared" si="134"/>
        <v>9.2084000000000028</v>
      </c>
      <c r="F148" s="2">
        <f t="shared" si="136"/>
        <v>9.2608000000000086</v>
      </c>
      <c r="G148" s="2">
        <f t="shared" si="138"/>
        <v>9.6680000000000064</v>
      </c>
      <c r="H148" s="2">
        <f t="shared" si="139"/>
        <v>-9.69579520872621E-4</v>
      </c>
      <c r="I148" s="2">
        <f t="shared" ref="I148:J148" si="155">LN(C147)-LN(C146)</f>
        <v>9.9950033308338071E-4</v>
      </c>
      <c r="J148" s="2">
        <f t="shared" si="155"/>
        <v>-8.4697770834841757E-3</v>
      </c>
    </row>
    <row r="149" spans="1:10" x14ac:dyDescent="0.45">
      <c r="A149" s="1">
        <v>40396</v>
      </c>
      <c r="B149">
        <v>80.7</v>
      </c>
      <c r="C149">
        <v>2.1472000000000002</v>
      </c>
      <c r="D149">
        <v>2.1126999999999998</v>
      </c>
      <c r="E149" s="2">
        <f t="shared" si="134"/>
        <v>8.5163999999999955</v>
      </c>
      <c r="F149" s="2">
        <f t="shared" si="136"/>
        <v>9.2084000000000028</v>
      </c>
      <c r="G149" s="2">
        <f t="shared" si="138"/>
        <v>9.2608000000000086</v>
      </c>
      <c r="H149" s="2">
        <f t="shared" si="139"/>
        <v>-5.5933997969441762E-3</v>
      </c>
      <c r="I149" s="2">
        <f t="shared" ref="I149:J149" si="156">LN(C148)-LN(C147)</f>
        <v>-7.0175726586465537E-3</v>
      </c>
      <c r="J149" s="2">
        <f t="shared" si="156"/>
        <v>-4.885477754204115E-3</v>
      </c>
    </row>
    <row r="150" spans="1:10" x14ac:dyDescent="0.45">
      <c r="A150" s="1">
        <v>40399</v>
      </c>
      <c r="B150">
        <v>81.48</v>
      </c>
      <c r="C150">
        <v>2.1537999999999999</v>
      </c>
      <c r="D150">
        <v>2.1187</v>
      </c>
      <c r="E150" s="2">
        <f t="shared" si="134"/>
        <v>7.9967999999999888</v>
      </c>
      <c r="F150" s="2">
        <f t="shared" si="136"/>
        <v>8.5163999999999955</v>
      </c>
      <c r="G150" s="2">
        <f t="shared" si="138"/>
        <v>9.2084000000000028</v>
      </c>
      <c r="H150" s="2">
        <f t="shared" si="139"/>
        <v>-1.6102615772417117E-2</v>
      </c>
      <c r="I150" s="2">
        <f t="shared" ref="I150:J150" si="157">LN(C149)-LN(C148)</f>
        <v>-1.8274620243481365E-2</v>
      </c>
      <c r="J150" s="2">
        <f t="shared" si="157"/>
        <v>-2.4176436462391426E-2</v>
      </c>
    </row>
    <row r="151" spans="1:10" x14ac:dyDescent="0.45">
      <c r="A151" s="1">
        <v>40400</v>
      </c>
      <c r="B151">
        <v>80.25</v>
      </c>
      <c r="C151">
        <v>2.1254</v>
      </c>
      <c r="D151">
        <v>2.0853000000000002</v>
      </c>
      <c r="E151" s="2">
        <f t="shared" si="134"/>
        <v>7.8940000000000055</v>
      </c>
      <c r="F151" s="2">
        <f t="shared" si="136"/>
        <v>7.9967999999999888</v>
      </c>
      <c r="G151" s="2">
        <f t="shared" si="138"/>
        <v>8.5163999999999955</v>
      </c>
      <c r="H151" s="2">
        <f t="shared" si="139"/>
        <v>9.6190160827021032E-3</v>
      </c>
      <c r="I151" s="2">
        <f t="shared" ref="I151:J151" si="158">LN(C150)-LN(C149)</f>
        <v>3.0690561174177011E-3</v>
      </c>
      <c r="J151" s="2">
        <f t="shared" si="158"/>
        <v>2.8359427240560731E-3</v>
      </c>
    </row>
    <row r="152" spans="1:10" x14ac:dyDescent="0.45">
      <c r="A152" s="1">
        <v>40401</v>
      </c>
      <c r="B152">
        <v>78.02</v>
      </c>
      <c r="C152">
        <v>2.0752000000000002</v>
      </c>
      <c r="D152">
        <v>1.9976</v>
      </c>
      <c r="E152" s="2">
        <f t="shared" si="134"/>
        <v>6.9656000000000047</v>
      </c>
      <c r="F152" s="2">
        <f t="shared" si="136"/>
        <v>7.8940000000000055</v>
      </c>
      <c r="G152" s="2">
        <f t="shared" si="138"/>
        <v>7.9967999999999888</v>
      </c>
      <c r="H152" s="2">
        <f t="shared" si="139"/>
        <v>-1.5210829348480281E-2</v>
      </c>
      <c r="I152" s="2">
        <f t="shared" ref="I152:J152" si="159">LN(C151)-LN(C150)</f>
        <v>-1.3273703956185767E-2</v>
      </c>
      <c r="J152" s="2">
        <f t="shared" si="159"/>
        <v>-1.5889963255694917E-2</v>
      </c>
    </row>
    <row r="153" spans="1:10" x14ac:dyDescent="0.45">
      <c r="A153" s="1">
        <v>40402</v>
      </c>
      <c r="B153">
        <v>75.739999999999995</v>
      </c>
      <c r="C153">
        <v>2.0015000000000001</v>
      </c>
      <c r="D153">
        <v>1.9548000000000001</v>
      </c>
      <c r="E153" s="2">
        <f t="shared" si="134"/>
        <v>7.0154000000000183</v>
      </c>
      <c r="F153" s="2">
        <f t="shared" si="136"/>
        <v>6.9656000000000047</v>
      </c>
      <c r="G153" s="2">
        <f t="shared" si="138"/>
        <v>7.8940000000000055</v>
      </c>
      <c r="H153" s="2">
        <f t="shared" si="139"/>
        <v>-2.8181557931614698E-2</v>
      </c>
      <c r="I153" s="2">
        <f t="shared" ref="I153:J153" si="160">LN(C152)-LN(C151)</f>
        <v>-2.3902485376415261E-2</v>
      </c>
      <c r="J153" s="2">
        <f t="shared" si="160"/>
        <v>-4.2966269808986546E-2</v>
      </c>
    </row>
    <row r="154" spans="1:10" x14ac:dyDescent="0.45">
      <c r="A154" s="1">
        <v>40403</v>
      </c>
      <c r="B154">
        <v>75.39</v>
      </c>
      <c r="C154">
        <v>1.9956</v>
      </c>
      <c r="D154">
        <v>1.9396</v>
      </c>
      <c r="E154" s="2">
        <f t="shared" si="134"/>
        <v>6.8571999999999962</v>
      </c>
      <c r="F154" s="2">
        <f t="shared" si="136"/>
        <v>7.0154000000000183</v>
      </c>
      <c r="G154" s="2">
        <f t="shared" si="138"/>
        <v>6.9656000000000047</v>
      </c>
      <c r="H154" s="2">
        <f t="shared" si="139"/>
        <v>-2.965878160486124E-2</v>
      </c>
      <c r="I154" s="2">
        <f t="shared" ref="I154:J154" si="161">LN(C153)-LN(C152)</f>
        <v>-3.6160635129551144E-2</v>
      </c>
      <c r="J154" s="2">
        <f t="shared" si="161"/>
        <v>-2.1658573569563688E-2</v>
      </c>
    </row>
    <row r="155" spans="1:10" x14ac:dyDescent="0.45">
      <c r="A155" s="1">
        <v>40406</v>
      </c>
      <c r="B155">
        <v>75.239999999999995</v>
      </c>
      <c r="C155">
        <v>1.9887999999999999</v>
      </c>
      <c r="D155">
        <v>1.9242999999999999</v>
      </c>
      <c r="E155" s="2">
        <f t="shared" si="134"/>
        <v>6.4836000000000054</v>
      </c>
      <c r="F155" s="2">
        <f t="shared" si="136"/>
        <v>6.8571999999999962</v>
      </c>
      <c r="G155" s="2">
        <f t="shared" si="138"/>
        <v>7.0154000000000183</v>
      </c>
      <c r="H155" s="2">
        <f t="shared" si="139"/>
        <v>-4.6317822500387962E-3</v>
      </c>
      <c r="I155" s="2">
        <f t="shared" ref="I155:J155" si="162">LN(C154)-LN(C153)</f>
        <v>-2.9521424457460421E-3</v>
      </c>
      <c r="J155" s="2">
        <f t="shared" si="162"/>
        <v>-7.8061201648025325E-3</v>
      </c>
    </row>
    <row r="156" spans="1:10" x14ac:dyDescent="0.45">
      <c r="A156" s="1">
        <v>40407</v>
      </c>
      <c r="B156">
        <v>75.77</v>
      </c>
      <c r="C156">
        <v>2.0259</v>
      </c>
      <c r="D156">
        <v>1.9532</v>
      </c>
      <c r="E156" s="2">
        <f t="shared" si="134"/>
        <v>7.2822000000000076</v>
      </c>
      <c r="F156" s="2">
        <f t="shared" si="136"/>
        <v>6.4836000000000054</v>
      </c>
      <c r="G156" s="2">
        <f t="shared" si="138"/>
        <v>6.8571999999999962</v>
      </c>
      <c r="H156" s="2">
        <f t="shared" si="139"/>
        <v>-1.9916357907803217E-3</v>
      </c>
      <c r="I156" s="2">
        <f t="shared" ref="I156:J156" si="163">LN(C155)-LN(C154)</f>
        <v>-3.4133152304356429E-3</v>
      </c>
      <c r="J156" s="2">
        <f t="shared" si="163"/>
        <v>-7.9195010046839709E-3</v>
      </c>
    </row>
    <row r="157" spans="1:10" x14ac:dyDescent="0.45">
      <c r="A157" s="1">
        <v>40408</v>
      </c>
      <c r="B157">
        <v>75.78</v>
      </c>
      <c r="C157">
        <v>2.0249000000000001</v>
      </c>
      <c r="D157">
        <v>1.9612000000000001</v>
      </c>
      <c r="E157" s="2">
        <f t="shared" si="134"/>
        <v>7.482200000000006</v>
      </c>
      <c r="F157" s="2">
        <f t="shared" si="136"/>
        <v>7.2822000000000076</v>
      </c>
      <c r="G157" s="2">
        <f t="shared" si="138"/>
        <v>6.4836000000000054</v>
      </c>
      <c r="H157" s="2">
        <f t="shared" si="139"/>
        <v>7.0194315104519234E-3</v>
      </c>
      <c r="I157" s="2">
        <f t="shared" ref="I157:J157" si="164">LN(C156)-LN(C155)</f>
        <v>1.8482604492459309E-2</v>
      </c>
      <c r="J157" s="2">
        <f t="shared" si="164"/>
        <v>1.4906787960991985E-2</v>
      </c>
    </row>
    <row r="158" spans="1:10" x14ac:dyDescent="0.45">
      <c r="A158" s="1">
        <v>40409</v>
      </c>
      <c r="B158">
        <v>74.77</v>
      </c>
      <c r="C158">
        <v>2.0007000000000001</v>
      </c>
      <c r="D158">
        <v>1.9287000000000001</v>
      </c>
      <c r="E158" s="2">
        <f t="shared" si="134"/>
        <v>7.2434000000000083</v>
      </c>
      <c r="F158" s="2">
        <f t="shared" si="136"/>
        <v>7.482200000000006</v>
      </c>
      <c r="G158" s="2">
        <f t="shared" si="138"/>
        <v>7.2822000000000076</v>
      </c>
      <c r="H158" s="2">
        <f t="shared" si="139"/>
        <v>1.319696471728804E-4</v>
      </c>
      <c r="I158" s="2">
        <f t="shared" ref="I158:J158" si="165">LN(C157)-LN(C156)</f>
        <v>-4.9372964368221695E-4</v>
      </c>
      <c r="J158" s="2">
        <f t="shared" si="165"/>
        <v>4.087477589572952E-3</v>
      </c>
    </row>
    <row r="159" spans="1:10" x14ac:dyDescent="0.45">
      <c r="A159" s="1">
        <v>40410</v>
      </c>
      <c r="B159">
        <v>73.819999999999993</v>
      </c>
      <c r="C159">
        <v>1.9710000000000001</v>
      </c>
      <c r="D159">
        <v>1.8674999999999999</v>
      </c>
      <c r="E159" s="2">
        <f t="shared" si="134"/>
        <v>6.0640000000000116</v>
      </c>
      <c r="F159" s="2">
        <f t="shared" si="136"/>
        <v>7.2434000000000083</v>
      </c>
      <c r="G159" s="2">
        <f t="shared" si="138"/>
        <v>7.482200000000006</v>
      </c>
      <c r="H159" s="2">
        <f t="shared" si="139"/>
        <v>-1.3417670578630414E-2</v>
      </c>
      <c r="I159" s="2">
        <f t="shared" ref="I159:J159" si="166">LN(C158)-LN(C157)</f>
        <v>-1.2023197298853372E-2</v>
      </c>
      <c r="J159" s="2">
        <f t="shared" si="166"/>
        <v>-1.6710329961327486E-2</v>
      </c>
    </row>
    <row r="160" spans="1:10" x14ac:dyDescent="0.45">
      <c r="A160" s="1">
        <v>40413</v>
      </c>
      <c r="B160">
        <v>73.099999999999994</v>
      </c>
      <c r="C160">
        <v>1.9764999999999999</v>
      </c>
      <c r="D160">
        <v>1.839</v>
      </c>
      <c r="E160" s="2">
        <f t="shared" si="134"/>
        <v>6.0629999999999979</v>
      </c>
      <c r="F160" s="2">
        <f t="shared" si="136"/>
        <v>6.0640000000000116</v>
      </c>
      <c r="G160" s="2">
        <f t="shared" si="138"/>
        <v>7.2434000000000083</v>
      </c>
      <c r="H160" s="2">
        <f t="shared" si="139"/>
        <v>-1.2787037409972335E-2</v>
      </c>
      <c r="I160" s="2">
        <f t="shared" ref="I160:J160" si="167">LN(C159)-LN(C158)</f>
        <v>-1.4956091153650153E-2</v>
      </c>
      <c r="J160" s="2">
        <f t="shared" si="167"/>
        <v>-3.2245562808778439E-2</v>
      </c>
    </row>
    <row r="161" spans="1:10" x14ac:dyDescent="0.45">
      <c r="A161" s="1">
        <v>40414</v>
      </c>
      <c r="B161">
        <v>71.63</v>
      </c>
      <c r="C161">
        <v>1.9537</v>
      </c>
      <c r="D161">
        <v>1.8092999999999999</v>
      </c>
      <c r="E161" s="2">
        <f t="shared" si="134"/>
        <v>6.3822000000000116</v>
      </c>
      <c r="F161" s="2">
        <f t="shared" si="136"/>
        <v>6.0629999999999979</v>
      </c>
      <c r="G161" s="2">
        <f t="shared" si="138"/>
        <v>6.0640000000000116</v>
      </c>
      <c r="H161" s="2">
        <f t="shared" si="139"/>
        <v>-9.8013308461188942E-3</v>
      </c>
      <c r="I161" s="2">
        <f t="shared" ref="I161:J161" si="168">LN(C160)-LN(C159)</f>
        <v>2.7865755840199569E-3</v>
      </c>
      <c r="J161" s="2">
        <f t="shared" si="168"/>
        <v>-1.5378692402651217E-2</v>
      </c>
    </row>
    <row r="162" spans="1:10" x14ac:dyDescent="0.45">
      <c r="A162" s="1">
        <v>40415</v>
      </c>
      <c r="B162">
        <v>72.52</v>
      </c>
      <c r="C162">
        <v>1.9856</v>
      </c>
      <c r="D162">
        <v>1.8253999999999999</v>
      </c>
      <c r="E162" s="2">
        <f t="shared" si="134"/>
        <v>6.3895999999999917</v>
      </c>
      <c r="F162" s="2">
        <f t="shared" si="136"/>
        <v>6.3822000000000116</v>
      </c>
      <c r="G162" s="2">
        <f t="shared" si="138"/>
        <v>6.0629999999999979</v>
      </c>
      <c r="H162" s="2">
        <f t="shared" si="139"/>
        <v>-2.0314386129372863E-2</v>
      </c>
      <c r="I162" s="2">
        <f t="shared" ref="I162:J162" si="169">LN(C161)-LN(C160)</f>
        <v>-1.1602593139150352E-2</v>
      </c>
      <c r="J162" s="2">
        <f t="shared" si="169"/>
        <v>-1.6281915479270381E-2</v>
      </c>
    </row>
    <row r="163" spans="1:10" x14ac:dyDescent="0.45">
      <c r="A163" s="1">
        <v>40416</v>
      </c>
      <c r="B163">
        <v>73.36</v>
      </c>
      <c r="C163">
        <v>2.0236000000000001</v>
      </c>
      <c r="D163">
        <v>1.8686</v>
      </c>
      <c r="E163" s="2">
        <f t="shared" si="134"/>
        <v>7.2912000000000035</v>
      </c>
      <c r="F163" s="2">
        <f t="shared" si="136"/>
        <v>6.3895999999999917</v>
      </c>
      <c r="G163" s="2">
        <f t="shared" si="138"/>
        <v>6.3822000000000116</v>
      </c>
      <c r="H163" s="2">
        <f t="shared" si="139"/>
        <v>1.2348405260290463E-2</v>
      </c>
      <c r="I163" s="2">
        <f t="shared" ref="I163:J163" si="170">LN(C162)-LN(C161)</f>
        <v>1.6196124852753013E-2</v>
      </c>
      <c r="J163" s="2">
        <f t="shared" si="170"/>
        <v>8.8591109577261795E-3</v>
      </c>
    </row>
    <row r="164" spans="1:10" x14ac:dyDescent="0.45">
      <c r="A164" s="1">
        <v>40417</v>
      </c>
      <c r="B164">
        <v>75.17</v>
      </c>
      <c r="C164">
        <v>2.0575000000000001</v>
      </c>
      <c r="D164">
        <v>1.9148000000000001</v>
      </c>
      <c r="E164" s="2">
        <f t="shared" si="134"/>
        <v>7.2493999999999987</v>
      </c>
      <c r="F164" s="2">
        <f t="shared" si="136"/>
        <v>7.2912000000000035</v>
      </c>
      <c r="G164" s="2">
        <f t="shared" si="138"/>
        <v>6.3895999999999917</v>
      </c>
      <c r="H164" s="2">
        <f t="shared" si="139"/>
        <v>1.151644206155833E-2</v>
      </c>
      <c r="I164" s="2">
        <f t="shared" ref="I164:J164" si="171">LN(C163)-LN(C162)</f>
        <v>1.8956967967438287E-2</v>
      </c>
      <c r="J164" s="2">
        <f t="shared" si="171"/>
        <v>2.3390346276078389E-2</v>
      </c>
    </row>
    <row r="165" spans="1:10" x14ac:dyDescent="0.45">
      <c r="A165" s="1">
        <v>40420</v>
      </c>
      <c r="B165">
        <v>74.7</v>
      </c>
      <c r="C165">
        <v>2.0377000000000001</v>
      </c>
      <c r="D165">
        <v>1.9077999999999999</v>
      </c>
      <c r="E165" s="2">
        <f t="shared" si="134"/>
        <v>7.2461999999999875</v>
      </c>
      <c r="F165" s="2">
        <f t="shared" si="136"/>
        <v>7.2493999999999987</v>
      </c>
      <c r="G165" s="2">
        <f t="shared" si="138"/>
        <v>7.2912000000000035</v>
      </c>
      <c r="H165" s="2">
        <f t="shared" si="139"/>
        <v>2.4373387241168665E-2</v>
      </c>
      <c r="I165" s="2">
        <f t="shared" ref="I165:J165" si="172">LN(C164)-LN(C163)</f>
        <v>1.6613550133443789E-2</v>
      </c>
      <c r="J165" s="2">
        <f t="shared" si="172"/>
        <v>2.4423691159498717E-2</v>
      </c>
    </row>
    <row r="166" spans="1:10" x14ac:dyDescent="0.45">
      <c r="A166" s="1">
        <v>40421</v>
      </c>
      <c r="B166">
        <v>71.92</v>
      </c>
      <c r="C166">
        <v>1.9917</v>
      </c>
      <c r="D166">
        <v>1.8573999999999999</v>
      </c>
      <c r="E166" s="2">
        <f t="shared" si="134"/>
        <v>7.9710000000000036</v>
      </c>
      <c r="F166" s="2">
        <f t="shared" si="136"/>
        <v>7.2461999999999875</v>
      </c>
      <c r="G166" s="2">
        <f t="shared" si="138"/>
        <v>7.2493999999999987</v>
      </c>
      <c r="H166" s="2">
        <f t="shared" si="139"/>
        <v>-6.2721230506062042E-3</v>
      </c>
      <c r="I166" s="2">
        <f t="shared" ref="I166:J166" si="173">LN(C165)-LN(C164)</f>
        <v>-9.669932744334031E-3</v>
      </c>
      <c r="J166" s="2">
        <f t="shared" si="173"/>
        <v>-3.6624328072463186E-3</v>
      </c>
    </row>
    <row r="167" spans="1:10" x14ac:dyDescent="0.45">
      <c r="A167" s="1">
        <v>40422</v>
      </c>
      <c r="B167">
        <v>73.91</v>
      </c>
      <c r="C167">
        <v>2.0411000000000001</v>
      </c>
      <c r="D167">
        <v>1.8891</v>
      </c>
      <c r="E167" s="2">
        <f t="shared" si="134"/>
        <v>7.5602000000000089</v>
      </c>
      <c r="F167" s="2">
        <f t="shared" si="136"/>
        <v>7.9710000000000036</v>
      </c>
      <c r="G167" s="2">
        <f t="shared" si="138"/>
        <v>7.2461999999999875</v>
      </c>
      <c r="H167" s="2">
        <f t="shared" si="139"/>
        <v>-3.7925701975406234E-2</v>
      </c>
      <c r="I167" s="2">
        <f t="shared" ref="I167:J167" si="174">LN(C166)-LN(C165)</f>
        <v>-2.2833175413667472E-2</v>
      </c>
      <c r="J167" s="2">
        <f t="shared" si="174"/>
        <v>-2.6773085369199756E-2</v>
      </c>
    </row>
    <row r="168" spans="1:10" x14ac:dyDescent="0.45">
      <c r="A168" s="1">
        <v>40423</v>
      </c>
      <c r="B168">
        <v>75.02</v>
      </c>
      <c r="C168">
        <v>2.0623</v>
      </c>
      <c r="D168">
        <v>1.9216</v>
      </c>
      <c r="E168" s="2">
        <f t="shared" si="134"/>
        <v>7.6570000000000009</v>
      </c>
      <c r="F168" s="2">
        <f t="shared" si="136"/>
        <v>7.5602000000000089</v>
      </c>
      <c r="G168" s="2">
        <f t="shared" si="138"/>
        <v>7.9710000000000036</v>
      </c>
      <c r="H168" s="2">
        <f t="shared" si="139"/>
        <v>2.7293746633429983E-2</v>
      </c>
      <c r="I168" s="2">
        <f t="shared" ref="I168:J168" si="175">LN(C167)-LN(C166)</f>
        <v>2.450033280677355E-2</v>
      </c>
      <c r="J168" s="2">
        <f t="shared" si="175"/>
        <v>1.6922864820898775E-2</v>
      </c>
    </row>
    <row r="169" spans="1:10" x14ac:dyDescent="0.45">
      <c r="A169" s="1">
        <v>40424</v>
      </c>
      <c r="B169">
        <v>74.599999999999994</v>
      </c>
      <c r="C169">
        <v>2.0573000000000001</v>
      </c>
      <c r="D169">
        <v>1.9195</v>
      </c>
      <c r="E169" s="2">
        <f t="shared" si="134"/>
        <v>7.9482000000000141</v>
      </c>
      <c r="F169" s="2">
        <f t="shared" si="136"/>
        <v>7.6570000000000009</v>
      </c>
      <c r="G169" s="2">
        <f t="shared" si="138"/>
        <v>7.5602000000000089</v>
      </c>
      <c r="H169" s="2">
        <f t="shared" si="139"/>
        <v>1.4906607856945975E-2</v>
      </c>
      <c r="I169" s="2">
        <f t="shared" ref="I169:J169" si="176">LN(C168)-LN(C167)</f>
        <v>1.0332986610004369E-2</v>
      </c>
      <c r="J169" s="2">
        <f t="shared" si="176"/>
        <v>1.7057647162912359E-2</v>
      </c>
    </row>
    <row r="170" spans="1:10" x14ac:dyDescent="0.45">
      <c r="A170" s="1">
        <v>40428</v>
      </c>
      <c r="B170">
        <v>74.09</v>
      </c>
      <c r="C170">
        <v>2.0743</v>
      </c>
      <c r="D170">
        <v>1.9329000000000001</v>
      </c>
      <c r="E170" s="2">
        <f t="shared" si="134"/>
        <v>9.0714000000000024</v>
      </c>
      <c r="F170" s="2">
        <f t="shared" si="136"/>
        <v>7.9482000000000141</v>
      </c>
      <c r="G170" s="2">
        <f t="shared" si="138"/>
        <v>7.6570000000000009</v>
      </c>
      <c r="H170" s="2">
        <f t="shared" si="139"/>
        <v>-5.6142374440257825E-3</v>
      </c>
      <c r="I170" s="2">
        <f t="shared" ref="I170:J170" si="177">LN(C169)-LN(C168)</f>
        <v>-2.4274213298163261E-3</v>
      </c>
      <c r="J170" s="2">
        <f t="shared" si="177"/>
        <v>-1.0934368848666276E-3</v>
      </c>
    </row>
    <row r="171" spans="1:10" x14ac:dyDescent="0.45">
      <c r="A171" s="1">
        <v>40430</v>
      </c>
      <c r="B171">
        <v>74.25</v>
      </c>
      <c r="C171">
        <v>2.0684</v>
      </c>
      <c r="D171">
        <v>1.9354</v>
      </c>
      <c r="E171" s="2">
        <f t="shared" si="134"/>
        <v>8.8987999999999943</v>
      </c>
      <c r="F171" s="2">
        <f t="shared" si="136"/>
        <v>9.0714000000000024</v>
      </c>
      <c r="G171" s="2">
        <f t="shared" si="138"/>
        <v>7.9482000000000141</v>
      </c>
      <c r="H171" s="2">
        <f t="shared" si="139"/>
        <v>-6.8599367811499334E-3</v>
      </c>
      <c r="I171" s="2">
        <f t="shared" ref="I171:J171" si="178">LN(C170)-LN(C169)</f>
        <v>8.2293038719147837E-3</v>
      </c>
      <c r="J171" s="2">
        <f t="shared" si="178"/>
        <v>6.9567303718540696E-3</v>
      </c>
    </row>
    <row r="172" spans="1:10" x14ac:dyDescent="0.45">
      <c r="A172" s="1">
        <v>40431</v>
      </c>
      <c r="B172">
        <v>76.45</v>
      </c>
      <c r="C172">
        <v>2.1044</v>
      </c>
      <c r="D172">
        <v>1.9731000000000001</v>
      </c>
      <c r="E172" s="2">
        <f t="shared" si="134"/>
        <v>8.2583999999999946</v>
      </c>
      <c r="F172" s="2">
        <f t="shared" si="136"/>
        <v>8.8987999999999943</v>
      </c>
      <c r="G172" s="2">
        <f t="shared" si="138"/>
        <v>9.0714000000000024</v>
      </c>
      <c r="H172" s="2">
        <f t="shared" si="139"/>
        <v>2.1572072542435095E-3</v>
      </c>
      <c r="I172" s="2">
        <f t="shared" ref="I172:J172" si="179">LN(C171)-LN(C170)</f>
        <v>-2.8483858300333287E-3</v>
      </c>
      <c r="J172" s="2">
        <f t="shared" si="179"/>
        <v>1.2925576341357159E-3</v>
      </c>
    </row>
    <row r="173" spans="1:10" x14ac:dyDescent="0.45">
      <c r="A173" s="1">
        <v>40434</v>
      </c>
      <c r="B173">
        <v>77.19</v>
      </c>
      <c r="C173">
        <v>2.1227</v>
      </c>
      <c r="D173">
        <v>1.9805999999999999</v>
      </c>
      <c r="E173" s="2">
        <f t="shared" si="134"/>
        <v>7.9846000000000004</v>
      </c>
      <c r="F173" s="2">
        <f t="shared" si="136"/>
        <v>8.2583999999999946</v>
      </c>
      <c r="G173" s="2">
        <f t="shared" si="138"/>
        <v>8.8987999999999943</v>
      </c>
      <c r="H173" s="2">
        <f t="shared" si="139"/>
        <v>2.9199154692262752E-2</v>
      </c>
      <c r="I173" s="2">
        <f t="shared" ref="I173:J173" si="180">LN(C172)-LN(C171)</f>
        <v>1.7255029334585781E-2</v>
      </c>
      <c r="J173" s="2">
        <f t="shared" si="180"/>
        <v>1.9291886528572832E-2</v>
      </c>
    </row>
    <row r="174" spans="1:10" x14ac:dyDescent="0.45">
      <c r="A174" s="1">
        <v>40435</v>
      </c>
      <c r="B174">
        <v>76.8</v>
      </c>
      <c r="C174">
        <v>2.1288</v>
      </c>
      <c r="D174">
        <v>1.9690000000000001</v>
      </c>
      <c r="E174" s="2">
        <f t="shared" si="134"/>
        <v>8.1352000000000171</v>
      </c>
      <c r="F174" s="2">
        <f t="shared" si="136"/>
        <v>7.9846000000000004</v>
      </c>
      <c r="G174" s="2">
        <f t="shared" si="138"/>
        <v>8.2583999999999946</v>
      </c>
      <c r="H174" s="2">
        <f t="shared" si="139"/>
        <v>9.6329825866909857E-3</v>
      </c>
      <c r="I174" s="2">
        <f t="shared" ref="I174:J174" si="181">LN(C173)-LN(C172)</f>
        <v>8.6584723937460639E-3</v>
      </c>
      <c r="J174" s="2">
        <f t="shared" si="181"/>
        <v>3.7939191117872806E-3</v>
      </c>
    </row>
    <row r="175" spans="1:10" x14ac:dyDescent="0.45">
      <c r="A175" s="1">
        <v>40436</v>
      </c>
      <c r="B175">
        <v>76.02</v>
      </c>
      <c r="C175">
        <v>2.1326000000000001</v>
      </c>
      <c r="D175">
        <v>1.9624999999999999</v>
      </c>
      <c r="E175" s="2">
        <f t="shared" si="134"/>
        <v>8.7863999999999951</v>
      </c>
      <c r="F175" s="2">
        <f t="shared" si="136"/>
        <v>8.1352000000000171</v>
      </c>
      <c r="G175" s="2">
        <f t="shared" si="138"/>
        <v>7.9846000000000004</v>
      </c>
      <c r="H175" s="2">
        <f t="shared" si="139"/>
        <v>-5.0652748081363441E-3</v>
      </c>
      <c r="I175" s="2">
        <f t="shared" ref="I175:J175" si="182">LN(C174)-LN(C173)</f>
        <v>2.8695774130811369E-3</v>
      </c>
      <c r="J175" s="2">
        <f t="shared" si="182"/>
        <v>-5.8740294480766897E-3</v>
      </c>
    </row>
    <row r="176" spans="1:10" x14ac:dyDescent="0.45">
      <c r="A176" s="1">
        <v>40437</v>
      </c>
      <c r="B176">
        <v>74.569999999999993</v>
      </c>
      <c r="C176">
        <v>2.0990000000000002</v>
      </c>
      <c r="D176">
        <v>1.9247000000000001</v>
      </c>
      <c r="E176" s="2">
        <f t="shared" si="134"/>
        <v>8.7076000000000136</v>
      </c>
      <c r="F176" s="2">
        <f t="shared" si="136"/>
        <v>8.7863999999999951</v>
      </c>
      <c r="G176" s="2">
        <f t="shared" si="138"/>
        <v>8.1352000000000171</v>
      </c>
      <c r="H176" s="2">
        <f t="shared" si="139"/>
        <v>-1.0208176592524154E-2</v>
      </c>
      <c r="I176" s="2">
        <f t="shared" ref="I176:J176" si="183">LN(C175)-LN(C174)</f>
        <v>1.7834519205998101E-3</v>
      </c>
      <c r="J176" s="2">
        <f t="shared" si="183"/>
        <v>-3.3066289825621764E-3</v>
      </c>
    </row>
    <row r="177" spans="1:10" x14ac:dyDescent="0.45">
      <c r="A177" s="1">
        <v>40438</v>
      </c>
      <c r="B177">
        <v>74.92</v>
      </c>
      <c r="C177">
        <v>2.0992000000000002</v>
      </c>
      <c r="D177">
        <v>1.9192</v>
      </c>
      <c r="E177" s="2">
        <f t="shared" si="134"/>
        <v>8.206400000000011</v>
      </c>
      <c r="F177" s="2">
        <f t="shared" si="136"/>
        <v>8.7076000000000136</v>
      </c>
      <c r="G177" s="2">
        <f t="shared" si="138"/>
        <v>8.7863999999999951</v>
      </c>
      <c r="H177" s="2">
        <f t="shared" si="139"/>
        <v>-1.9258182005398972E-2</v>
      </c>
      <c r="I177" s="2">
        <f t="shared" ref="I177:J177" si="184">LN(C176)-LN(C175)</f>
        <v>-1.5880851763446113E-2</v>
      </c>
      <c r="J177" s="2">
        <f t="shared" si="184"/>
        <v>-1.9449059235485233E-2</v>
      </c>
    </row>
    <row r="178" spans="1:10" x14ac:dyDescent="0.45">
      <c r="A178" s="1">
        <v>40441</v>
      </c>
      <c r="B178">
        <v>76.19</v>
      </c>
      <c r="C178">
        <v>2.1394000000000002</v>
      </c>
      <c r="D178">
        <v>1.9496</v>
      </c>
      <c r="E178" s="2">
        <f t="shared" si="134"/>
        <v>8.3504000000000076</v>
      </c>
      <c r="F178" s="2">
        <f t="shared" si="136"/>
        <v>8.206400000000011</v>
      </c>
      <c r="G178" s="2">
        <f t="shared" si="138"/>
        <v>8.7076000000000136</v>
      </c>
      <c r="H178" s="2">
        <f t="shared" si="139"/>
        <v>4.682596020184171E-3</v>
      </c>
      <c r="I178" s="2">
        <f t="shared" ref="I178:J178" si="185">LN(C177)-LN(C176)</f>
        <v>9.5278929136854984E-5</v>
      </c>
      <c r="J178" s="2">
        <f t="shared" si="185"/>
        <v>-2.8616788955934114E-3</v>
      </c>
    </row>
    <row r="179" spans="1:10" x14ac:dyDescent="0.45">
      <c r="A179" s="1">
        <v>40442</v>
      </c>
      <c r="B179">
        <v>74.97</v>
      </c>
      <c r="C179">
        <v>2.1362000000000001</v>
      </c>
      <c r="D179">
        <v>1.9196</v>
      </c>
      <c r="E179" s="2">
        <f t="shared" si="134"/>
        <v>8.6855999999999938</v>
      </c>
      <c r="F179" s="2">
        <f t="shared" si="136"/>
        <v>8.3504000000000076</v>
      </c>
      <c r="G179" s="2">
        <f t="shared" si="138"/>
        <v>8.206400000000011</v>
      </c>
      <c r="H179" s="2">
        <f t="shared" si="139"/>
        <v>1.6809342909031244E-2</v>
      </c>
      <c r="I179" s="2">
        <f t="shared" ref="I179:J179" si="186">LN(C178)-LN(C177)</f>
        <v>1.8969096122260609E-2</v>
      </c>
      <c r="J179" s="2">
        <f t="shared" si="186"/>
        <v>1.5715790785511663E-2</v>
      </c>
    </row>
    <row r="180" spans="1:10" x14ac:dyDescent="0.45">
      <c r="A180" s="1">
        <v>40443</v>
      </c>
      <c r="B180">
        <v>74.709999999999994</v>
      </c>
      <c r="C180">
        <v>2.125</v>
      </c>
      <c r="D180">
        <v>1.9013</v>
      </c>
      <c r="E180" s="2">
        <f t="shared" si="134"/>
        <v>8.2764000000000042</v>
      </c>
      <c r="F180" s="2">
        <f t="shared" si="136"/>
        <v>8.6855999999999938</v>
      </c>
      <c r="G180" s="2">
        <f t="shared" si="138"/>
        <v>8.3504000000000076</v>
      </c>
      <c r="H180" s="2">
        <f t="shared" si="139"/>
        <v>-1.6142186969948291E-2</v>
      </c>
      <c r="I180" s="2">
        <f t="shared" ref="I180:J180" si="187">LN(C179)-LN(C178)</f>
        <v>-1.4968662164354107E-3</v>
      </c>
      <c r="J180" s="2">
        <f t="shared" si="187"/>
        <v>-1.5507392326906011E-2</v>
      </c>
    </row>
    <row r="181" spans="1:10" x14ac:dyDescent="0.45">
      <c r="A181" s="1">
        <v>40444</v>
      </c>
      <c r="B181">
        <v>75.180000000000007</v>
      </c>
      <c r="C181">
        <v>2.1335000000000002</v>
      </c>
      <c r="D181">
        <v>1.9129</v>
      </c>
      <c r="E181" s="2">
        <f t="shared" si="134"/>
        <v>8.2502000000000066</v>
      </c>
      <c r="F181" s="2">
        <f t="shared" si="136"/>
        <v>8.2764000000000042</v>
      </c>
      <c r="G181" s="2">
        <f t="shared" si="138"/>
        <v>8.6855999999999938</v>
      </c>
      <c r="H181" s="2">
        <f t="shared" si="139"/>
        <v>-3.4740815272602532E-3</v>
      </c>
      <c r="I181" s="2">
        <f t="shared" ref="I181:J181" si="188">LN(C180)-LN(C179)</f>
        <v>-5.2567472970779239E-3</v>
      </c>
      <c r="J181" s="2">
        <f t="shared" si="188"/>
        <v>-9.5789682685500921E-3</v>
      </c>
    </row>
    <row r="182" spans="1:10" x14ac:dyDescent="0.45">
      <c r="A182" s="1">
        <v>40445</v>
      </c>
      <c r="B182">
        <v>76.489999999999995</v>
      </c>
      <c r="C182">
        <v>2.1499000000000001</v>
      </c>
      <c r="D182">
        <v>1.9403999999999999</v>
      </c>
      <c r="E182" s="2">
        <f t="shared" si="134"/>
        <v>7.9398000000000097</v>
      </c>
      <c r="F182" s="2">
        <f t="shared" si="136"/>
        <v>8.2502000000000066</v>
      </c>
      <c r="G182" s="2">
        <f t="shared" si="138"/>
        <v>8.2764000000000042</v>
      </c>
      <c r="H182" s="2">
        <f t="shared" si="139"/>
        <v>6.2712861483218418E-3</v>
      </c>
      <c r="I182" s="2">
        <f t="shared" ref="I182:J182" si="189">LN(C181)-LN(C180)</f>
        <v>3.9920212695374602E-3</v>
      </c>
      <c r="J182" s="2">
        <f t="shared" si="189"/>
        <v>6.0825524430675459E-3</v>
      </c>
    </row>
    <row r="183" spans="1:10" x14ac:dyDescent="0.45">
      <c r="A183" s="1">
        <v>40448</v>
      </c>
      <c r="B183">
        <v>76.52</v>
      </c>
      <c r="C183">
        <v>2.1394000000000002</v>
      </c>
      <c r="D183">
        <v>1.9391</v>
      </c>
      <c r="E183" s="2">
        <f t="shared" si="134"/>
        <v>7.7264000000000026</v>
      </c>
      <c r="F183" s="2">
        <f t="shared" si="136"/>
        <v>7.9398000000000097</v>
      </c>
      <c r="G183" s="2">
        <f t="shared" si="138"/>
        <v>8.2502000000000066</v>
      </c>
      <c r="H183" s="2">
        <f t="shared" si="139"/>
        <v>1.7274775197742898E-2</v>
      </c>
      <c r="I183" s="2">
        <f t="shared" ref="I183:J183" si="190">LN(C182)-LN(C181)</f>
        <v>7.657505784047558E-3</v>
      </c>
      <c r="J183" s="2">
        <f t="shared" si="190"/>
        <v>1.4273722212453488E-2</v>
      </c>
    </row>
    <row r="184" spans="1:10" x14ac:dyDescent="0.45">
      <c r="A184" s="1">
        <v>40450</v>
      </c>
      <c r="B184">
        <v>77.86</v>
      </c>
      <c r="C184">
        <v>2.2113</v>
      </c>
      <c r="D184">
        <v>1.9829000000000001</v>
      </c>
      <c r="E184" s="2">
        <f t="shared" si="134"/>
        <v>8.6194000000000042</v>
      </c>
      <c r="F184" s="2">
        <f t="shared" si="136"/>
        <v>7.7264000000000026</v>
      </c>
      <c r="G184" s="2">
        <f t="shared" si="138"/>
        <v>7.9398000000000097</v>
      </c>
      <c r="H184" s="2">
        <f t="shared" si="139"/>
        <v>3.9213123827686047E-4</v>
      </c>
      <c r="I184" s="2">
        <f t="shared" ref="I184:J184" si="191">LN(C183)-LN(C182)</f>
        <v>-4.8959135400716836E-3</v>
      </c>
      <c r="J184" s="2">
        <f t="shared" si="191"/>
        <v>-6.7018948248909194E-4</v>
      </c>
    </row>
    <row r="185" spans="1:10" x14ac:dyDescent="0.45">
      <c r="A185" s="1">
        <v>40451</v>
      </c>
      <c r="B185">
        <v>79.97</v>
      </c>
      <c r="C185">
        <v>2.2677999999999998</v>
      </c>
      <c r="D185">
        <v>2.0360999999999998</v>
      </c>
      <c r="E185" s="2">
        <f t="shared" si="134"/>
        <v>8.789999999999992</v>
      </c>
      <c r="F185" s="2">
        <f t="shared" si="136"/>
        <v>8.6194000000000042</v>
      </c>
      <c r="G185" s="2">
        <f t="shared" si="138"/>
        <v>7.7264000000000026</v>
      </c>
      <c r="H185" s="2">
        <f t="shared" si="139"/>
        <v>1.7360197610257977E-2</v>
      </c>
      <c r="I185" s="2">
        <f t="shared" ref="I185:J185" si="192">LN(C184)-LN(C183)</f>
        <v>3.3055161991322302E-2</v>
      </c>
      <c r="J185" s="2">
        <f t="shared" si="192"/>
        <v>2.2336471716187467E-2</v>
      </c>
    </row>
    <row r="186" spans="1:10" x14ac:dyDescent="0.45">
      <c r="A186" s="1">
        <v>40452</v>
      </c>
      <c r="B186">
        <v>81.58</v>
      </c>
      <c r="C186">
        <v>2.2938000000000001</v>
      </c>
      <c r="D186">
        <v>2.0861000000000001</v>
      </c>
      <c r="E186" s="2">
        <f t="shared" si="134"/>
        <v>8.9439999999999973</v>
      </c>
      <c r="F186" s="2">
        <f t="shared" si="136"/>
        <v>8.789999999999992</v>
      </c>
      <c r="G186" s="2">
        <f t="shared" si="138"/>
        <v>8.6194000000000042</v>
      </c>
      <c r="H186" s="2">
        <f t="shared" si="139"/>
        <v>2.6739222161488385E-2</v>
      </c>
      <c r="I186" s="2">
        <f t="shared" ref="I186:J186" si="193">LN(C185)-LN(C184)</f>
        <v>2.5229620674386499E-2</v>
      </c>
      <c r="J186" s="2">
        <f t="shared" si="193"/>
        <v>2.6475793773062528E-2</v>
      </c>
    </row>
    <row r="187" spans="1:10" x14ac:dyDescent="0.45">
      <c r="A187" s="1">
        <v>40455</v>
      </c>
      <c r="B187">
        <v>81.47</v>
      </c>
      <c r="C187">
        <v>2.2847</v>
      </c>
      <c r="D187">
        <v>2.0933000000000002</v>
      </c>
      <c r="E187" s="2">
        <f t="shared" si="134"/>
        <v>9.1282000000000014</v>
      </c>
      <c r="F187" s="2">
        <f t="shared" si="136"/>
        <v>8.9439999999999973</v>
      </c>
      <c r="G187" s="2">
        <f t="shared" si="138"/>
        <v>8.789999999999992</v>
      </c>
      <c r="H187" s="2">
        <f t="shared" si="139"/>
        <v>1.9932569545614065E-2</v>
      </c>
      <c r="I187" s="2">
        <f t="shared" ref="I187:J187" si="194">LN(C186)-LN(C185)</f>
        <v>1.1399632392682713E-2</v>
      </c>
      <c r="J187" s="2">
        <f t="shared" si="194"/>
        <v>2.426008067241836E-2</v>
      </c>
    </row>
    <row r="188" spans="1:10" x14ac:dyDescent="0.45">
      <c r="A188" s="1">
        <v>40456</v>
      </c>
      <c r="B188">
        <v>82.82</v>
      </c>
      <c r="C188">
        <v>2.3026</v>
      </c>
      <c r="D188">
        <v>2.1255000000000002</v>
      </c>
      <c r="E188" s="2">
        <f t="shared" si="134"/>
        <v>8.9304000000000006</v>
      </c>
      <c r="F188" s="2">
        <f t="shared" si="136"/>
        <v>9.1282000000000014</v>
      </c>
      <c r="G188" s="2">
        <f t="shared" si="138"/>
        <v>8.9439999999999973</v>
      </c>
      <c r="H188" s="2">
        <f t="shared" si="139"/>
        <v>-1.3492795668614832E-3</v>
      </c>
      <c r="I188" s="2">
        <f t="shared" ref="I188:J188" si="195">LN(C187)-LN(C186)</f>
        <v>-3.9751062499849832E-3</v>
      </c>
      <c r="J188" s="2">
        <f t="shared" si="195"/>
        <v>3.4454740502337655E-3</v>
      </c>
    </row>
    <row r="189" spans="1:10" x14ac:dyDescent="0.45">
      <c r="A189" s="1">
        <v>40457</v>
      </c>
      <c r="B189">
        <v>83.23</v>
      </c>
      <c r="C189">
        <v>2.3077999999999999</v>
      </c>
      <c r="D189">
        <v>2.1558999999999999</v>
      </c>
      <c r="E189" s="2">
        <f t="shared" si="134"/>
        <v>9.4443999999999928</v>
      </c>
      <c r="F189" s="2">
        <f t="shared" si="136"/>
        <v>8.9304000000000006</v>
      </c>
      <c r="G189" s="2">
        <f t="shared" si="138"/>
        <v>9.1282000000000014</v>
      </c>
      <c r="H189" s="2">
        <f t="shared" si="139"/>
        <v>1.6434723794870543E-2</v>
      </c>
      <c r="I189" s="2">
        <f t="shared" ref="I189:J189" si="196">LN(C188)-LN(C187)</f>
        <v>7.8041945591269535E-3</v>
      </c>
      <c r="J189" s="2">
        <f t="shared" si="196"/>
        <v>1.526530069837051E-2</v>
      </c>
    </row>
    <row r="190" spans="1:10" x14ac:dyDescent="0.45">
      <c r="A190" s="1">
        <v>40458</v>
      </c>
      <c r="B190">
        <v>81.67</v>
      </c>
      <c r="C190">
        <v>2.2517999999999998</v>
      </c>
      <c r="D190">
        <v>2.1179999999999999</v>
      </c>
      <c r="E190" s="2">
        <f t="shared" si="134"/>
        <v>9.1591999999999985</v>
      </c>
      <c r="F190" s="2">
        <f t="shared" si="136"/>
        <v>9.4443999999999928</v>
      </c>
      <c r="G190" s="2">
        <f t="shared" si="138"/>
        <v>8.9304000000000006</v>
      </c>
      <c r="H190" s="2">
        <f t="shared" si="139"/>
        <v>4.9382816405829644E-3</v>
      </c>
      <c r="I190" s="2">
        <f t="shared" ref="I190:J190" si="197">LN(C189)-LN(C188)</f>
        <v>2.2557705210032308E-3</v>
      </c>
      <c r="J190" s="2">
        <f t="shared" si="197"/>
        <v>1.4201200965116456E-2</v>
      </c>
    </row>
    <row r="191" spans="1:10" x14ac:dyDescent="0.45">
      <c r="A191" s="1">
        <v>40459</v>
      </c>
      <c r="B191">
        <v>82.66</v>
      </c>
      <c r="C191">
        <v>2.2818999999999998</v>
      </c>
      <c r="D191">
        <v>2.1511999999999998</v>
      </c>
      <c r="E191" s="2">
        <f t="shared" si="134"/>
        <v>9.5201999999999973</v>
      </c>
      <c r="F191" s="2">
        <f t="shared" si="136"/>
        <v>9.1591999999999985</v>
      </c>
      <c r="G191" s="2">
        <f t="shared" si="138"/>
        <v>9.4443999999999928</v>
      </c>
      <c r="H191" s="2">
        <f t="shared" si="139"/>
        <v>-1.8921122387819622E-2</v>
      </c>
      <c r="I191" s="2">
        <f t="shared" ref="I191:J191" si="198">LN(C190)-LN(C189)</f>
        <v>-2.4564793391537276E-2</v>
      </c>
      <c r="J191" s="2">
        <f t="shared" si="198"/>
        <v>-1.7736022602609647E-2</v>
      </c>
    </row>
    <row r="192" spans="1:10" x14ac:dyDescent="0.45">
      <c r="A192" s="1">
        <v>40462</v>
      </c>
      <c r="B192">
        <v>82.21</v>
      </c>
      <c r="C192">
        <v>2.2789999999999999</v>
      </c>
      <c r="D192">
        <v>2.1655000000000002</v>
      </c>
      <c r="E192" s="2">
        <f t="shared" si="134"/>
        <v>10.330000000000004</v>
      </c>
      <c r="F192" s="2">
        <f t="shared" si="136"/>
        <v>9.5201999999999973</v>
      </c>
      <c r="G192" s="2">
        <f t="shared" si="138"/>
        <v>9.1591999999999985</v>
      </c>
      <c r="H192" s="2">
        <f t="shared" si="139"/>
        <v>1.2049071713401638E-2</v>
      </c>
      <c r="I192" s="2">
        <f t="shared" ref="I192:J192" si="199">LN(C191)-LN(C190)</f>
        <v>1.3278532883348237E-2</v>
      </c>
      <c r="J192" s="2">
        <f t="shared" si="199"/>
        <v>1.5553578793303102E-2</v>
      </c>
    </row>
    <row r="193" spans="1:10" x14ac:dyDescent="0.45">
      <c r="A193" s="1">
        <v>40463</v>
      </c>
      <c r="B193">
        <v>81.67</v>
      </c>
      <c r="C193">
        <v>2.2625000000000002</v>
      </c>
      <c r="D193">
        <v>2.1238999999999999</v>
      </c>
      <c r="E193" s="2">
        <f t="shared" si="134"/>
        <v>9.4741999999999962</v>
      </c>
      <c r="F193" s="2">
        <f t="shared" si="136"/>
        <v>10.330000000000004</v>
      </c>
      <c r="G193" s="2">
        <f t="shared" si="138"/>
        <v>9.5201999999999973</v>
      </c>
      <c r="H193" s="2">
        <f t="shared" si="139"/>
        <v>-5.4588599195444232E-3</v>
      </c>
      <c r="I193" s="2">
        <f t="shared" ref="I193:J193" si="200">LN(C192)-LN(C191)</f>
        <v>-1.2716790066940042E-3</v>
      </c>
      <c r="J193" s="2">
        <f t="shared" si="200"/>
        <v>6.6254557000265946E-3</v>
      </c>
    </row>
    <row r="194" spans="1:10" x14ac:dyDescent="0.45">
      <c r="A194" s="1">
        <v>40464</v>
      </c>
      <c r="B194">
        <v>83.01</v>
      </c>
      <c r="C194">
        <v>2.3007</v>
      </c>
      <c r="D194">
        <v>2.1661000000000001</v>
      </c>
      <c r="E194" s="2">
        <f t="shared" si="134"/>
        <v>9.8506000000000054</v>
      </c>
      <c r="F194" s="2">
        <f t="shared" si="136"/>
        <v>9.4741999999999962</v>
      </c>
      <c r="G194" s="2">
        <f t="shared" si="138"/>
        <v>10.330000000000004</v>
      </c>
      <c r="H194" s="2">
        <f t="shared" si="139"/>
        <v>-6.5902117938572147E-3</v>
      </c>
      <c r="I194" s="2">
        <f t="shared" ref="I194:J194" si="201">LN(C193)-LN(C192)</f>
        <v>-7.2663536716029986E-3</v>
      </c>
      <c r="J194" s="2">
        <f t="shared" si="201"/>
        <v>-1.9397260380480508E-2</v>
      </c>
    </row>
    <row r="195" spans="1:10" x14ac:dyDescent="0.45">
      <c r="A195" s="1">
        <v>40465</v>
      </c>
      <c r="B195">
        <v>82.69</v>
      </c>
      <c r="C195">
        <v>2.2839</v>
      </c>
      <c r="D195">
        <v>2.1364999999999998</v>
      </c>
      <c r="E195" s="2">
        <f t="shared" ref="E195:E258" si="202">(2*D195*42+1*C195*42-3*B195)/3</f>
        <v>9.1065999999999949</v>
      </c>
      <c r="F195" s="2">
        <f t="shared" si="136"/>
        <v>9.8506000000000054</v>
      </c>
      <c r="G195" s="2">
        <f t="shared" si="138"/>
        <v>9.4741999999999962</v>
      </c>
      <c r="H195" s="2">
        <f t="shared" si="139"/>
        <v>1.6274345096759291E-2</v>
      </c>
      <c r="I195" s="2">
        <f t="shared" ref="I195:J195" si="203">LN(C194)-LN(C193)</f>
        <v>1.6743027864841942E-2</v>
      </c>
      <c r="J195" s="2">
        <f t="shared" si="203"/>
        <v>1.9674294272731596E-2</v>
      </c>
    </row>
    <row r="196" spans="1:10" x14ac:dyDescent="0.45">
      <c r="A196" s="1">
        <v>40466</v>
      </c>
      <c r="B196">
        <v>81.25</v>
      </c>
      <c r="C196">
        <v>2.2307999999999999</v>
      </c>
      <c r="D196">
        <v>2.1038000000000001</v>
      </c>
      <c r="E196" s="2">
        <f t="shared" si="202"/>
        <v>8.8876000000000008</v>
      </c>
      <c r="F196" s="2">
        <f t="shared" ref="F196:F259" si="204">E195</f>
        <v>9.1065999999999949</v>
      </c>
      <c r="G196" s="2">
        <f t="shared" si="138"/>
        <v>9.8506000000000054</v>
      </c>
      <c r="H196" s="2">
        <f t="shared" si="139"/>
        <v>-3.8624067328685285E-3</v>
      </c>
      <c r="I196" s="2">
        <f t="shared" ref="I196:J196" si="205">LN(C195)-LN(C194)</f>
        <v>-7.3289164586465283E-3</v>
      </c>
      <c r="J196" s="2">
        <f t="shared" si="205"/>
        <v>-1.3759339462852904E-2</v>
      </c>
    </row>
    <row r="197" spans="1:10" x14ac:dyDescent="0.45">
      <c r="A197" s="1">
        <v>40469</v>
      </c>
      <c r="B197">
        <v>83.8</v>
      </c>
      <c r="C197">
        <v>2.2761</v>
      </c>
      <c r="D197">
        <v>2.1515</v>
      </c>
      <c r="E197" s="2">
        <f t="shared" si="202"/>
        <v>8.3074000000000101</v>
      </c>
      <c r="F197" s="2">
        <f t="shared" si="204"/>
        <v>8.8876000000000008</v>
      </c>
      <c r="G197" s="2">
        <f t="shared" ref="G197:G260" si="206">E195</f>
        <v>9.1065999999999949</v>
      </c>
      <c r="H197" s="2">
        <f t="shared" ref="H197:H260" si="207">LN(B196)-LN(B195)</f>
        <v>-1.7567854524228821E-2</v>
      </c>
      <c r="I197" s="2">
        <f t="shared" ref="I197:J197" si="208">LN(C196)-LN(C195)</f>
        <v>-2.3524242464878053E-2</v>
      </c>
      <c r="J197" s="2">
        <f t="shared" si="208"/>
        <v>-1.5423742778905791E-2</v>
      </c>
    </row>
    <row r="198" spans="1:10" x14ac:dyDescent="0.45">
      <c r="A198" s="1">
        <v>40470</v>
      </c>
      <c r="B198">
        <v>80.16</v>
      </c>
      <c r="C198">
        <v>2.1892999999999998</v>
      </c>
      <c r="D198">
        <v>2.0482999999999998</v>
      </c>
      <c r="E198" s="2">
        <f t="shared" si="202"/>
        <v>7.8425999999999947</v>
      </c>
      <c r="F198" s="2">
        <f t="shared" si="204"/>
        <v>8.3074000000000101</v>
      </c>
      <c r="G198" s="2">
        <f t="shared" si="206"/>
        <v>8.8876000000000008</v>
      </c>
      <c r="H198" s="2">
        <f t="shared" si="207"/>
        <v>3.0902186278190413E-2</v>
      </c>
      <c r="I198" s="2">
        <f t="shared" ref="I198:J198" si="209">LN(C197)-LN(C196)</f>
        <v>2.0103186496740255E-2</v>
      </c>
      <c r="J198" s="2">
        <f t="shared" si="209"/>
        <v>2.2420039973480521E-2</v>
      </c>
    </row>
    <row r="199" spans="1:10" x14ac:dyDescent="0.45">
      <c r="A199" s="1">
        <v>40471</v>
      </c>
      <c r="B199">
        <v>82.54</v>
      </c>
      <c r="C199">
        <v>2.2547999999999999</v>
      </c>
      <c r="D199">
        <v>2.0729000000000002</v>
      </c>
      <c r="E199" s="2">
        <f t="shared" si="202"/>
        <v>7.0683999999999969</v>
      </c>
      <c r="F199" s="2">
        <f t="shared" si="204"/>
        <v>7.8425999999999947</v>
      </c>
      <c r="G199" s="2">
        <f t="shared" si="206"/>
        <v>8.3074000000000101</v>
      </c>
      <c r="H199" s="2">
        <f t="shared" si="207"/>
        <v>-4.4408370151482579E-2</v>
      </c>
      <c r="I199" s="2">
        <f t="shared" ref="I199:J199" si="210">LN(C198)-LN(C197)</f>
        <v>-3.8881593998848496E-2</v>
      </c>
      <c r="J199" s="2">
        <f t="shared" si="210"/>
        <v>-4.9155092472044526E-2</v>
      </c>
    </row>
    <row r="200" spans="1:10" x14ac:dyDescent="0.45">
      <c r="A200" s="1">
        <v>40472</v>
      </c>
      <c r="B200">
        <v>80.56</v>
      </c>
      <c r="C200">
        <v>2.2330000000000001</v>
      </c>
      <c r="D200">
        <v>2.0299999999999998</v>
      </c>
      <c r="E200" s="2">
        <f t="shared" si="202"/>
        <v>7.5419999999999918</v>
      </c>
      <c r="F200" s="2">
        <f t="shared" si="204"/>
        <v>7.0683999999999969</v>
      </c>
      <c r="G200" s="2">
        <f t="shared" si="206"/>
        <v>7.8425999999999947</v>
      </c>
      <c r="H200" s="2">
        <f t="shared" si="207"/>
        <v>2.9258386987881302E-2</v>
      </c>
      <c r="I200" s="2">
        <f t="shared" ref="I200:J200" si="211">LN(C199)-LN(C198)</f>
        <v>2.9479419194129552E-2</v>
      </c>
      <c r="J200" s="2">
        <f t="shared" si="211"/>
        <v>1.193841219885583E-2</v>
      </c>
    </row>
    <row r="201" spans="1:10" x14ac:dyDescent="0.45">
      <c r="A201" s="1">
        <v>40473</v>
      </c>
      <c r="B201">
        <v>81.69</v>
      </c>
      <c r="C201">
        <v>2.2690999999999999</v>
      </c>
      <c r="D201">
        <v>2.0539999999999998</v>
      </c>
      <c r="E201" s="2">
        <f t="shared" si="202"/>
        <v>7.5893999999999933</v>
      </c>
      <c r="F201" s="2">
        <f t="shared" si="204"/>
        <v>7.5419999999999918</v>
      </c>
      <c r="G201" s="2">
        <f t="shared" si="206"/>
        <v>7.0683999999999969</v>
      </c>
      <c r="H201" s="2">
        <f t="shared" si="207"/>
        <v>-2.4280775914128583E-2</v>
      </c>
      <c r="I201" s="2">
        <f t="shared" ref="I201:J201" si="212">LN(C200)-LN(C199)</f>
        <v>-9.7153043672619788E-3</v>
      </c>
      <c r="J201" s="2">
        <f t="shared" si="212"/>
        <v>-2.0912799969632689E-2</v>
      </c>
    </row>
    <row r="202" spans="1:10" x14ac:dyDescent="0.45">
      <c r="A202" s="1">
        <v>40476</v>
      </c>
      <c r="B202">
        <v>82.52</v>
      </c>
      <c r="C202">
        <v>2.2740999999999998</v>
      </c>
      <c r="D202">
        <v>2.0672999999999999</v>
      </c>
      <c r="E202" s="2">
        <f t="shared" si="202"/>
        <v>7.2017999999999915</v>
      </c>
      <c r="F202" s="2">
        <f t="shared" si="204"/>
        <v>7.5893999999999933</v>
      </c>
      <c r="G202" s="2">
        <f t="shared" si="206"/>
        <v>7.5419999999999918</v>
      </c>
      <c r="H202" s="2">
        <f t="shared" si="207"/>
        <v>1.3929346943470478E-2</v>
      </c>
      <c r="I202" s="2">
        <f t="shared" ref="I202:J202" si="213">LN(C201)-LN(C200)</f>
        <v>1.6037304247066175E-2</v>
      </c>
      <c r="J202" s="2">
        <f t="shared" si="213"/>
        <v>1.1753318452670469E-2</v>
      </c>
    </row>
    <row r="203" spans="1:10" x14ac:dyDescent="0.45">
      <c r="A203" s="1">
        <v>40477</v>
      </c>
      <c r="B203">
        <v>82.55</v>
      </c>
      <c r="C203">
        <v>2.2684000000000002</v>
      </c>
      <c r="D203">
        <v>2.0771999999999999</v>
      </c>
      <c r="E203" s="2">
        <f t="shared" si="202"/>
        <v>7.3692000000000162</v>
      </c>
      <c r="F203" s="2">
        <f t="shared" si="204"/>
        <v>7.2017999999999915</v>
      </c>
      <c r="G203" s="2">
        <f t="shared" si="206"/>
        <v>7.5893999999999933</v>
      </c>
      <c r="H203" s="2">
        <f t="shared" si="207"/>
        <v>1.0109092849273082E-2</v>
      </c>
      <c r="I203" s="2">
        <f t="shared" ref="I203:J203" si="214">LN(C202)-LN(C201)</f>
        <v>2.2010926301594402E-3</v>
      </c>
      <c r="J203" s="2">
        <f t="shared" si="214"/>
        <v>6.4542965427685228E-3</v>
      </c>
    </row>
    <row r="204" spans="1:10" x14ac:dyDescent="0.45">
      <c r="A204" s="1">
        <v>40478</v>
      </c>
      <c r="B204">
        <v>81.94</v>
      </c>
      <c r="C204">
        <v>2.2562000000000002</v>
      </c>
      <c r="D204">
        <v>2.0754000000000001</v>
      </c>
      <c r="E204" s="2">
        <f t="shared" si="202"/>
        <v>7.7580000000000195</v>
      </c>
      <c r="F204" s="2">
        <f t="shared" si="204"/>
        <v>7.3692000000000162</v>
      </c>
      <c r="G204" s="2">
        <f t="shared" si="206"/>
        <v>7.2017999999999915</v>
      </c>
      <c r="H204" s="2">
        <f t="shared" si="207"/>
        <v>3.6348216308645931E-4</v>
      </c>
      <c r="I204" s="2">
        <f t="shared" ref="I204:J204" si="215">LN(C203)-LN(C202)</f>
        <v>-2.5096325775105788E-3</v>
      </c>
      <c r="J204" s="2">
        <f t="shared" si="215"/>
        <v>4.7774249388918832E-3</v>
      </c>
    </row>
    <row r="205" spans="1:10" x14ac:dyDescent="0.45">
      <c r="A205" s="1">
        <v>40479</v>
      </c>
      <c r="B205">
        <v>82.18</v>
      </c>
      <c r="C205">
        <v>2.2593999999999999</v>
      </c>
      <c r="D205">
        <v>2.0828000000000002</v>
      </c>
      <c r="E205" s="2">
        <f t="shared" si="202"/>
        <v>7.7700000000000005</v>
      </c>
      <c r="F205" s="2">
        <f t="shared" si="204"/>
        <v>7.7580000000000195</v>
      </c>
      <c r="G205" s="2">
        <f t="shared" si="206"/>
        <v>7.3692000000000162</v>
      </c>
      <c r="H205" s="2">
        <f t="shared" si="207"/>
        <v>-7.4168982474116518E-3</v>
      </c>
      <c r="I205" s="2">
        <f t="shared" ref="I205:J205" si="216">LN(C204)-LN(C203)</f>
        <v>-5.3927549690528931E-3</v>
      </c>
      <c r="J205" s="2">
        <f t="shared" si="216"/>
        <v>-8.6692679898570102E-4</v>
      </c>
    </row>
    <row r="206" spans="1:10" x14ac:dyDescent="0.45">
      <c r="A206" s="1">
        <v>40480</v>
      </c>
      <c r="B206">
        <v>81.430000000000007</v>
      </c>
      <c r="C206">
        <v>2.2376999999999998</v>
      </c>
      <c r="D206">
        <v>2.0594000000000001</v>
      </c>
      <c r="E206" s="2">
        <f t="shared" si="202"/>
        <v>7.5609999999999786</v>
      </c>
      <c r="F206" s="2">
        <f t="shared" si="204"/>
        <v>7.7700000000000005</v>
      </c>
      <c r="G206" s="2">
        <f t="shared" si="206"/>
        <v>7.7580000000000195</v>
      </c>
      <c r="H206" s="2">
        <f t="shared" si="207"/>
        <v>2.9246913365383875E-3</v>
      </c>
      <c r="I206" s="2">
        <f t="shared" ref="I206:J206" si="217">LN(C205)-LN(C204)</f>
        <v>1.4173091220082146E-3</v>
      </c>
      <c r="J206" s="2">
        <f t="shared" si="217"/>
        <v>3.5592361175660336E-3</v>
      </c>
    </row>
    <row r="207" spans="1:10" x14ac:dyDescent="0.45">
      <c r="A207" s="1">
        <v>40483</v>
      </c>
      <c r="B207">
        <v>82.95</v>
      </c>
      <c r="C207">
        <v>2.2776999999999998</v>
      </c>
      <c r="D207">
        <v>2.0929000000000002</v>
      </c>
      <c r="E207" s="2">
        <f t="shared" si="202"/>
        <v>7.5389999999999873</v>
      </c>
      <c r="F207" s="2">
        <f t="shared" si="204"/>
        <v>7.5609999999999786</v>
      </c>
      <c r="G207" s="2">
        <f t="shared" si="206"/>
        <v>7.7700000000000005</v>
      </c>
      <c r="H207" s="2">
        <f t="shared" si="207"/>
        <v>-9.1682079762236413E-3</v>
      </c>
      <c r="I207" s="2">
        <f t="shared" ref="I207:J207" si="218">LN(C206)-LN(C205)</f>
        <v>-9.6507386636011105E-3</v>
      </c>
      <c r="J207" s="2">
        <f t="shared" si="218"/>
        <v>-1.1298464066093694E-2</v>
      </c>
    </row>
    <row r="208" spans="1:10" x14ac:dyDescent="0.45">
      <c r="A208" s="1">
        <v>40484</v>
      </c>
      <c r="B208">
        <v>83.9</v>
      </c>
      <c r="C208">
        <v>2.2936000000000001</v>
      </c>
      <c r="D208">
        <v>2.1095999999999999</v>
      </c>
      <c r="E208" s="2">
        <f t="shared" si="202"/>
        <v>7.2791999999999932</v>
      </c>
      <c r="F208" s="2">
        <f t="shared" si="204"/>
        <v>7.5389999999999873</v>
      </c>
      <c r="G208" s="2">
        <f t="shared" si="206"/>
        <v>7.5609999999999786</v>
      </c>
      <c r="H208" s="2">
        <f t="shared" si="207"/>
        <v>1.8494261157413483E-2</v>
      </c>
      <c r="I208" s="2">
        <f t="shared" ref="I208:J208" si="219">LN(C207)-LN(C206)</f>
        <v>1.7717609236589937E-2</v>
      </c>
      <c r="J208" s="2">
        <f t="shared" si="219"/>
        <v>1.6135985773281791E-2</v>
      </c>
    </row>
    <row r="209" spans="1:10" x14ac:dyDescent="0.45">
      <c r="A209" s="1">
        <v>40485</v>
      </c>
      <c r="B209">
        <v>84.69</v>
      </c>
      <c r="C209">
        <v>2.3279000000000001</v>
      </c>
      <c r="D209">
        <v>2.1379999999999999</v>
      </c>
      <c r="E209" s="2">
        <f t="shared" si="202"/>
        <v>7.7645999999999917</v>
      </c>
      <c r="F209" s="2">
        <f t="shared" si="204"/>
        <v>7.2791999999999932</v>
      </c>
      <c r="G209" s="2">
        <f t="shared" si="206"/>
        <v>7.5389999999999873</v>
      </c>
      <c r="H209" s="2">
        <f t="shared" si="207"/>
        <v>1.1387596836707203E-2</v>
      </c>
      <c r="I209" s="2">
        <f t="shared" ref="I209:J209" si="220">LN(C208)-LN(C207)</f>
        <v>6.956473703342958E-3</v>
      </c>
      <c r="J209" s="2">
        <f t="shared" si="220"/>
        <v>7.9476920431446052E-3</v>
      </c>
    </row>
    <row r="210" spans="1:10" x14ac:dyDescent="0.45">
      <c r="A210" s="1">
        <v>40486</v>
      </c>
      <c r="B210">
        <v>86.49</v>
      </c>
      <c r="C210">
        <v>2.3731</v>
      </c>
      <c r="D210">
        <v>2.1770999999999998</v>
      </c>
      <c r="E210" s="2">
        <f t="shared" si="202"/>
        <v>7.6922000000000139</v>
      </c>
      <c r="F210" s="2">
        <f t="shared" si="204"/>
        <v>7.7645999999999917</v>
      </c>
      <c r="G210" s="2">
        <f t="shared" si="206"/>
        <v>7.2791999999999932</v>
      </c>
      <c r="H210" s="2">
        <f t="shared" si="207"/>
        <v>9.3719174603466016E-3</v>
      </c>
      <c r="I210" s="2">
        <f t="shared" ref="I210:J210" si="221">LN(C209)-LN(C208)</f>
        <v>1.4843938033101467E-2</v>
      </c>
      <c r="J210" s="2">
        <f t="shared" si="221"/>
        <v>1.3372456545913569E-2</v>
      </c>
    </row>
    <row r="211" spans="1:10" x14ac:dyDescent="0.45">
      <c r="A211" s="1">
        <v>40487</v>
      </c>
      <c r="B211">
        <v>86.85</v>
      </c>
      <c r="C211">
        <v>2.3847999999999998</v>
      </c>
      <c r="D211">
        <v>2.1800000000000002</v>
      </c>
      <c r="E211" s="2">
        <f t="shared" si="202"/>
        <v>7.5772000000000235</v>
      </c>
      <c r="F211" s="2">
        <f t="shared" si="204"/>
        <v>7.6922000000000139</v>
      </c>
      <c r="G211" s="2">
        <f t="shared" si="206"/>
        <v>7.7645999999999917</v>
      </c>
      <c r="H211" s="2">
        <f t="shared" si="207"/>
        <v>2.1031269384913287E-2</v>
      </c>
      <c r="I211" s="2">
        <f t="shared" ref="I211:J211" si="222">LN(C210)-LN(C209)</f>
        <v>1.9230543695710867E-2</v>
      </c>
      <c r="J211" s="2">
        <f t="shared" si="222"/>
        <v>1.8122903367210452E-2</v>
      </c>
    </row>
    <row r="212" spans="1:10" x14ac:dyDescent="0.45">
      <c r="A212" s="1">
        <v>40490</v>
      </c>
      <c r="B212">
        <v>87.06</v>
      </c>
      <c r="C212">
        <v>2.3976999999999999</v>
      </c>
      <c r="D212">
        <v>2.1785000000000001</v>
      </c>
      <c r="E212" s="2">
        <f t="shared" si="202"/>
        <v>7.5058000000000034</v>
      </c>
      <c r="F212" s="2">
        <f t="shared" si="204"/>
        <v>7.5772000000000235</v>
      </c>
      <c r="G212" s="2">
        <f t="shared" si="206"/>
        <v>7.6922000000000139</v>
      </c>
      <c r="H212" s="2">
        <f t="shared" si="207"/>
        <v>4.1536923686935623E-3</v>
      </c>
      <c r="I212" s="2">
        <f t="shared" ref="I212:J212" si="223">LN(C211)-LN(C210)</f>
        <v>4.9181460658891396E-3</v>
      </c>
      <c r="J212" s="2">
        <f t="shared" si="223"/>
        <v>1.3311608309338752E-3</v>
      </c>
    </row>
    <row r="213" spans="1:10" x14ac:dyDescent="0.45">
      <c r="A213" s="1">
        <v>40491</v>
      </c>
      <c r="B213">
        <v>86.72</v>
      </c>
      <c r="C213">
        <v>2.4066999999999998</v>
      </c>
      <c r="D213">
        <v>2.1850000000000001</v>
      </c>
      <c r="E213" s="2">
        <f t="shared" si="202"/>
        <v>8.1538000000000093</v>
      </c>
      <c r="F213" s="2">
        <f t="shared" si="204"/>
        <v>7.5058000000000034</v>
      </c>
      <c r="G213" s="2">
        <f t="shared" si="206"/>
        <v>7.5772000000000235</v>
      </c>
      <c r="H213" s="2">
        <f t="shared" si="207"/>
        <v>2.4150434370371343E-3</v>
      </c>
      <c r="I213" s="2">
        <f t="shared" ref="I213:J213" si="224">LN(C212)-LN(C211)</f>
        <v>5.3946811438634334E-3</v>
      </c>
      <c r="J213" s="2">
        <f t="shared" si="224"/>
        <v>-6.8831022563786703E-4</v>
      </c>
    </row>
    <row r="214" spans="1:10" x14ac:dyDescent="0.45">
      <c r="A214" s="1">
        <v>40492</v>
      </c>
      <c r="B214">
        <v>87.81</v>
      </c>
      <c r="C214">
        <v>2.4419</v>
      </c>
      <c r="D214">
        <v>2.2362000000000002</v>
      </c>
      <c r="E214" s="2">
        <f t="shared" si="202"/>
        <v>8.9901999999999962</v>
      </c>
      <c r="F214" s="2">
        <f t="shared" si="204"/>
        <v>8.1538000000000093</v>
      </c>
      <c r="G214" s="2">
        <f t="shared" si="206"/>
        <v>7.5058000000000034</v>
      </c>
      <c r="H214" s="2">
        <f t="shared" si="207"/>
        <v>-3.912998432815229E-3</v>
      </c>
      <c r="I214" s="2">
        <f t="shared" ref="I214:J214" si="225">LN(C213)-LN(C212)</f>
        <v>3.7465700306335004E-3</v>
      </c>
      <c r="J214" s="2">
        <f t="shared" si="225"/>
        <v>2.9792619721936697E-3</v>
      </c>
    </row>
    <row r="215" spans="1:10" x14ac:dyDescent="0.45">
      <c r="A215" s="1">
        <v>40493</v>
      </c>
      <c r="B215">
        <v>87.81</v>
      </c>
      <c r="C215">
        <v>2.4266000000000001</v>
      </c>
      <c r="D215">
        <v>2.2357</v>
      </c>
      <c r="E215" s="2">
        <f t="shared" si="202"/>
        <v>8.7620000000000005</v>
      </c>
      <c r="F215" s="2">
        <f t="shared" si="204"/>
        <v>8.9901999999999962</v>
      </c>
      <c r="G215" s="2">
        <f t="shared" si="206"/>
        <v>8.1538000000000093</v>
      </c>
      <c r="H215" s="2">
        <f t="shared" si="207"/>
        <v>1.2490851680568404E-2</v>
      </c>
      <c r="I215" s="2">
        <f t="shared" ref="I215:J215" si="226">LN(C214)-LN(C213)</f>
        <v>1.4519910252865587E-2</v>
      </c>
      <c r="J215" s="2">
        <f t="shared" si="226"/>
        <v>2.3162168183577303E-2</v>
      </c>
    </row>
    <row r="216" spans="1:10" x14ac:dyDescent="0.45">
      <c r="A216" s="1">
        <v>40494</v>
      </c>
      <c r="B216">
        <v>84.88</v>
      </c>
      <c r="C216">
        <v>2.3632</v>
      </c>
      <c r="D216">
        <v>2.2099000000000002</v>
      </c>
      <c r="E216" s="2">
        <f t="shared" si="202"/>
        <v>10.082000000000013</v>
      </c>
      <c r="F216" s="2">
        <f t="shared" si="204"/>
        <v>8.7620000000000005</v>
      </c>
      <c r="G216" s="2">
        <f t="shared" si="206"/>
        <v>8.9901999999999962</v>
      </c>
      <c r="H216" s="2">
        <f t="shared" si="207"/>
        <v>0</v>
      </c>
      <c r="I216" s="2">
        <f t="shared" ref="I216:J216" si="227">LN(C215)-LN(C214)</f>
        <v>-6.2853241734514009E-3</v>
      </c>
      <c r="J216" s="2">
        <f t="shared" si="227"/>
        <v>-2.2361859705444243E-4</v>
      </c>
    </row>
    <row r="217" spans="1:10" x14ac:dyDescent="0.45">
      <c r="A217" s="1">
        <v>40497</v>
      </c>
      <c r="B217">
        <v>84.86</v>
      </c>
      <c r="C217">
        <v>2.3708999999999998</v>
      </c>
      <c r="D217">
        <v>2.1949999999999998</v>
      </c>
      <c r="E217" s="2">
        <f t="shared" si="202"/>
        <v>9.7926000000000126</v>
      </c>
      <c r="F217" s="2">
        <f t="shared" si="204"/>
        <v>10.082000000000013</v>
      </c>
      <c r="G217" s="2">
        <f t="shared" si="206"/>
        <v>8.7620000000000005</v>
      </c>
      <c r="H217" s="2">
        <f t="shared" si="207"/>
        <v>-3.3936895066177364E-2</v>
      </c>
      <c r="I217" s="2">
        <f t="shared" ref="I217:J217" si="228">LN(C216)-LN(C215)</f>
        <v>-2.6474467840657323E-2</v>
      </c>
      <c r="J217" s="2">
        <f t="shared" si="228"/>
        <v>-1.160711249695412E-2</v>
      </c>
    </row>
    <row r="218" spans="1:10" x14ac:dyDescent="0.45">
      <c r="A218" s="1">
        <v>40498</v>
      </c>
      <c r="B218">
        <v>82.34</v>
      </c>
      <c r="C218">
        <v>2.3090000000000002</v>
      </c>
      <c r="D218">
        <v>2.1556999999999999</v>
      </c>
      <c r="E218" s="2">
        <f t="shared" si="202"/>
        <v>10.345599999999999</v>
      </c>
      <c r="F218" s="2">
        <f t="shared" si="204"/>
        <v>9.7926000000000126</v>
      </c>
      <c r="G218" s="2">
        <f t="shared" si="206"/>
        <v>10.082000000000013</v>
      </c>
      <c r="H218" s="2">
        <f t="shared" si="207"/>
        <v>-2.3565453154805738E-4</v>
      </c>
      <c r="I218" s="2">
        <f t="shared" ref="I218:J218" si="229">LN(C217)-LN(C216)</f>
        <v>3.252997101923838E-3</v>
      </c>
      <c r="J218" s="2">
        <f t="shared" si="229"/>
        <v>-6.7652191099876191E-3</v>
      </c>
    </row>
    <row r="219" spans="1:10" x14ac:dyDescent="0.45">
      <c r="A219" s="1">
        <v>40499</v>
      </c>
      <c r="B219">
        <v>81.040000000000006</v>
      </c>
      <c r="C219">
        <v>2.2519</v>
      </c>
      <c r="D219">
        <v>2.1579000000000002</v>
      </c>
      <c r="E219" s="2">
        <f t="shared" si="202"/>
        <v>10.907800000000009</v>
      </c>
      <c r="F219" s="2">
        <f t="shared" si="204"/>
        <v>10.345599999999999</v>
      </c>
      <c r="G219" s="2">
        <f t="shared" si="206"/>
        <v>9.7926000000000126</v>
      </c>
      <c r="H219" s="2">
        <f t="shared" si="207"/>
        <v>-3.0145823432420116E-2</v>
      </c>
      <c r="I219" s="2">
        <f t="shared" ref="I219:J219" si="230">LN(C218)-LN(C217)</f>
        <v>-2.6455099524543724E-2</v>
      </c>
      <c r="J219" s="2">
        <f t="shared" si="230"/>
        <v>-1.8066549729883752E-2</v>
      </c>
    </row>
    <row r="220" spans="1:10" x14ac:dyDescent="0.45">
      <c r="A220" s="1">
        <v>40500</v>
      </c>
      <c r="B220">
        <v>82.42</v>
      </c>
      <c r="C220">
        <v>2.2951000000000001</v>
      </c>
      <c r="D220">
        <v>2.1585000000000001</v>
      </c>
      <c r="E220" s="2">
        <f t="shared" si="202"/>
        <v>10.149400000000014</v>
      </c>
      <c r="F220" s="2">
        <f t="shared" si="204"/>
        <v>10.907800000000009</v>
      </c>
      <c r="G220" s="2">
        <f t="shared" si="206"/>
        <v>10.345599999999999</v>
      </c>
      <c r="H220" s="2">
        <f t="shared" si="207"/>
        <v>-1.5914156401331425E-2</v>
      </c>
      <c r="I220" s="2">
        <f t="shared" ref="I220:J220" si="231">LN(C219)-LN(C218)</f>
        <v>-2.5040226054201531E-2</v>
      </c>
      <c r="J220" s="2">
        <f t="shared" si="231"/>
        <v>1.020029762032304E-3</v>
      </c>
    </row>
    <row r="221" spans="1:10" x14ac:dyDescent="0.45">
      <c r="A221" s="1">
        <v>40501</v>
      </c>
      <c r="B221">
        <v>81.98</v>
      </c>
      <c r="C221">
        <v>2.2917999999999998</v>
      </c>
      <c r="D221">
        <v>2.1271</v>
      </c>
      <c r="E221" s="2">
        <f t="shared" si="202"/>
        <v>9.6640000000000068</v>
      </c>
      <c r="F221" s="2">
        <f t="shared" si="204"/>
        <v>10.149400000000014</v>
      </c>
      <c r="G221" s="2">
        <f t="shared" si="206"/>
        <v>10.907800000000009</v>
      </c>
      <c r="H221" s="2">
        <f t="shared" si="207"/>
        <v>1.6885265970243424E-2</v>
      </c>
      <c r="I221" s="2">
        <f t="shared" ref="I221:J221" si="232">LN(C220)-LN(C219)</f>
        <v>1.9002111229826202E-2</v>
      </c>
      <c r="J221" s="2">
        <f t="shared" si="232"/>
        <v>2.7800945411204925E-4</v>
      </c>
    </row>
    <row r="222" spans="1:10" x14ac:dyDescent="0.45">
      <c r="A222" s="1">
        <v>40504</v>
      </c>
      <c r="B222">
        <v>81.739999999999995</v>
      </c>
      <c r="C222">
        <v>2.2856000000000001</v>
      </c>
      <c r="D222">
        <v>2.0977000000000001</v>
      </c>
      <c r="E222" s="2">
        <f t="shared" si="202"/>
        <v>8.9940000000000087</v>
      </c>
      <c r="F222" s="2">
        <f t="shared" si="204"/>
        <v>9.6640000000000068</v>
      </c>
      <c r="G222" s="2">
        <f t="shared" si="206"/>
        <v>10.149400000000014</v>
      </c>
      <c r="H222" s="2">
        <f t="shared" si="207"/>
        <v>-5.3528108344798042E-3</v>
      </c>
      <c r="I222" s="2">
        <f t="shared" ref="I222:J222" si="233">LN(C221)-LN(C220)</f>
        <v>-1.4388805377724134E-3</v>
      </c>
      <c r="J222" s="2">
        <f t="shared" si="233"/>
        <v>-1.4653986325927515E-2</v>
      </c>
    </row>
    <row r="223" spans="1:10" x14ac:dyDescent="0.45">
      <c r="A223" s="1">
        <v>40505</v>
      </c>
      <c r="B223">
        <v>81.25</v>
      </c>
      <c r="C223">
        <v>2.2669000000000001</v>
      </c>
      <c r="D223">
        <v>2.0868000000000002</v>
      </c>
      <c r="E223" s="2">
        <f t="shared" si="202"/>
        <v>8.9169999999999927</v>
      </c>
      <c r="F223" s="2">
        <f t="shared" si="204"/>
        <v>8.9940000000000087</v>
      </c>
      <c r="G223" s="2">
        <f t="shared" si="206"/>
        <v>9.6640000000000068</v>
      </c>
      <c r="H223" s="2">
        <f t="shared" si="207"/>
        <v>-2.9318369400597177E-3</v>
      </c>
      <c r="I223" s="2">
        <f t="shared" ref="I223:J223" si="234">LN(C222)-LN(C221)</f>
        <v>-2.7089630757843874E-3</v>
      </c>
      <c r="J223" s="2">
        <f t="shared" si="234"/>
        <v>-1.3918043264860791E-2</v>
      </c>
    </row>
    <row r="224" spans="1:10" x14ac:dyDescent="0.45">
      <c r="A224" s="1">
        <v>40506</v>
      </c>
      <c r="B224">
        <v>83.86</v>
      </c>
      <c r="C224">
        <v>2.3418000000000001</v>
      </c>
      <c r="D224">
        <v>2.1617999999999999</v>
      </c>
      <c r="E224" s="2">
        <f t="shared" si="202"/>
        <v>9.455600000000004</v>
      </c>
      <c r="F224" s="2">
        <f t="shared" si="204"/>
        <v>8.9169999999999927</v>
      </c>
      <c r="G224" s="2">
        <f t="shared" si="206"/>
        <v>8.9940000000000087</v>
      </c>
      <c r="H224" s="2">
        <f t="shared" si="207"/>
        <v>-6.0126569262850538E-3</v>
      </c>
      <c r="I224" s="2">
        <f t="shared" ref="I224:J224" si="235">LN(C223)-LN(C222)</f>
        <v>-8.2153125420836304E-3</v>
      </c>
      <c r="J224" s="2">
        <f t="shared" si="235"/>
        <v>-5.2097142565061816E-3</v>
      </c>
    </row>
    <row r="225" spans="1:10" x14ac:dyDescent="0.45">
      <c r="A225" s="1">
        <v>40508</v>
      </c>
      <c r="B225">
        <v>83.76</v>
      </c>
      <c r="C225">
        <v>2.3330000000000002</v>
      </c>
      <c r="D225">
        <v>2.1583999999999999</v>
      </c>
      <c r="E225" s="2">
        <f t="shared" si="202"/>
        <v>9.3371999999999957</v>
      </c>
      <c r="F225" s="2">
        <f t="shared" si="204"/>
        <v>9.455600000000004</v>
      </c>
      <c r="G225" s="2">
        <f t="shared" si="206"/>
        <v>8.9169999999999927</v>
      </c>
      <c r="H225" s="2">
        <f t="shared" si="207"/>
        <v>3.1617920532769794E-2</v>
      </c>
      <c r="I225" s="2">
        <f t="shared" ref="I225:J225" si="236">LN(C224)-LN(C223)</f>
        <v>3.2506605040144576E-2</v>
      </c>
      <c r="J225" s="2">
        <f t="shared" si="236"/>
        <v>3.530941583386471E-2</v>
      </c>
    </row>
    <row r="226" spans="1:10" x14ac:dyDescent="0.45">
      <c r="A226" s="1">
        <v>40511</v>
      </c>
      <c r="B226">
        <v>85.73</v>
      </c>
      <c r="C226">
        <v>2.3803000000000001</v>
      </c>
      <c r="D226">
        <v>2.2244000000000002</v>
      </c>
      <c r="E226" s="2">
        <f t="shared" si="202"/>
        <v>9.8774000000000033</v>
      </c>
      <c r="F226" s="2">
        <f t="shared" si="204"/>
        <v>9.3371999999999957</v>
      </c>
      <c r="G226" s="2">
        <f t="shared" si="206"/>
        <v>9.455600000000004</v>
      </c>
      <c r="H226" s="2">
        <f t="shared" si="207"/>
        <v>-1.1931751803349044E-3</v>
      </c>
      <c r="I226" s="2">
        <f t="shared" ref="I226:J226" si="237">LN(C225)-LN(C224)</f>
        <v>-3.7648713931942579E-3</v>
      </c>
      <c r="J226" s="2">
        <f t="shared" si="237"/>
        <v>-1.5740015286110909E-3</v>
      </c>
    </row>
    <row r="227" spans="1:10" x14ac:dyDescent="0.45">
      <c r="A227" s="1">
        <v>40512</v>
      </c>
      <c r="B227">
        <v>84.11</v>
      </c>
      <c r="C227">
        <v>2.3243999999999998</v>
      </c>
      <c r="D227">
        <v>2.1867999999999999</v>
      </c>
      <c r="E227" s="2">
        <f t="shared" si="202"/>
        <v>9.6619999999999973</v>
      </c>
      <c r="F227" s="2">
        <f t="shared" si="204"/>
        <v>9.8774000000000033</v>
      </c>
      <c r="G227" s="2">
        <f t="shared" si="206"/>
        <v>9.3371999999999957</v>
      </c>
      <c r="H227" s="2">
        <f t="shared" si="207"/>
        <v>2.3247256128382965E-2</v>
      </c>
      <c r="I227" s="2">
        <f t="shared" ref="I227:J227" si="238">LN(C226)-LN(C225)</f>
        <v>2.0071537120571747E-2</v>
      </c>
      <c r="J227" s="2">
        <f t="shared" si="238"/>
        <v>3.0120009859917585E-2</v>
      </c>
    </row>
    <row r="228" spans="1:10" x14ac:dyDescent="0.45">
      <c r="A228" s="1">
        <v>40513</v>
      </c>
      <c r="B228">
        <v>86.75</v>
      </c>
      <c r="C228">
        <v>2.4056000000000002</v>
      </c>
      <c r="D228">
        <v>2.3003999999999998</v>
      </c>
      <c r="E228" s="2">
        <f t="shared" si="202"/>
        <v>11.339599999999981</v>
      </c>
      <c r="F228" s="2">
        <f t="shared" si="204"/>
        <v>9.6619999999999973</v>
      </c>
      <c r="G228" s="2">
        <f t="shared" si="206"/>
        <v>9.8774000000000033</v>
      </c>
      <c r="H228" s="2">
        <f t="shared" si="207"/>
        <v>-1.907735671631805E-2</v>
      </c>
      <c r="I228" s="2">
        <f t="shared" ref="I228:J228" si="239">LN(C227)-LN(C226)</f>
        <v>-2.3764588941051379E-2</v>
      </c>
      <c r="J228" s="2">
        <f t="shared" si="239"/>
        <v>-1.7047928292564851E-2</v>
      </c>
    </row>
    <row r="229" spans="1:10" x14ac:dyDescent="0.45">
      <c r="A229" s="1">
        <v>40514</v>
      </c>
      <c r="B229">
        <v>88</v>
      </c>
      <c r="C229">
        <v>2.4546000000000001</v>
      </c>
      <c r="D229">
        <v>2.3553000000000002</v>
      </c>
      <c r="E229" s="2">
        <f t="shared" si="202"/>
        <v>12.312800000000001</v>
      </c>
      <c r="F229" s="2">
        <f t="shared" si="204"/>
        <v>11.339599999999981</v>
      </c>
      <c r="G229" s="2">
        <f t="shared" si="206"/>
        <v>9.6619999999999973</v>
      </c>
      <c r="H229" s="2">
        <f t="shared" si="207"/>
        <v>3.0904952852622181E-2</v>
      </c>
      <c r="I229" s="2">
        <f t="shared" ref="I229:J229" si="240">LN(C228)-LN(C227)</f>
        <v>3.4337411473368995E-2</v>
      </c>
      <c r="J229" s="2">
        <f t="shared" si="240"/>
        <v>5.0643732818754894E-2</v>
      </c>
    </row>
    <row r="230" spans="1:10" x14ac:dyDescent="0.45">
      <c r="A230" s="1">
        <v>40515</v>
      </c>
      <c r="B230">
        <v>89.19</v>
      </c>
      <c r="C230">
        <v>2.4874000000000001</v>
      </c>
      <c r="D230">
        <v>2.3521000000000001</v>
      </c>
      <c r="E230" s="2">
        <f t="shared" si="202"/>
        <v>11.492399999999995</v>
      </c>
      <c r="F230" s="2">
        <f t="shared" si="204"/>
        <v>12.312800000000001</v>
      </c>
      <c r="G230" s="2">
        <f t="shared" si="206"/>
        <v>11.339599999999981</v>
      </c>
      <c r="H230" s="2">
        <f t="shared" si="207"/>
        <v>1.4306395651238368E-2</v>
      </c>
      <c r="I230" s="2">
        <f t="shared" ref="I230:J230" si="241">LN(C229)-LN(C228)</f>
        <v>2.0164462489088542E-2</v>
      </c>
      <c r="J230" s="2">
        <f t="shared" si="241"/>
        <v>2.3585087032720553E-2</v>
      </c>
    </row>
    <row r="231" spans="1:10" x14ac:dyDescent="0.45">
      <c r="A231" s="1">
        <v>40518</v>
      </c>
      <c r="B231">
        <v>89.38</v>
      </c>
      <c r="C231">
        <v>2.4756999999999998</v>
      </c>
      <c r="D231">
        <v>2.3416999999999999</v>
      </c>
      <c r="E231" s="2">
        <f t="shared" si="202"/>
        <v>10.847399999999993</v>
      </c>
      <c r="F231" s="2">
        <f t="shared" si="204"/>
        <v>11.492399999999995</v>
      </c>
      <c r="G231" s="2">
        <f t="shared" si="206"/>
        <v>12.312800000000001</v>
      </c>
      <c r="H231" s="2">
        <f t="shared" si="207"/>
        <v>1.3432111199908725E-2</v>
      </c>
      <c r="I231" s="2">
        <f t="shared" ref="I231:J231" si="242">LN(C230)-LN(C229)</f>
        <v>1.3274173056232685E-2</v>
      </c>
      <c r="J231" s="2">
        <f t="shared" si="242"/>
        <v>-1.3595617508216362E-3</v>
      </c>
    </row>
    <row r="232" spans="1:10" x14ac:dyDescent="0.45">
      <c r="A232" s="1">
        <v>40519</v>
      </c>
      <c r="B232">
        <v>88.69</v>
      </c>
      <c r="C232">
        <v>2.4702000000000002</v>
      </c>
      <c r="D232">
        <v>2.323</v>
      </c>
      <c r="E232" s="2">
        <f t="shared" si="202"/>
        <v>10.936800000000005</v>
      </c>
      <c r="F232" s="2">
        <f t="shared" si="204"/>
        <v>10.847399999999993</v>
      </c>
      <c r="G232" s="2">
        <f t="shared" si="206"/>
        <v>11.492399999999995</v>
      </c>
      <c r="H232" s="2">
        <f t="shared" si="207"/>
        <v>2.1280178271894101E-3</v>
      </c>
      <c r="I232" s="2">
        <f t="shared" ref="I232:J232" si="243">LN(C231)-LN(C230)</f>
        <v>-4.7148039224008675E-3</v>
      </c>
      <c r="J232" s="2">
        <f t="shared" si="243"/>
        <v>-4.431384813531225E-3</v>
      </c>
    </row>
    <row r="233" spans="1:10" x14ac:dyDescent="0.45">
      <c r="A233" s="1">
        <v>40520</v>
      </c>
      <c r="B233">
        <v>88.28</v>
      </c>
      <c r="C233">
        <v>2.4607000000000001</v>
      </c>
      <c r="D233">
        <v>2.3046000000000002</v>
      </c>
      <c r="E233" s="2">
        <f t="shared" si="202"/>
        <v>10.698599999999999</v>
      </c>
      <c r="F233" s="2">
        <f t="shared" si="204"/>
        <v>10.936800000000005</v>
      </c>
      <c r="G233" s="2">
        <f t="shared" si="206"/>
        <v>10.847399999999993</v>
      </c>
      <c r="H233" s="2">
        <f t="shared" si="207"/>
        <v>-7.7498001169438169E-3</v>
      </c>
      <c r="I233" s="2">
        <f t="shared" ref="I233:J233" si="244">LN(C232)-LN(C231)</f>
        <v>-2.2240652933256388E-3</v>
      </c>
      <c r="J233" s="2">
        <f t="shared" si="244"/>
        <v>-8.0177075375575946E-3</v>
      </c>
    </row>
    <row r="234" spans="1:10" x14ac:dyDescent="0.45">
      <c r="A234" s="1">
        <v>40521</v>
      </c>
      <c r="B234">
        <v>88.37</v>
      </c>
      <c r="C234">
        <v>2.4668000000000001</v>
      </c>
      <c r="D234">
        <v>2.3405</v>
      </c>
      <c r="E234" s="2">
        <f t="shared" si="202"/>
        <v>11.699199999999999</v>
      </c>
      <c r="F234" s="2">
        <f t="shared" si="204"/>
        <v>10.698599999999999</v>
      </c>
      <c r="G234" s="2">
        <f t="shared" si="206"/>
        <v>10.936800000000005</v>
      </c>
      <c r="H234" s="2">
        <f t="shared" si="207"/>
        <v>-4.6335619998254529E-3</v>
      </c>
      <c r="I234" s="2">
        <f t="shared" ref="I234:J234" si="245">LN(C233)-LN(C232)</f>
        <v>-3.8532567094595738E-3</v>
      </c>
      <c r="J234" s="2">
        <f t="shared" si="245"/>
        <v>-7.9523281904949616E-3</v>
      </c>
    </row>
    <row r="235" spans="1:10" x14ac:dyDescent="0.45">
      <c r="A235" s="1">
        <v>40522</v>
      </c>
      <c r="B235">
        <v>87.79</v>
      </c>
      <c r="C235">
        <v>2.4575</v>
      </c>
      <c r="D235">
        <v>2.3092999999999999</v>
      </c>
      <c r="E235" s="2">
        <f t="shared" si="202"/>
        <v>11.275399999999991</v>
      </c>
      <c r="F235" s="2">
        <f t="shared" si="204"/>
        <v>11.699199999999999</v>
      </c>
      <c r="G235" s="2">
        <f t="shared" si="206"/>
        <v>10.698599999999999</v>
      </c>
      <c r="H235" s="2">
        <f t="shared" si="207"/>
        <v>1.0189641413775874E-3</v>
      </c>
      <c r="I235" s="2">
        <f t="shared" ref="I235:J235" si="246">LN(C234)-LN(C233)</f>
        <v>2.4759018228832641E-3</v>
      </c>
      <c r="J235" s="2">
        <f t="shared" si="246"/>
        <v>1.5457456160211103E-2</v>
      </c>
    </row>
    <row r="236" spans="1:10" x14ac:dyDescent="0.45">
      <c r="A236" s="1">
        <v>40525</v>
      </c>
      <c r="B236">
        <v>88.61</v>
      </c>
      <c r="C236">
        <v>2.4651999999999998</v>
      </c>
      <c r="D236">
        <v>2.3184</v>
      </c>
      <c r="E236" s="2">
        <f t="shared" si="202"/>
        <v>10.818000000000003</v>
      </c>
      <c r="F236" s="2">
        <f t="shared" si="204"/>
        <v>11.275399999999991</v>
      </c>
      <c r="G236" s="2">
        <f t="shared" si="206"/>
        <v>11.699199999999999</v>
      </c>
      <c r="H236" s="2">
        <f t="shared" si="207"/>
        <v>-6.5849465917962036E-3</v>
      </c>
      <c r="I236" s="2">
        <f t="shared" ref="I236:J236" si="247">LN(C235)-LN(C234)</f>
        <v>-3.7771910960161525E-3</v>
      </c>
      <c r="J236" s="2">
        <f t="shared" si="247"/>
        <v>-1.3420133450276261E-2</v>
      </c>
    </row>
    <row r="237" spans="1:10" x14ac:dyDescent="0.45">
      <c r="A237" s="1">
        <v>40526</v>
      </c>
      <c r="B237">
        <v>88.28</v>
      </c>
      <c r="C237">
        <v>2.4679000000000002</v>
      </c>
      <c r="D237">
        <v>2.2964000000000002</v>
      </c>
      <c r="E237" s="2">
        <f t="shared" si="202"/>
        <v>10.569799999999987</v>
      </c>
      <c r="F237" s="2">
        <f t="shared" si="204"/>
        <v>10.818000000000003</v>
      </c>
      <c r="G237" s="2">
        <f t="shared" si="206"/>
        <v>11.275399999999991</v>
      </c>
      <c r="H237" s="2">
        <f t="shared" si="207"/>
        <v>9.2971191210935444E-3</v>
      </c>
      <c r="I237" s="2">
        <f t="shared" ref="I237:J237" si="248">LN(C236)-LN(C235)</f>
        <v>3.1283670667663355E-3</v>
      </c>
      <c r="J237" s="2">
        <f t="shared" si="248"/>
        <v>3.9328442765689253E-3</v>
      </c>
    </row>
    <row r="238" spans="1:10" x14ac:dyDescent="0.45">
      <c r="A238" s="1">
        <v>40527</v>
      </c>
      <c r="B238">
        <v>88.62</v>
      </c>
      <c r="C238">
        <v>2.4834999999999998</v>
      </c>
      <c r="D238">
        <v>2.3092000000000001</v>
      </c>
      <c r="E238" s="2">
        <f t="shared" si="202"/>
        <v>10.806600000000003</v>
      </c>
      <c r="F238" s="2">
        <f t="shared" si="204"/>
        <v>10.569799999999987</v>
      </c>
      <c r="G238" s="2">
        <f t="shared" si="206"/>
        <v>10.818000000000003</v>
      </c>
      <c r="H238" s="2">
        <f t="shared" si="207"/>
        <v>-3.7311366706749283E-3</v>
      </c>
      <c r="I238" s="2">
        <f t="shared" ref="I238:J238" si="249">LN(C237)-LN(C236)</f>
        <v>1.0946464777146225E-3</v>
      </c>
      <c r="J238" s="2">
        <f t="shared" si="249"/>
        <v>-9.5346132729361432E-3</v>
      </c>
    </row>
    <row r="239" spans="1:10" x14ac:dyDescent="0.45">
      <c r="A239" s="1">
        <v>40528</v>
      </c>
      <c r="B239">
        <v>87.7</v>
      </c>
      <c r="C239">
        <v>2.4763000000000002</v>
      </c>
      <c r="D239">
        <v>2.3043</v>
      </c>
      <c r="E239" s="2">
        <f t="shared" si="202"/>
        <v>11.4886</v>
      </c>
      <c r="F239" s="2">
        <f t="shared" si="204"/>
        <v>10.806600000000003</v>
      </c>
      <c r="G239" s="2">
        <f t="shared" si="206"/>
        <v>10.569799999999987</v>
      </c>
      <c r="H239" s="2">
        <f t="shared" si="207"/>
        <v>3.8439843828079745E-3</v>
      </c>
      <c r="I239" s="2">
        <f t="shared" ref="I239:J239" si="250">LN(C238)-LN(C237)</f>
        <v>6.301268981602548E-3</v>
      </c>
      <c r="J239" s="2">
        <f t="shared" si="250"/>
        <v>5.5584648932968106E-3</v>
      </c>
    </row>
    <row r="240" spans="1:10" x14ac:dyDescent="0.45">
      <c r="A240" s="1">
        <v>40529</v>
      </c>
      <c r="B240">
        <v>88.6</v>
      </c>
      <c r="C240">
        <v>2.4737</v>
      </c>
      <c r="D240">
        <v>2.3178000000000001</v>
      </c>
      <c r="E240" s="2">
        <f t="shared" si="202"/>
        <v>10.930200000000013</v>
      </c>
      <c r="F240" s="2">
        <f t="shared" si="204"/>
        <v>11.4886</v>
      </c>
      <c r="G240" s="2">
        <f t="shared" si="206"/>
        <v>10.806600000000003</v>
      </c>
      <c r="H240" s="2">
        <f t="shared" si="207"/>
        <v>-1.0435666393206589E-2</v>
      </c>
      <c r="I240" s="2">
        <f t="shared" ref="I240:J240" si="251">LN(C239)-LN(C238)</f>
        <v>-2.9033449161844915E-3</v>
      </c>
      <c r="J240" s="2">
        <f t="shared" si="251"/>
        <v>-2.1242015140326975E-3</v>
      </c>
    </row>
    <row r="241" spans="1:10" x14ac:dyDescent="0.45">
      <c r="A241" s="1">
        <v>40532</v>
      </c>
      <c r="B241">
        <v>89.37</v>
      </c>
      <c r="C241">
        <v>2.4895</v>
      </c>
      <c r="D241">
        <v>2.3778000000000001</v>
      </c>
      <c r="E241" s="2">
        <f t="shared" si="202"/>
        <v>12.061400000000011</v>
      </c>
      <c r="F241" s="2">
        <f t="shared" si="204"/>
        <v>10.930200000000013</v>
      </c>
      <c r="G241" s="2">
        <f t="shared" si="206"/>
        <v>11.4886</v>
      </c>
      <c r="H241" s="2">
        <f t="shared" si="207"/>
        <v>1.0209958232898053E-2</v>
      </c>
      <c r="I241" s="2">
        <f t="shared" ref="I241:J241" si="252">LN(C240)-LN(C239)</f>
        <v>-1.0505051471132454E-3</v>
      </c>
      <c r="J241" s="2">
        <f t="shared" si="252"/>
        <v>5.8415172275447791E-3</v>
      </c>
    </row>
    <row r="242" spans="1:10" x14ac:dyDescent="0.45">
      <c r="A242" s="1">
        <v>40533</v>
      </c>
      <c r="B242">
        <v>89.82</v>
      </c>
      <c r="C242">
        <v>2.5291000000000001</v>
      </c>
      <c r="D242">
        <v>2.3816000000000002</v>
      </c>
      <c r="E242" s="2">
        <f t="shared" si="202"/>
        <v>12.272200000000018</v>
      </c>
      <c r="F242" s="2">
        <f t="shared" si="204"/>
        <v>12.061400000000011</v>
      </c>
      <c r="G242" s="2">
        <f t="shared" si="206"/>
        <v>10.930200000000013</v>
      </c>
      <c r="H242" s="2">
        <f t="shared" si="207"/>
        <v>8.6531977822659201E-3</v>
      </c>
      <c r="I242" s="2">
        <f t="shared" ref="I242:J242" si="253">LN(C241)-LN(C240)</f>
        <v>6.3668815981300364E-3</v>
      </c>
      <c r="J242" s="2">
        <f t="shared" si="253"/>
        <v>2.5557230524153707E-2</v>
      </c>
    </row>
    <row r="243" spans="1:10" x14ac:dyDescent="0.45">
      <c r="A243" s="1">
        <v>40534</v>
      </c>
      <c r="B243">
        <v>90.48</v>
      </c>
      <c r="C243">
        <v>2.5402</v>
      </c>
      <c r="D243">
        <v>2.4068999999999998</v>
      </c>
      <c r="E243" s="2">
        <f t="shared" si="202"/>
        <v>12.475999999999999</v>
      </c>
      <c r="F243" s="2">
        <f t="shared" si="204"/>
        <v>12.272200000000018</v>
      </c>
      <c r="G243" s="2">
        <f t="shared" si="206"/>
        <v>12.061400000000011</v>
      </c>
      <c r="H243" s="2">
        <f t="shared" si="207"/>
        <v>5.022612266290416E-3</v>
      </c>
      <c r="I243" s="2">
        <f t="shared" ref="I243:J243" si="254">LN(C242)-LN(C241)</f>
        <v>1.5781621126670475E-2</v>
      </c>
      <c r="J243" s="2">
        <f t="shared" si="254"/>
        <v>1.5968402771222578E-3</v>
      </c>
    </row>
    <row r="244" spans="1:10" x14ac:dyDescent="0.45">
      <c r="A244" s="1">
        <v>40535</v>
      </c>
      <c r="B244">
        <v>91.51</v>
      </c>
      <c r="C244">
        <v>2.5514999999999999</v>
      </c>
      <c r="D244">
        <v>2.4262000000000001</v>
      </c>
      <c r="E244" s="2">
        <f t="shared" si="202"/>
        <v>12.144599999999988</v>
      </c>
      <c r="F244" s="2">
        <f t="shared" si="204"/>
        <v>12.475999999999999</v>
      </c>
      <c r="G244" s="2">
        <f t="shared" si="206"/>
        <v>12.272200000000018</v>
      </c>
      <c r="H244" s="2">
        <f t="shared" si="207"/>
        <v>7.3211641482737733E-3</v>
      </c>
      <c r="I244" s="2">
        <f t="shared" ref="I244:J244" si="255">LN(C243)-LN(C242)</f>
        <v>4.3793098613111869E-3</v>
      </c>
      <c r="J244" s="2">
        <f t="shared" si="255"/>
        <v>1.0567081726153282E-2</v>
      </c>
    </row>
    <row r="245" spans="1:10" x14ac:dyDescent="0.45">
      <c r="A245" s="1">
        <v>40539</v>
      </c>
      <c r="B245">
        <v>91</v>
      </c>
      <c r="C245">
        <v>2.5266000000000002</v>
      </c>
      <c r="D245">
        <v>2.4068000000000001</v>
      </c>
      <c r="E245" s="2">
        <f t="shared" si="202"/>
        <v>11.762800000000007</v>
      </c>
      <c r="F245" s="2">
        <f t="shared" si="204"/>
        <v>12.144599999999988</v>
      </c>
      <c r="G245" s="2">
        <f t="shared" si="206"/>
        <v>12.475999999999999</v>
      </c>
      <c r="H245" s="2">
        <f t="shared" si="207"/>
        <v>1.1319424119421662E-2</v>
      </c>
      <c r="I245" s="2">
        <f t="shared" ref="I245:J245" si="256">LN(C244)-LN(C243)</f>
        <v>4.4386034338069758E-3</v>
      </c>
      <c r="J245" s="2">
        <f t="shared" si="256"/>
        <v>7.9866349090991218E-3</v>
      </c>
    </row>
    <row r="246" spans="1:10" x14ac:dyDescent="0.45">
      <c r="A246" s="1">
        <v>40540</v>
      </c>
      <c r="B246">
        <v>91.49</v>
      </c>
      <c r="C246">
        <v>2.5354999999999999</v>
      </c>
      <c r="D246">
        <v>2.3978000000000002</v>
      </c>
      <c r="E246" s="2">
        <f t="shared" si="202"/>
        <v>11.145400000000015</v>
      </c>
      <c r="F246" s="2">
        <f t="shared" si="204"/>
        <v>11.762800000000007</v>
      </c>
      <c r="G246" s="2">
        <f t="shared" si="206"/>
        <v>12.144599999999988</v>
      </c>
      <c r="H246" s="2">
        <f t="shared" si="207"/>
        <v>-5.5887494104371882E-3</v>
      </c>
      <c r="I246" s="2">
        <f t="shared" ref="I246:J246" si="257">LN(C245)-LN(C244)</f>
        <v>-9.8068961080889361E-3</v>
      </c>
      <c r="J246" s="2">
        <f t="shared" si="257"/>
        <v>-8.0281829906223567E-3</v>
      </c>
    </row>
    <row r="247" spans="1:10" x14ac:dyDescent="0.45">
      <c r="A247" s="1">
        <v>40541</v>
      </c>
      <c r="B247">
        <v>91.12</v>
      </c>
      <c r="C247">
        <v>2.5339</v>
      </c>
      <c r="D247">
        <v>2.3885000000000001</v>
      </c>
      <c r="E247" s="2">
        <f t="shared" si="202"/>
        <v>11.23260000000001</v>
      </c>
      <c r="F247" s="2">
        <f t="shared" si="204"/>
        <v>11.145400000000015</v>
      </c>
      <c r="G247" s="2">
        <f t="shared" si="206"/>
        <v>11.762800000000007</v>
      </c>
      <c r="H247" s="2">
        <f t="shared" si="207"/>
        <v>5.370170174594513E-3</v>
      </c>
      <c r="I247" s="2">
        <f t="shared" ref="I247:J247" si="258">LN(C246)-LN(C245)</f>
        <v>3.5163308391364945E-3</v>
      </c>
      <c r="J247" s="2">
        <f t="shared" si="258"/>
        <v>-3.7464140726434225E-3</v>
      </c>
    </row>
    <row r="248" spans="1:10" x14ac:dyDescent="0.45">
      <c r="A248" s="1">
        <v>40542</v>
      </c>
      <c r="B248">
        <v>89.84</v>
      </c>
      <c r="C248">
        <v>2.4998999999999998</v>
      </c>
      <c r="D248">
        <v>2.3847999999999998</v>
      </c>
      <c r="E248" s="2">
        <f t="shared" si="202"/>
        <v>11.932999999999993</v>
      </c>
      <c r="F248" s="2">
        <f t="shared" si="204"/>
        <v>11.23260000000001</v>
      </c>
      <c r="G248" s="2">
        <f t="shared" si="206"/>
        <v>11.145400000000015</v>
      </c>
      <c r="H248" s="2">
        <f t="shared" si="207"/>
        <v>-4.0523575525170941E-3</v>
      </c>
      <c r="I248" s="2">
        <f t="shared" ref="I248:J248" si="259">LN(C247)-LN(C246)</f>
        <v>-6.3123843181756012E-4</v>
      </c>
      <c r="J248" s="2">
        <f t="shared" si="259"/>
        <v>-3.8860964435367684E-3</v>
      </c>
    </row>
    <row r="249" spans="1:10" x14ac:dyDescent="0.45">
      <c r="A249" s="1">
        <v>40543</v>
      </c>
      <c r="B249">
        <v>91.38</v>
      </c>
      <c r="C249">
        <v>2.5424000000000002</v>
      </c>
      <c r="D249">
        <v>2.4302999999999999</v>
      </c>
      <c r="E249" s="2">
        <f t="shared" si="202"/>
        <v>12.262</v>
      </c>
      <c r="F249" s="2">
        <f t="shared" si="204"/>
        <v>11.932999999999993</v>
      </c>
      <c r="G249" s="2">
        <f t="shared" si="206"/>
        <v>11.23260000000001</v>
      </c>
      <c r="H249" s="2">
        <f t="shared" si="207"/>
        <v>-1.4147008708738973E-2</v>
      </c>
      <c r="I249" s="2">
        <f t="shared" ref="I249:J249" si="260">LN(C248)-LN(C247)</f>
        <v>-1.350888674698536E-2</v>
      </c>
      <c r="J249" s="2">
        <f t="shared" si="260"/>
        <v>-1.5502904661549577E-3</v>
      </c>
    </row>
    <row r="250" spans="1:10" x14ac:dyDescent="0.45">
      <c r="A250" s="1">
        <v>40546</v>
      </c>
      <c r="B250">
        <v>91.55</v>
      </c>
      <c r="C250">
        <v>2.5528</v>
      </c>
      <c r="D250">
        <v>2.4272999999999998</v>
      </c>
      <c r="E250" s="2">
        <f t="shared" si="202"/>
        <v>12.153600000000003</v>
      </c>
      <c r="F250" s="2">
        <f t="shared" si="204"/>
        <v>12.262</v>
      </c>
      <c r="G250" s="2">
        <f t="shared" si="206"/>
        <v>11.932999999999993</v>
      </c>
      <c r="H250" s="2">
        <f t="shared" si="207"/>
        <v>1.6996325704937476E-2</v>
      </c>
      <c r="I250" s="2">
        <f t="shared" ref="I250:J250" si="261">LN(C249)-LN(C248)</f>
        <v>1.6857785726180907E-2</v>
      </c>
      <c r="J250" s="2">
        <f t="shared" si="261"/>
        <v>1.8899443140693695E-2</v>
      </c>
    </row>
    <row r="251" spans="1:10" x14ac:dyDescent="0.45">
      <c r="A251" s="1">
        <v>40547</v>
      </c>
      <c r="B251">
        <v>89.38</v>
      </c>
      <c r="C251">
        <v>2.5065</v>
      </c>
      <c r="D251">
        <v>2.4140000000000001</v>
      </c>
      <c r="E251" s="2">
        <f t="shared" si="202"/>
        <v>13.302999999999997</v>
      </c>
      <c r="F251" s="2">
        <f t="shared" si="204"/>
        <v>12.153600000000003</v>
      </c>
      <c r="G251" s="2">
        <f t="shared" si="206"/>
        <v>12.262</v>
      </c>
      <c r="H251" s="2">
        <f t="shared" si="207"/>
        <v>1.8586349853944029E-3</v>
      </c>
      <c r="I251" s="2">
        <f t="shared" ref="I251:J251" si="262">LN(C250)-LN(C249)</f>
        <v>4.0822791815821047E-3</v>
      </c>
      <c r="J251" s="2">
        <f t="shared" si="262"/>
        <v>-1.2351780226517173E-3</v>
      </c>
    </row>
    <row r="252" spans="1:10" x14ac:dyDescent="0.45">
      <c r="A252" s="1">
        <v>40548</v>
      </c>
      <c r="B252">
        <v>90.3</v>
      </c>
      <c r="C252">
        <v>2.5421999999999998</v>
      </c>
      <c r="D252">
        <v>2.4451000000000001</v>
      </c>
      <c r="E252" s="2">
        <f t="shared" si="202"/>
        <v>13.753600000000006</v>
      </c>
      <c r="F252" s="2">
        <f t="shared" si="204"/>
        <v>13.302999999999997</v>
      </c>
      <c r="G252" s="2">
        <f t="shared" si="206"/>
        <v>12.153600000000003</v>
      </c>
      <c r="H252" s="2">
        <f t="shared" si="207"/>
        <v>-2.3988327615215077E-2</v>
      </c>
      <c r="I252" s="2">
        <f t="shared" ref="I252:J252" si="263">LN(C251)-LN(C250)</f>
        <v>-1.8303438260475646E-2</v>
      </c>
      <c r="J252" s="2">
        <f t="shared" si="263"/>
        <v>-5.4944058244266181E-3</v>
      </c>
    </row>
    <row r="253" spans="1:10" x14ac:dyDescent="0.45">
      <c r="A253" s="1">
        <v>40549</v>
      </c>
      <c r="B253">
        <v>88.38</v>
      </c>
      <c r="C253">
        <v>2.5112000000000001</v>
      </c>
      <c r="D253">
        <v>2.4430000000000001</v>
      </c>
      <c r="E253" s="2">
        <f t="shared" si="202"/>
        <v>15.180800000000014</v>
      </c>
      <c r="F253" s="2">
        <f t="shared" si="204"/>
        <v>13.753600000000006</v>
      </c>
      <c r="G253" s="2">
        <f t="shared" si="206"/>
        <v>13.302999999999997</v>
      </c>
      <c r="H253" s="2">
        <f t="shared" si="207"/>
        <v>1.0240516917634501E-2</v>
      </c>
      <c r="I253" s="2">
        <f t="shared" ref="I253:J253" si="264">LN(C252)-LN(C251)</f>
        <v>1.4142490157010301E-2</v>
      </c>
      <c r="J253" s="2">
        <f t="shared" si="264"/>
        <v>1.2800899210622663E-2</v>
      </c>
    </row>
    <row r="254" spans="1:10" x14ac:dyDescent="0.45">
      <c r="A254" s="1">
        <v>40550</v>
      </c>
      <c r="B254">
        <v>88.03</v>
      </c>
      <c r="C254">
        <v>2.4863</v>
      </c>
      <c r="D254">
        <v>2.4131</v>
      </c>
      <c r="E254" s="2">
        <f t="shared" si="202"/>
        <v>14.34499999999999</v>
      </c>
      <c r="F254" s="2">
        <f t="shared" si="204"/>
        <v>15.180800000000014</v>
      </c>
      <c r="G254" s="2">
        <f t="shared" si="206"/>
        <v>13.753600000000006</v>
      </c>
      <c r="H254" s="2">
        <f t="shared" si="207"/>
        <v>-2.1491760720345532E-2</v>
      </c>
      <c r="I254" s="2">
        <f t="shared" ref="I254:J254" si="265">LN(C253)-LN(C252)</f>
        <v>-1.226912133282454E-2</v>
      </c>
      <c r="J254" s="2">
        <f t="shared" si="265"/>
        <v>-8.5922961035911349E-4</v>
      </c>
    </row>
    <row r="255" spans="1:10" x14ac:dyDescent="0.45">
      <c r="A255" s="1">
        <v>40553</v>
      </c>
      <c r="B255">
        <v>89.25</v>
      </c>
      <c r="C255">
        <v>2.5560999999999998</v>
      </c>
      <c r="D255">
        <v>2.4542999999999999</v>
      </c>
      <c r="E255" s="2">
        <f t="shared" si="202"/>
        <v>15.255800000000002</v>
      </c>
      <c r="F255" s="2">
        <f t="shared" si="204"/>
        <v>14.34499999999999</v>
      </c>
      <c r="G255" s="2">
        <f t="shared" si="206"/>
        <v>15.180800000000014</v>
      </c>
      <c r="H255" s="2">
        <f t="shared" si="207"/>
        <v>-3.9680342297794269E-3</v>
      </c>
      <c r="I255" s="2">
        <f t="shared" ref="I255:J255" si="266">LN(C254)-LN(C253)</f>
        <v>-9.9650649534316349E-3</v>
      </c>
      <c r="J255" s="2">
        <f t="shared" si="266"/>
        <v>-1.2314564303264941E-2</v>
      </c>
    </row>
    <row r="256" spans="1:10" x14ac:dyDescent="0.45">
      <c r="A256" s="1">
        <v>40554</v>
      </c>
      <c r="B256">
        <v>91.11</v>
      </c>
      <c r="C256">
        <v>2.6088</v>
      </c>
      <c r="D256">
        <v>2.4784000000000002</v>
      </c>
      <c r="E256" s="2">
        <f t="shared" si="202"/>
        <v>14.808400000000006</v>
      </c>
      <c r="F256" s="2">
        <f t="shared" si="204"/>
        <v>15.255800000000002</v>
      </c>
      <c r="G256" s="2">
        <f t="shared" si="206"/>
        <v>14.34499999999999</v>
      </c>
      <c r="H256" s="2">
        <f t="shared" si="207"/>
        <v>1.376375518693429E-2</v>
      </c>
      <c r="I256" s="2">
        <f t="shared" ref="I256:J256" si="267">LN(C255)-LN(C254)</f>
        <v>2.7686997788476719E-2</v>
      </c>
      <c r="J256" s="2">
        <f t="shared" si="267"/>
        <v>1.6929360233286617E-2</v>
      </c>
    </row>
    <row r="257" spans="1:10" x14ac:dyDescent="0.45">
      <c r="A257" s="1">
        <v>40555</v>
      </c>
      <c r="B257">
        <v>91.86</v>
      </c>
      <c r="C257">
        <v>2.6185999999999998</v>
      </c>
      <c r="D257">
        <v>2.4630999999999998</v>
      </c>
      <c r="E257" s="2">
        <f t="shared" si="202"/>
        <v>13.767200000000003</v>
      </c>
      <c r="F257" s="2">
        <f t="shared" si="204"/>
        <v>14.808400000000006</v>
      </c>
      <c r="G257" s="2">
        <f t="shared" si="206"/>
        <v>15.255800000000002</v>
      </c>
      <c r="H257" s="2">
        <f t="shared" si="207"/>
        <v>2.0626147066018063E-2</v>
      </c>
      <c r="I257" s="2">
        <f t="shared" ref="I257:J257" si="268">LN(C256)-LN(C255)</f>
        <v>2.0407686112320467E-2</v>
      </c>
      <c r="J257" s="2">
        <f t="shared" si="268"/>
        <v>9.7716024748421004E-3</v>
      </c>
    </row>
    <row r="258" spans="1:10" x14ac:dyDescent="0.45">
      <c r="A258" s="1">
        <v>40556</v>
      </c>
      <c r="B258">
        <v>91.4</v>
      </c>
      <c r="C258">
        <v>2.6091000000000002</v>
      </c>
      <c r="D258">
        <v>2.4459</v>
      </c>
      <c r="E258" s="2">
        <f t="shared" si="202"/>
        <v>13.612599999999986</v>
      </c>
      <c r="F258" s="2">
        <f t="shared" si="204"/>
        <v>13.767200000000003</v>
      </c>
      <c r="G258" s="2">
        <f t="shared" si="206"/>
        <v>14.808400000000006</v>
      </c>
      <c r="H258" s="2">
        <f t="shared" si="207"/>
        <v>8.1981111718807398E-3</v>
      </c>
      <c r="I258" s="2">
        <f t="shared" ref="I258:J258" si="269">LN(C257)-LN(C256)</f>
        <v>3.7494783185434422E-3</v>
      </c>
      <c r="J258" s="2">
        <f t="shared" si="269"/>
        <v>-6.1924714730406949E-3</v>
      </c>
    </row>
    <row r="259" spans="1:10" x14ac:dyDescent="0.45">
      <c r="A259" s="1">
        <v>40557</v>
      </c>
      <c r="B259">
        <v>91.54</v>
      </c>
      <c r="C259">
        <v>2.6452</v>
      </c>
      <c r="D259">
        <v>2.4946000000000002</v>
      </c>
      <c r="E259" s="2">
        <f t="shared" ref="E259:E322" si="270">(2*D259*42+1*C259*42-3*B259)/3</f>
        <v>15.341600000000009</v>
      </c>
      <c r="F259" s="2">
        <f t="shared" si="204"/>
        <v>13.612599999999986</v>
      </c>
      <c r="G259" s="2">
        <f t="shared" si="206"/>
        <v>13.767200000000003</v>
      </c>
      <c r="H259" s="2">
        <f t="shared" si="207"/>
        <v>-5.020200437543032E-3</v>
      </c>
      <c r="I259" s="2">
        <f t="shared" ref="I259:J259" si="271">LN(C258)-LN(C257)</f>
        <v>-3.6344895298235924E-3</v>
      </c>
      <c r="J259" s="2">
        <f t="shared" si="271"/>
        <v>-7.0075658525887707E-3</v>
      </c>
    </row>
    <row r="260" spans="1:10" x14ac:dyDescent="0.45">
      <c r="A260" s="1">
        <v>40561</v>
      </c>
      <c r="B260">
        <v>92.31</v>
      </c>
      <c r="C260">
        <v>2.6459000000000001</v>
      </c>
      <c r="D260">
        <v>2.4792000000000001</v>
      </c>
      <c r="E260" s="2">
        <f t="shared" si="270"/>
        <v>14.150200000000003</v>
      </c>
      <c r="F260" s="2">
        <f t="shared" ref="F260:F323" si="272">E259</f>
        <v>15.341600000000009</v>
      </c>
      <c r="G260" s="2">
        <f t="shared" si="206"/>
        <v>13.612599999999986</v>
      </c>
      <c r="H260" s="2">
        <f t="shared" si="207"/>
        <v>1.5305567653918217E-3</v>
      </c>
      <c r="I260" s="2">
        <f t="shared" ref="I260:J260" si="273">LN(C259)-LN(C258)</f>
        <v>1.3741342536678025E-2</v>
      </c>
      <c r="J260" s="2">
        <f t="shared" si="273"/>
        <v>1.9715242354634066E-2</v>
      </c>
    </row>
    <row r="261" spans="1:10" x14ac:dyDescent="0.45">
      <c r="A261" s="1">
        <v>40562</v>
      </c>
      <c r="B261">
        <v>91.81</v>
      </c>
      <c r="C261">
        <v>2.6562000000000001</v>
      </c>
      <c r="D261">
        <v>2.4815999999999998</v>
      </c>
      <c r="E261" s="2">
        <f t="shared" si="270"/>
        <v>14.86159999999999</v>
      </c>
      <c r="F261" s="2">
        <f t="shared" si="272"/>
        <v>14.150200000000003</v>
      </c>
      <c r="G261" s="2">
        <f t="shared" ref="G261:G324" si="274">E259</f>
        <v>15.341600000000009</v>
      </c>
      <c r="H261" s="2">
        <f t="shared" ref="H261:H324" si="275">LN(B260)-LN(B259)</f>
        <v>8.3764427765640193E-3</v>
      </c>
      <c r="I261" s="2">
        <f t="shared" ref="I261:J261" si="276">LN(C260)-LN(C259)</f>
        <v>2.6459526528854749E-4</v>
      </c>
      <c r="J261" s="2">
        <f t="shared" si="276"/>
        <v>-6.1924682180702906E-3</v>
      </c>
    </row>
    <row r="262" spans="1:10" x14ac:dyDescent="0.45">
      <c r="A262" s="1">
        <v>40563</v>
      </c>
      <c r="B262">
        <v>89.59</v>
      </c>
      <c r="C262">
        <v>2.6265000000000001</v>
      </c>
      <c r="D262">
        <v>2.4420999999999999</v>
      </c>
      <c r="E262" s="2">
        <f t="shared" si="270"/>
        <v>15.559799999999996</v>
      </c>
      <c r="F262" s="2">
        <f t="shared" si="272"/>
        <v>14.86159999999999</v>
      </c>
      <c r="G262" s="2">
        <f t="shared" si="274"/>
        <v>14.150200000000003</v>
      </c>
      <c r="H262" s="2">
        <f t="shared" si="275"/>
        <v>-5.4312538464520443E-3</v>
      </c>
      <c r="I262" s="2">
        <f t="shared" ref="I262:J262" si="277">LN(C261)-LN(C260)</f>
        <v>3.885257900354544E-3</v>
      </c>
      <c r="J262" s="2">
        <f t="shared" si="277"/>
        <v>9.6758594873569415E-4</v>
      </c>
    </row>
    <row r="263" spans="1:10" x14ac:dyDescent="0.45">
      <c r="A263" s="1">
        <v>40564</v>
      </c>
      <c r="B263">
        <v>89.11</v>
      </c>
      <c r="C263">
        <v>2.6543000000000001</v>
      </c>
      <c r="D263">
        <v>2.4784999999999999</v>
      </c>
      <c r="E263" s="2">
        <f t="shared" si="270"/>
        <v>17.448200000000003</v>
      </c>
      <c r="F263" s="2">
        <f t="shared" si="272"/>
        <v>15.559799999999996</v>
      </c>
      <c r="G263" s="2">
        <f t="shared" si="274"/>
        <v>14.86159999999999</v>
      </c>
      <c r="H263" s="2">
        <f t="shared" si="275"/>
        <v>-2.4477517546121597E-2</v>
      </c>
      <c r="I263" s="2">
        <f t="shared" ref="I263:J263" si="278">LN(C262)-LN(C261)</f>
        <v>-1.1244368572134178E-2</v>
      </c>
      <c r="J263" s="2">
        <f t="shared" si="278"/>
        <v>-1.6045188549104306E-2</v>
      </c>
    </row>
    <row r="264" spans="1:10" x14ac:dyDescent="0.45">
      <c r="A264" s="1">
        <v>40567</v>
      </c>
      <c r="B264">
        <v>87.87</v>
      </c>
      <c r="C264">
        <v>2.6231</v>
      </c>
      <c r="D264">
        <v>2.4379</v>
      </c>
      <c r="E264" s="2">
        <f t="shared" si="270"/>
        <v>17.114599999999996</v>
      </c>
      <c r="F264" s="2">
        <f t="shared" si="272"/>
        <v>17.448200000000003</v>
      </c>
      <c r="G264" s="2">
        <f t="shared" si="274"/>
        <v>15.559799999999996</v>
      </c>
      <c r="H264" s="2">
        <f t="shared" si="275"/>
        <v>-5.3721449848582736E-3</v>
      </c>
      <c r="I264" s="2">
        <f t="shared" ref="I264:J264" si="279">LN(C263)-LN(C262)</f>
        <v>1.0528805035340483E-2</v>
      </c>
      <c r="J264" s="2">
        <f t="shared" si="279"/>
        <v>1.4795213587458611E-2</v>
      </c>
    </row>
    <row r="265" spans="1:10" x14ac:dyDescent="0.45">
      <c r="A265" s="1">
        <v>40568</v>
      </c>
      <c r="B265">
        <v>86.19</v>
      </c>
      <c r="C265">
        <v>2.5966</v>
      </c>
      <c r="D265">
        <v>2.3706</v>
      </c>
      <c r="E265" s="2">
        <f t="shared" si="270"/>
        <v>16.539199999999994</v>
      </c>
      <c r="F265" s="2">
        <f t="shared" si="272"/>
        <v>17.114599999999996</v>
      </c>
      <c r="G265" s="2">
        <f t="shared" si="274"/>
        <v>17.448200000000003</v>
      </c>
      <c r="H265" s="2">
        <f t="shared" si="275"/>
        <v>-1.4013112116876947E-2</v>
      </c>
      <c r="I265" s="2">
        <f t="shared" ref="I265:J265" si="280">LN(C264)-LN(C263)</f>
        <v>-1.1824142004025484E-2</v>
      </c>
      <c r="J265" s="2">
        <f t="shared" si="280"/>
        <v>-1.6516525487876632E-2</v>
      </c>
    </row>
    <row r="266" spans="1:10" x14ac:dyDescent="0.45">
      <c r="A266" s="1">
        <v>40569</v>
      </c>
      <c r="B266">
        <v>87.33</v>
      </c>
      <c r="C266">
        <v>2.6713</v>
      </c>
      <c r="D266">
        <v>2.4565999999999999</v>
      </c>
      <c r="E266" s="2">
        <f t="shared" si="270"/>
        <v>18.852999999999991</v>
      </c>
      <c r="F266" s="2">
        <f t="shared" si="272"/>
        <v>16.539199999999994</v>
      </c>
      <c r="G266" s="2">
        <f t="shared" si="274"/>
        <v>17.114599999999996</v>
      </c>
      <c r="H266" s="2">
        <f t="shared" si="275"/>
        <v>-1.9304287848443735E-2</v>
      </c>
      <c r="I266" s="2">
        <f t="shared" ref="I266:J266" si="281">LN(C265)-LN(C264)</f>
        <v>-1.0153927499178095E-2</v>
      </c>
      <c r="J266" s="2">
        <f t="shared" si="281"/>
        <v>-2.7993925327351898E-2</v>
      </c>
    </row>
    <row r="267" spans="1:10" x14ac:dyDescent="0.45">
      <c r="A267" s="1">
        <v>40570</v>
      </c>
      <c r="B267">
        <v>85.64</v>
      </c>
      <c r="C267">
        <v>2.6551</v>
      </c>
      <c r="D267">
        <v>2.4131999999999998</v>
      </c>
      <c r="E267" s="2">
        <f t="shared" si="270"/>
        <v>19.100999999999999</v>
      </c>
      <c r="F267" s="2">
        <f t="shared" si="272"/>
        <v>18.852999999999991</v>
      </c>
      <c r="G267" s="2">
        <f t="shared" si="274"/>
        <v>16.539199999999994</v>
      </c>
      <c r="H267" s="2">
        <f t="shared" si="275"/>
        <v>1.3139884766333765E-2</v>
      </c>
      <c r="I267" s="2">
        <f t="shared" ref="I267:J267" si="282">LN(C266)-LN(C265)</f>
        <v>2.8362348360759793E-2</v>
      </c>
      <c r="J267" s="2">
        <f t="shared" si="282"/>
        <v>3.5635192459593901E-2</v>
      </c>
    </row>
    <row r="268" spans="1:10" x14ac:dyDescent="0.45">
      <c r="A268" s="1">
        <v>40571</v>
      </c>
      <c r="B268">
        <v>89.34</v>
      </c>
      <c r="C268">
        <v>2.6941999999999999</v>
      </c>
      <c r="D268">
        <v>2.4859</v>
      </c>
      <c r="E268" s="2">
        <f t="shared" si="270"/>
        <v>17.983999999999998</v>
      </c>
      <c r="F268" s="2">
        <f t="shared" si="272"/>
        <v>19.100999999999999</v>
      </c>
      <c r="G268" s="2">
        <f t="shared" si="274"/>
        <v>18.852999999999991</v>
      </c>
      <c r="H268" s="2">
        <f t="shared" si="275"/>
        <v>-1.9541582704159843E-2</v>
      </c>
      <c r="I268" s="2">
        <f t="shared" ref="I268:J268" si="283">LN(C267)-LN(C266)</f>
        <v>-6.0829265367463581E-3</v>
      </c>
      <c r="J268" s="2">
        <f t="shared" si="283"/>
        <v>-1.7824612538387297E-2</v>
      </c>
    </row>
    <row r="269" spans="1:10" x14ac:dyDescent="0.45">
      <c r="A269" s="1">
        <v>40574</v>
      </c>
      <c r="B269">
        <v>92.19</v>
      </c>
      <c r="C269">
        <v>2.7403</v>
      </c>
      <c r="D269">
        <v>2.5001000000000002</v>
      </c>
      <c r="E269" s="2">
        <f t="shared" si="270"/>
        <v>16.177000000000003</v>
      </c>
      <c r="F269" s="2">
        <f t="shared" si="272"/>
        <v>17.983999999999998</v>
      </c>
      <c r="G269" s="2">
        <f t="shared" si="274"/>
        <v>19.100999999999999</v>
      </c>
      <c r="H269" s="2">
        <f t="shared" si="275"/>
        <v>4.2296852202491131E-2</v>
      </c>
      <c r="I269" s="2">
        <f t="shared" ref="I269:J269" si="284">LN(C268)-LN(C267)</f>
        <v>1.4618995514301014E-2</v>
      </c>
      <c r="J269" s="2">
        <f t="shared" si="284"/>
        <v>2.9681099433528035E-2</v>
      </c>
    </row>
    <row r="270" spans="1:10" x14ac:dyDescent="0.45">
      <c r="A270" s="1">
        <v>40575</v>
      </c>
      <c r="B270">
        <v>90.77</v>
      </c>
      <c r="C270">
        <v>2.7570000000000001</v>
      </c>
      <c r="D270">
        <v>2.5194000000000001</v>
      </c>
      <c r="E270" s="2">
        <f t="shared" si="270"/>
        <v>18.371200000000005</v>
      </c>
      <c r="F270" s="2">
        <f t="shared" si="272"/>
        <v>16.177000000000003</v>
      </c>
      <c r="G270" s="2">
        <f t="shared" si="274"/>
        <v>17.983999999999998</v>
      </c>
      <c r="H270" s="2">
        <f t="shared" si="275"/>
        <v>3.1402348886530262E-2</v>
      </c>
      <c r="I270" s="2">
        <f t="shared" ref="I270:J270" si="285">LN(C269)-LN(C268)</f>
        <v>1.6966089175254662E-2</v>
      </c>
      <c r="J270" s="2">
        <f t="shared" si="285"/>
        <v>5.6959640561788927E-3</v>
      </c>
    </row>
    <row r="271" spans="1:10" x14ac:dyDescent="0.45">
      <c r="A271" s="1">
        <v>40576</v>
      </c>
      <c r="B271">
        <v>90.86</v>
      </c>
      <c r="C271">
        <v>2.7806999999999999</v>
      </c>
      <c r="D271">
        <v>2.4984999999999999</v>
      </c>
      <c r="E271" s="2">
        <f t="shared" si="270"/>
        <v>18.027800000000013</v>
      </c>
      <c r="F271" s="2">
        <f t="shared" si="272"/>
        <v>18.371200000000005</v>
      </c>
      <c r="G271" s="2">
        <f t="shared" si="274"/>
        <v>16.177000000000003</v>
      </c>
      <c r="H271" s="2">
        <f t="shared" si="275"/>
        <v>-1.5522830271967436E-2</v>
      </c>
      <c r="I271" s="2">
        <f t="shared" ref="I271:J271" si="286">LN(C270)-LN(C269)</f>
        <v>6.0757285840744579E-3</v>
      </c>
      <c r="J271" s="2">
        <f t="shared" si="286"/>
        <v>7.6900468618891216E-3</v>
      </c>
    </row>
    <row r="272" spans="1:10" x14ac:dyDescent="0.45">
      <c r="A272" s="1">
        <v>40577</v>
      </c>
      <c r="B272">
        <v>90.54</v>
      </c>
      <c r="C272">
        <v>2.7673999999999999</v>
      </c>
      <c r="D272">
        <v>2.5034000000000001</v>
      </c>
      <c r="E272" s="2">
        <f t="shared" si="270"/>
        <v>18.298799999999989</v>
      </c>
      <c r="F272" s="2">
        <f t="shared" si="272"/>
        <v>18.027800000000013</v>
      </c>
      <c r="G272" s="2">
        <f t="shared" si="274"/>
        <v>18.371200000000005</v>
      </c>
      <c r="H272" s="2">
        <f t="shared" si="275"/>
        <v>9.9102579272170033E-4</v>
      </c>
      <c r="I272" s="2">
        <f t="shared" ref="I272:J272" si="287">LN(C271)-LN(C270)</f>
        <v>8.5595625260999064E-3</v>
      </c>
      <c r="J272" s="2">
        <f t="shared" si="287"/>
        <v>-8.330226133942964E-3</v>
      </c>
    </row>
    <row r="273" spans="1:10" x14ac:dyDescent="0.45">
      <c r="A273" s="1">
        <v>40578</v>
      </c>
      <c r="B273">
        <v>89.03</v>
      </c>
      <c r="C273">
        <v>2.7166999999999999</v>
      </c>
      <c r="D273">
        <v>2.4352999999999998</v>
      </c>
      <c r="E273" s="2">
        <f t="shared" si="270"/>
        <v>17.192199999999975</v>
      </c>
      <c r="F273" s="2">
        <f t="shared" si="272"/>
        <v>18.298799999999989</v>
      </c>
      <c r="G273" s="2">
        <f t="shared" si="274"/>
        <v>18.027800000000013</v>
      </c>
      <c r="H273" s="2">
        <f t="shared" si="275"/>
        <v>-3.5281183234445734E-3</v>
      </c>
      <c r="I273" s="2">
        <f t="shared" ref="I273:J273" si="288">LN(C272)-LN(C271)</f>
        <v>-4.7944433146125398E-3</v>
      </c>
      <c r="J273" s="2">
        <f t="shared" si="288"/>
        <v>1.9592561096634098E-3</v>
      </c>
    </row>
    <row r="274" spans="1:10" x14ac:dyDescent="0.45">
      <c r="A274" s="1">
        <v>40581</v>
      </c>
      <c r="B274">
        <v>87.48</v>
      </c>
      <c r="C274">
        <v>2.7061000000000002</v>
      </c>
      <c r="D274">
        <v>2.4504999999999999</v>
      </c>
      <c r="E274" s="2">
        <f t="shared" si="270"/>
        <v>19.019400000000001</v>
      </c>
      <c r="F274" s="2">
        <f t="shared" si="272"/>
        <v>17.192199999999975</v>
      </c>
      <c r="G274" s="2">
        <f t="shared" si="274"/>
        <v>18.298799999999989</v>
      </c>
      <c r="H274" s="2">
        <f t="shared" si="275"/>
        <v>-1.681835042223323E-2</v>
      </c>
      <c r="I274" s="2">
        <f t="shared" ref="I274:J274" si="289">LN(C273)-LN(C272)</f>
        <v>-1.8490342805110194E-2</v>
      </c>
      <c r="J274" s="2">
        <f t="shared" si="289"/>
        <v>-2.7579855680713528E-2</v>
      </c>
    </row>
    <row r="275" spans="1:10" x14ac:dyDescent="0.45">
      <c r="A275" s="1">
        <v>40582</v>
      </c>
      <c r="B275">
        <v>86.94</v>
      </c>
      <c r="C275">
        <v>2.7317999999999998</v>
      </c>
      <c r="D275">
        <v>2.4942000000000002</v>
      </c>
      <c r="E275" s="2">
        <f t="shared" si="270"/>
        <v>21.142800000000005</v>
      </c>
      <c r="F275" s="2">
        <f t="shared" si="272"/>
        <v>19.019400000000001</v>
      </c>
      <c r="G275" s="2">
        <f t="shared" si="274"/>
        <v>17.192199999999975</v>
      </c>
      <c r="H275" s="2">
        <f t="shared" si="275"/>
        <v>-1.7563195777012375E-2</v>
      </c>
      <c r="I275" s="2">
        <f t="shared" ref="I275:J275" si="290">LN(C274)-LN(C273)</f>
        <v>-3.9094244672528422E-3</v>
      </c>
      <c r="J275" s="2">
        <f t="shared" si="290"/>
        <v>6.222133136392527E-3</v>
      </c>
    </row>
    <row r="276" spans="1:10" x14ac:dyDescent="0.45">
      <c r="A276" s="1">
        <v>40583</v>
      </c>
      <c r="B276">
        <v>86.71</v>
      </c>
      <c r="C276">
        <v>2.7688999999999999</v>
      </c>
      <c r="D276">
        <v>2.5259999999999998</v>
      </c>
      <c r="E276" s="2">
        <f t="shared" si="270"/>
        <v>22.782599999999984</v>
      </c>
      <c r="F276" s="2">
        <f t="shared" si="272"/>
        <v>21.142800000000005</v>
      </c>
      <c r="G276" s="2">
        <f t="shared" si="274"/>
        <v>19.019400000000001</v>
      </c>
      <c r="H276" s="2">
        <f t="shared" si="275"/>
        <v>-6.1919702479213967E-3</v>
      </c>
      <c r="I276" s="2">
        <f t="shared" ref="I276:J276" si="291">LN(C275)-LN(C274)</f>
        <v>9.4522486058703503E-3</v>
      </c>
      <c r="J276" s="2">
        <f t="shared" si="291"/>
        <v>1.7675951137044676E-2</v>
      </c>
    </row>
    <row r="277" spans="1:10" x14ac:dyDescent="0.45">
      <c r="A277" s="1">
        <v>40584</v>
      </c>
      <c r="B277">
        <v>86.73</v>
      </c>
      <c r="C277">
        <v>2.7107000000000001</v>
      </c>
      <c r="D277">
        <v>2.4698000000000002</v>
      </c>
      <c r="E277" s="2">
        <f t="shared" si="270"/>
        <v>20.374200000000013</v>
      </c>
      <c r="F277" s="2">
        <f t="shared" si="272"/>
        <v>22.782599999999984</v>
      </c>
      <c r="G277" s="2">
        <f t="shared" si="274"/>
        <v>21.142800000000005</v>
      </c>
      <c r="H277" s="2">
        <f t="shared" si="275"/>
        <v>-2.6490081715770941E-3</v>
      </c>
      <c r="I277" s="2">
        <f t="shared" ref="I277:J277" si="292">LN(C276)-LN(C275)</f>
        <v>1.3489396829418743E-2</v>
      </c>
      <c r="J277" s="2">
        <f t="shared" si="292"/>
        <v>1.2668987423789524E-2</v>
      </c>
    </row>
    <row r="278" spans="1:10" x14ac:dyDescent="0.45">
      <c r="A278" s="1">
        <v>40585</v>
      </c>
      <c r="B278">
        <v>85.58</v>
      </c>
      <c r="C278">
        <v>2.6958000000000002</v>
      </c>
      <c r="D278">
        <v>2.4651999999999998</v>
      </c>
      <c r="E278" s="2">
        <f t="shared" si="270"/>
        <v>21.186799999999987</v>
      </c>
      <c r="F278" s="2">
        <f t="shared" si="272"/>
        <v>20.374200000000013</v>
      </c>
      <c r="G278" s="2">
        <f t="shared" si="274"/>
        <v>22.782599999999984</v>
      </c>
      <c r="H278" s="2">
        <f t="shared" si="275"/>
        <v>2.3062730729606074E-4</v>
      </c>
      <c r="I278" s="2">
        <f t="shared" ref="I278:J278" si="293">LN(C277)-LN(C276)</f>
        <v>-2.1243225295806245E-2</v>
      </c>
      <c r="J278" s="2">
        <f t="shared" si="293"/>
        <v>-2.2499848226714247E-2</v>
      </c>
    </row>
    <row r="279" spans="1:10" x14ac:dyDescent="0.45">
      <c r="A279" s="1">
        <v>40588</v>
      </c>
      <c r="B279">
        <v>84.81</v>
      </c>
      <c r="C279">
        <v>2.7504</v>
      </c>
      <c r="D279">
        <v>2.5173999999999999</v>
      </c>
      <c r="E279" s="2">
        <f t="shared" si="270"/>
        <v>24.182799999999986</v>
      </c>
      <c r="F279" s="2">
        <f t="shared" si="272"/>
        <v>21.186799999999987</v>
      </c>
      <c r="G279" s="2">
        <f t="shared" si="274"/>
        <v>20.374200000000013</v>
      </c>
      <c r="H279" s="2">
        <f t="shared" si="275"/>
        <v>-1.334823370769378E-2</v>
      </c>
      <c r="I279" s="2">
        <f t="shared" ref="I279:J279" si="294">LN(C278)-LN(C277)</f>
        <v>-5.5118977982344664E-3</v>
      </c>
      <c r="J279" s="2">
        <f t="shared" si="294"/>
        <v>-1.8642355956340895E-3</v>
      </c>
    </row>
    <row r="280" spans="1:10" x14ac:dyDescent="0.45">
      <c r="A280" s="1">
        <v>40589</v>
      </c>
      <c r="B280">
        <v>84.32</v>
      </c>
      <c r="C280">
        <v>2.7290000000000001</v>
      </c>
      <c r="D280">
        <v>2.4887999999999999</v>
      </c>
      <c r="E280" s="2">
        <f t="shared" si="270"/>
        <v>23.572400000000016</v>
      </c>
      <c r="F280" s="2">
        <f t="shared" si="272"/>
        <v>24.182799999999986</v>
      </c>
      <c r="G280" s="2">
        <f t="shared" si="274"/>
        <v>21.186799999999987</v>
      </c>
      <c r="H280" s="2">
        <f t="shared" si="275"/>
        <v>-9.0381506150620794E-3</v>
      </c>
      <c r="I280" s="2">
        <f t="shared" ref="I280:J280" si="295">LN(C279)-LN(C278)</f>
        <v>2.0051349324415324E-2</v>
      </c>
      <c r="J280" s="2">
        <f t="shared" si="295"/>
        <v>2.0953682769316528E-2</v>
      </c>
    </row>
    <row r="281" spans="1:10" x14ac:dyDescent="0.45">
      <c r="A281" s="1">
        <v>40590</v>
      </c>
      <c r="B281">
        <v>84.99</v>
      </c>
      <c r="C281">
        <v>2.7747999999999999</v>
      </c>
      <c r="D281">
        <v>2.5447000000000002</v>
      </c>
      <c r="E281" s="2">
        <f t="shared" si="270"/>
        <v>25.108800000000013</v>
      </c>
      <c r="F281" s="2">
        <f t="shared" si="272"/>
        <v>23.572400000000016</v>
      </c>
      <c r="G281" s="2">
        <f t="shared" si="274"/>
        <v>24.182799999999986</v>
      </c>
      <c r="H281" s="2">
        <f t="shared" si="275"/>
        <v>-5.7943755805567321E-3</v>
      </c>
      <c r="I281" s="2">
        <f t="shared" ref="I281:J281" si="296">LN(C280)-LN(C279)</f>
        <v>-7.8111139202461377E-3</v>
      </c>
      <c r="J281" s="2">
        <f t="shared" si="296"/>
        <v>-1.1425956273977245E-2</v>
      </c>
    </row>
    <row r="282" spans="1:10" x14ac:dyDescent="0.45">
      <c r="A282" s="1">
        <v>40591</v>
      </c>
      <c r="B282">
        <v>86.36</v>
      </c>
      <c r="C282">
        <v>2.7324000000000002</v>
      </c>
      <c r="D282">
        <v>2.5276999999999998</v>
      </c>
      <c r="E282" s="2">
        <f t="shared" si="270"/>
        <v>22.669200000000007</v>
      </c>
      <c r="F282" s="2">
        <f t="shared" si="272"/>
        <v>25.108800000000013</v>
      </c>
      <c r="G282" s="2">
        <f t="shared" si="274"/>
        <v>23.572400000000016</v>
      </c>
      <c r="H282" s="2">
        <f t="shared" si="275"/>
        <v>7.9145177174826387E-3</v>
      </c>
      <c r="I282" s="2">
        <f t="shared" ref="I282:J282" si="297">LN(C281)-LN(C280)</f>
        <v>1.6643430802807613E-2</v>
      </c>
      <c r="J282" s="2">
        <f t="shared" si="297"/>
        <v>2.2212098260481317E-2</v>
      </c>
    </row>
    <row r="283" spans="1:10" x14ac:dyDescent="0.45">
      <c r="A283" s="1">
        <v>40592</v>
      </c>
      <c r="B283">
        <v>89.71</v>
      </c>
      <c r="C283">
        <v>2.7128999999999999</v>
      </c>
      <c r="D283">
        <v>2.6901000000000002</v>
      </c>
      <c r="E283" s="2">
        <f t="shared" si="270"/>
        <v>23.593400000000013</v>
      </c>
      <c r="F283" s="2">
        <f t="shared" si="272"/>
        <v>22.669200000000007</v>
      </c>
      <c r="G283" s="2">
        <f t="shared" si="274"/>
        <v>25.108800000000013</v>
      </c>
      <c r="H283" s="2">
        <f t="shared" si="275"/>
        <v>1.5991003136071491E-2</v>
      </c>
      <c r="I283" s="2">
        <f t="shared" ref="I283:J283" si="298">LN(C282)-LN(C281)</f>
        <v>-1.5398328653451809E-2</v>
      </c>
      <c r="J283" s="2">
        <f t="shared" si="298"/>
        <v>-6.7029665051833165E-3</v>
      </c>
    </row>
    <row r="284" spans="1:10" x14ac:dyDescent="0.45">
      <c r="A284" s="1">
        <v>40596</v>
      </c>
      <c r="B284">
        <v>95.42</v>
      </c>
      <c r="C284">
        <v>2.8035000000000001</v>
      </c>
      <c r="D284">
        <v>2.7464</v>
      </c>
      <c r="E284" s="2">
        <f t="shared" si="270"/>
        <v>20.728199999999998</v>
      </c>
      <c r="F284" s="2">
        <f t="shared" si="272"/>
        <v>23.593400000000013</v>
      </c>
      <c r="G284" s="2">
        <f t="shared" si="274"/>
        <v>22.669200000000007</v>
      </c>
      <c r="H284" s="2">
        <f t="shared" si="275"/>
        <v>3.8057639924585551E-2</v>
      </c>
      <c r="I284" s="2">
        <f t="shared" ref="I284:J284" si="299">LN(C283)-LN(C282)</f>
        <v>-7.162170443150262E-3</v>
      </c>
      <c r="J284" s="2">
        <f t="shared" si="299"/>
        <v>6.2268569287386333E-2</v>
      </c>
    </row>
    <row r="285" spans="1:10" x14ac:dyDescent="0.45">
      <c r="A285" s="1">
        <v>40597</v>
      </c>
      <c r="B285">
        <v>98.1</v>
      </c>
      <c r="C285">
        <v>2.9165999999999999</v>
      </c>
      <c r="D285">
        <v>2.8677000000000001</v>
      </c>
      <c r="E285" s="2">
        <f t="shared" si="270"/>
        <v>23.02800000000002</v>
      </c>
      <c r="F285" s="2">
        <f t="shared" si="272"/>
        <v>20.728199999999998</v>
      </c>
      <c r="G285" s="2">
        <f t="shared" si="274"/>
        <v>23.593400000000013</v>
      </c>
      <c r="H285" s="2">
        <f t="shared" si="275"/>
        <v>6.1705954516768635E-2</v>
      </c>
      <c r="I285" s="2">
        <f t="shared" ref="I285:J285" si="300">LN(C284)-LN(C283)</f>
        <v>3.2850463149183162E-2</v>
      </c>
      <c r="J285" s="2">
        <f t="shared" si="300"/>
        <v>2.0712595517370702E-2</v>
      </c>
    </row>
    <row r="286" spans="1:10" x14ac:dyDescent="0.45">
      <c r="A286" s="1">
        <v>40598</v>
      </c>
      <c r="B286">
        <v>97.28</v>
      </c>
      <c r="C286">
        <v>2.8932000000000002</v>
      </c>
      <c r="D286">
        <v>2.8748999999999998</v>
      </c>
      <c r="E286" s="2">
        <f t="shared" si="270"/>
        <v>23.72199999999998</v>
      </c>
      <c r="F286" s="2">
        <f t="shared" si="272"/>
        <v>23.02800000000002</v>
      </c>
      <c r="G286" s="2">
        <f t="shared" si="274"/>
        <v>20.728199999999998</v>
      </c>
      <c r="H286" s="2">
        <f t="shared" si="275"/>
        <v>2.7699166483357018E-2</v>
      </c>
      <c r="I286" s="2">
        <f t="shared" ref="I286:J286" si="301">LN(C285)-LN(C284)</f>
        <v>3.9549917715737459E-2</v>
      </c>
      <c r="J286" s="2">
        <f t="shared" si="301"/>
        <v>4.3219351594344424E-2</v>
      </c>
    </row>
    <row r="287" spans="1:10" x14ac:dyDescent="0.45">
      <c r="A287" s="1">
        <v>40599</v>
      </c>
      <c r="B287">
        <v>97.88</v>
      </c>
      <c r="C287">
        <v>2.9455</v>
      </c>
      <c r="D287">
        <v>2.9085999999999999</v>
      </c>
      <c r="E287" s="2">
        <f t="shared" si="270"/>
        <v>24.797799999999995</v>
      </c>
      <c r="F287" s="2">
        <f t="shared" si="272"/>
        <v>23.72199999999998</v>
      </c>
      <c r="G287" s="2">
        <f t="shared" si="274"/>
        <v>23.02800000000002</v>
      </c>
      <c r="H287" s="2">
        <f t="shared" si="275"/>
        <v>-8.393948353460523E-3</v>
      </c>
      <c r="I287" s="2">
        <f t="shared" ref="I287:J287" si="302">LN(C286)-LN(C285)</f>
        <v>-8.0553983043389898E-3</v>
      </c>
      <c r="J287" s="2">
        <f t="shared" si="302"/>
        <v>2.5075762799993129E-3</v>
      </c>
    </row>
    <row r="288" spans="1:10" x14ac:dyDescent="0.45">
      <c r="A288" s="1">
        <v>40602</v>
      </c>
      <c r="B288">
        <v>96.97</v>
      </c>
      <c r="C288">
        <v>2.9388999999999998</v>
      </c>
      <c r="D288">
        <v>2.8927</v>
      </c>
      <c r="E288" s="2">
        <f t="shared" si="270"/>
        <v>25.170200000000023</v>
      </c>
      <c r="F288" s="2">
        <f t="shared" si="272"/>
        <v>24.797799999999995</v>
      </c>
      <c r="G288" s="2">
        <f t="shared" si="274"/>
        <v>23.72199999999998</v>
      </c>
      <c r="H288" s="2">
        <f t="shared" si="275"/>
        <v>6.1488203566142374E-3</v>
      </c>
      <c r="I288" s="2">
        <f t="shared" ref="I288:J288" si="303">LN(C287)-LN(C286)</f>
        <v>1.7915425986616329E-2</v>
      </c>
      <c r="J288" s="2">
        <f t="shared" si="303"/>
        <v>1.1653974725783778E-2</v>
      </c>
    </row>
    <row r="289" spans="1:10" x14ac:dyDescent="0.45">
      <c r="A289" s="1">
        <v>40603</v>
      </c>
      <c r="B289">
        <v>99.63</v>
      </c>
      <c r="C289">
        <v>3.0234999999999999</v>
      </c>
      <c r="D289">
        <v>2.9834000000000001</v>
      </c>
      <c r="E289" s="2">
        <f t="shared" si="270"/>
        <v>26.234200000000005</v>
      </c>
      <c r="F289" s="2">
        <f t="shared" si="272"/>
        <v>25.170200000000023</v>
      </c>
      <c r="G289" s="2">
        <f t="shared" si="274"/>
        <v>24.797799999999995</v>
      </c>
      <c r="H289" s="2">
        <f t="shared" si="275"/>
        <v>-9.3405862580162591E-3</v>
      </c>
      <c r="I289" s="2">
        <f t="shared" ref="I289:J289" si="304">LN(C288)-LN(C287)</f>
        <v>-2.2432203003264206E-3</v>
      </c>
      <c r="J289" s="2">
        <f t="shared" si="304"/>
        <v>-5.4815437273305623E-3</v>
      </c>
    </row>
    <row r="290" spans="1:10" x14ac:dyDescent="0.45">
      <c r="A290" s="1">
        <v>40604</v>
      </c>
      <c r="B290">
        <v>102.23</v>
      </c>
      <c r="C290">
        <v>3.0577000000000001</v>
      </c>
      <c r="D290">
        <v>3.0295000000000001</v>
      </c>
      <c r="E290" s="2">
        <f t="shared" si="270"/>
        <v>25.403800000000007</v>
      </c>
      <c r="F290" s="2">
        <f t="shared" si="272"/>
        <v>26.234200000000005</v>
      </c>
      <c r="G290" s="2">
        <f t="shared" si="274"/>
        <v>25.170200000000023</v>
      </c>
      <c r="H290" s="2">
        <f t="shared" si="275"/>
        <v>2.7061671740310267E-2</v>
      </c>
      <c r="I290" s="2">
        <f t="shared" ref="I290:J290" si="305">LN(C289)-LN(C288)</f>
        <v>2.8379739051851871E-2</v>
      </c>
      <c r="J290" s="2">
        <f t="shared" si="305"/>
        <v>3.0873267703550811E-2</v>
      </c>
    </row>
    <row r="291" spans="1:10" x14ac:dyDescent="0.45">
      <c r="A291" s="1">
        <v>40605</v>
      </c>
      <c r="B291">
        <v>101.91</v>
      </c>
      <c r="C291">
        <v>3.0493000000000001</v>
      </c>
      <c r="D291">
        <v>3.0261999999999998</v>
      </c>
      <c r="E291" s="2">
        <f t="shared" si="270"/>
        <v>25.513799999999986</v>
      </c>
      <c r="F291" s="2">
        <f t="shared" si="272"/>
        <v>25.403800000000007</v>
      </c>
      <c r="G291" s="2">
        <f t="shared" si="274"/>
        <v>26.234200000000005</v>
      </c>
      <c r="H291" s="2">
        <f t="shared" si="275"/>
        <v>2.576185271215703E-2</v>
      </c>
      <c r="I291" s="2">
        <f t="shared" ref="I291:J291" si="306">LN(C290)-LN(C289)</f>
        <v>1.1247898627779751E-2</v>
      </c>
      <c r="J291" s="2">
        <f t="shared" si="306"/>
        <v>1.533399966521376E-2</v>
      </c>
    </row>
    <row r="292" spans="1:10" x14ac:dyDescent="0.45">
      <c r="A292" s="1">
        <v>40606</v>
      </c>
      <c r="B292">
        <v>104.42</v>
      </c>
      <c r="C292">
        <v>3.0893000000000002</v>
      </c>
      <c r="D292">
        <v>3.0464000000000002</v>
      </c>
      <c r="E292" s="2">
        <f t="shared" si="270"/>
        <v>24.129400000000015</v>
      </c>
      <c r="F292" s="2">
        <f t="shared" si="272"/>
        <v>25.513799999999986</v>
      </c>
      <c r="G292" s="2">
        <f t="shared" si="274"/>
        <v>25.403800000000007</v>
      </c>
      <c r="H292" s="2">
        <f t="shared" si="275"/>
        <v>-3.1351059283197813E-3</v>
      </c>
      <c r="I292" s="2">
        <f t="shared" ref="I292:J292" si="307">LN(C291)-LN(C290)</f>
        <v>-2.7509432773478171E-3</v>
      </c>
      <c r="J292" s="2">
        <f t="shared" si="307"/>
        <v>-1.0898823675735692E-3</v>
      </c>
    </row>
    <row r="293" spans="1:10" x14ac:dyDescent="0.45">
      <c r="A293" s="1">
        <v>40609</v>
      </c>
      <c r="B293">
        <v>105.44</v>
      </c>
      <c r="C293">
        <v>3.0657000000000001</v>
      </c>
      <c r="D293">
        <v>3.0038999999999998</v>
      </c>
      <c r="E293" s="2">
        <f t="shared" si="270"/>
        <v>21.588999999999999</v>
      </c>
      <c r="F293" s="2">
        <f t="shared" si="272"/>
        <v>24.129400000000015</v>
      </c>
      <c r="G293" s="2">
        <f t="shared" si="274"/>
        <v>25.513799999999986</v>
      </c>
      <c r="H293" s="2">
        <f t="shared" si="275"/>
        <v>2.4331157141803672E-2</v>
      </c>
      <c r="I293" s="2">
        <f t="shared" ref="I293:J293" si="308">LN(C292)-LN(C291)</f>
        <v>1.3032471947832081E-2</v>
      </c>
      <c r="J293" s="2">
        <f t="shared" si="308"/>
        <v>6.652858579575982E-3</v>
      </c>
    </row>
    <row r="294" spans="1:10" x14ac:dyDescent="0.45">
      <c r="A294" s="1">
        <v>40610</v>
      </c>
      <c r="B294">
        <v>105.02</v>
      </c>
      <c r="C294">
        <v>3.0110999999999999</v>
      </c>
      <c r="D294">
        <v>2.9466999999999999</v>
      </c>
      <c r="E294" s="2">
        <f t="shared" si="270"/>
        <v>19.64299999999999</v>
      </c>
      <c r="F294" s="2">
        <f t="shared" si="272"/>
        <v>21.588999999999999</v>
      </c>
      <c r="G294" s="2">
        <f t="shared" si="274"/>
        <v>24.129400000000015</v>
      </c>
      <c r="H294" s="2">
        <f t="shared" si="275"/>
        <v>9.7208427717907497E-3</v>
      </c>
      <c r="I294" s="2">
        <f t="shared" ref="I294:J294" si="309">LN(C293)-LN(C292)</f>
        <v>-7.6685997252583515E-3</v>
      </c>
      <c r="J294" s="2">
        <f t="shared" si="309"/>
        <v>-1.4049121215179428E-2</v>
      </c>
    </row>
    <row r="295" spans="1:10" x14ac:dyDescent="0.45">
      <c r="A295" s="1">
        <v>40611</v>
      </c>
      <c r="B295">
        <v>104.38</v>
      </c>
      <c r="C295">
        <v>3.0707</v>
      </c>
      <c r="D295">
        <v>3.0272000000000001</v>
      </c>
      <c r="E295" s="2">
        <f t="shared" si="270"/>
        <v>23.371400000000012</v>
      </c>
      <c r="F295" s="2">
        <f t="shared" si="272"/>
        <v>19.64299999999999</v>
      </c>
      <c r="G295" s="2">
        <f t="shared" si="274"/>
        <v>21.588999999999999</v>
      </c>
      <c r="H295" s="2">
        <f t="shared" si="275"/>
        <v>-3.9912625444840089E-3</v>
      </c>
      <c r="I295" s="2">
        <f t="shared" ref="I295:J295" si="310">LN(C294)-LN(C293)</f>
        <v>-1.797046779840894E-2</v>
      </c>
      <c r="J295" s="2">
        <f t="shared" si="310"/>
        <v>-1.92255442650755E-2</v>
      </c>
    </row>
    <row r="296" spans="1:10" x14ac:dyDescent="0.45">
      <c r="A296" s="1">
        <v>40612</v>
      </c>
      <c r="B296">
        <v>102.7</v>
      </c>
      <c r="C296">
        <v>3.0449000000000002</v>
      </c>
      <c r="D296">
        <v>3.0196000000000001</v>
      </c>
      <c r="E296" s="2">
        <f t="shared" si="270"/>
        <v>24.477399999999989</v>
      </c>
      <c r="F296" s="2">
        <f t="shared" si="272"/>
        <v>23.371400000000012</v>
      </c>
      <c r="G296" s="2">
        <f t="shared" si="274"/>
        <v>19.64299999999999</v>
      </c>
      <c r="H296" s="2">
        <f t="shared" si="275"/>
        <v>-6.1127219944454581E-3</v>
      </c>
      <c r="I296" s="2">
        <f t="shared" ref="I296:J296" si="311">LN(C295)-LN(C294)</f>
        <v>1.9600088131674465E-2</v>
      </c>
      <c r="J296" s="2">
        <f t="shared" si="311"/>
        <v>2.695219974076779E-2</v>
      </c>
    </row>
    <row r="297" spans="1:10" x14ac:dyDescent="0.45">
      <c r="A297" s="1">
        <v>40613</v>
      </c>
      <c r="B297">
        <v>101.16</v>
      </c>
      <c r="C297">
        <v>3.0289999999999999</v>
      </c>
      <c r="D297">
        <v>2.9876999999999998</v>
      </c>
      <c r="E297" s="2">
        <f t="shared" si="270"/>
        <v>24.901599999999991</v>
      </c>
      <c r="F297" s="2">
        <f t="shared" si="272"/>
        <v>24.477399999999989</v>
      </c>
      <c r="G297" s="2">
        <f t="shared" si="274"/>
        <v>23.371400000000012</v>
      </c>
      <c r="H297" s="2">
        <f t="shared" si="275"/>
        <v>-1.6225969280754704E-2</v>
      </c>
      <c r="I297" s="2">
        <f t="shared" ref="I297:J297" si="312">LN(C296)-LN(C295)</f>
        <v>-8.4374887373055429E-3</v>
      </c>
      <c r="J297" s="2">
        <f t="shared" si="312"/>
        <v>-2.5137275920892321E-3</v>
      </c>
    </row>
    <row r="298" spans="1:10" x14ac:dyDescent="0.45">
      <c r="A298" s="1">
        <v>40616</v>
      </c>
      <c r="B298">
        <v>101.19</v>
      </c>
      <c r="C298">
        <v>3.0638000000000001</v>
      </c>
      <c r="D298">
        <v>2.9603000000000002</v>
      </c>
      <c r="E298" s="2">
        <f t="shared" si="270"/>
        <v>24.59160000000001</v>
      </c>
      <c r="F298" s="2">
        <f t="shared" si="272"/>
        <v>24.901599999999991</v>
      </c>
      <c r="G298" s="2">
        <f t="shared" si="274"/>
        <v>24.477399999999989</v>
      </c>
      <c r="H298" s="2">
        <f t="shared" si="275"/>
        <v>-1.5108695132748373E-2</v>
      </c>
      <c r="I298" s="2">
        <f t="shared" ref="I298:J298" si="313">LN(C297)-LN(C296)</f>
        <v>-5.235527854995814E-3</v>
      </c>
      <c r="J298" s="2">
        <f t="shared" si="313"/>
        <v>-1.0620511659766407E-2</v>
      </c>
    </row>
    <row r="299" spans="1:10" x14ac:dyDescent="0.45">
      <c r="A299" s="1">
        <v>40617</v>
      </c>
      <c r="B299">
        <v>97.18</v>
      </c>
      <c r="C299">
        <v>2.9538000000000002</v>
      </c>
      <c r="D299">
        <v>2.8029000000000002</v>
      </c>
      <c r="E299" s="2">
        <f t="shared" si="270"/>
        <v>22.654399999999992</v>
      </c>
      <c r="F299" s="2">
        <f t="shared" si="272"/>
        <v>24.59160000000001</v>
      </c>
      <c r="G299" s="2">
        <f t="shared" si="274"/>
        <v>24.901599999999991</v>
      </c>
      <c r="H299" s="2">
        <f t="shared" si="275"/>
        <v>2.9651593990376313E-4</v>
      </c>
      <c r="I299" s="2">
        <f t="shared" ref="I299:J299" si="314">LN(C298)-LN(C297)</f>
        <v>1.1423443551358492E-2</v>
      </c>
      <c r="J299" s="2">
        <f t="shared" si="314"/>
        <v>-9.2132460719471787E-3</v>
      </c>
    </row>
    <row r="300" spans="1:10" x14ac:dyDescent="0.45">
      <c r="A300" s="1">
        <v>40618</v>
      </c>
      <c r="B300">
        <v>97.98</v>
      </c>
      <c r="C300">
        <v>2.9971999999999999</v>
      </c>
      <c r="D300">
        <v>2.8437000000000001</v>
      </c>
      <c r="E300" s="2">
        <f t="shared" si="270"/>
        <v>23.604399999999998</v>
      </c>
      <c r="F300" s="2">
        <f t="shared" si="272"/>
        <v>22.654399999999992</v>
      </c>
      <c r="G300" s="2">
        <f t="shared" si="274"/>
        <v>24.59160000000001</v>
      </c>
      <c r="H300" s="2">
        <f t="shared" si="275"/>
        <v>-4.0435008763910929E-2</v>
      </c>
      <c r="I300" s="2">
        <f t="shared" ref="I300:J300" si="315">LN(C299)-LN(C298)</f>
        <v>-3.6563498586385856E-2</v>
      </c>
      <c r="J300" s="2">
        <f t="shared" si="315"/>
        <v>-5.4636019066736541E-2</v>
      </c>
    </row>
    <row r="301" spans="1:10" x14ac:dyDescent="0.45">
      <c r="A301" s="1">
        <v>40619</v>
      </c>
      <c r="B301">
        <v>101.42</v>
      </c>
      <c r="C301">
        <v>3.0649000000000002</v>
      </c>
      <c r="D301">
        <v>2.9506000000000001</v>
      </c>
      <c r="E301" s="2">
        <f t="shared" si="270"/>
        <v>24.105400000000014</v>
      </c>
      <c r="F301" s="2">
        <f t="shared" si="272"/>
        <v>23.604399999999998</v>
      </c>
      <c r="G301" s="2">
        <f t="shared" si="274"/>
        <v>22.654399999999992</v>
      </c>
      <c r="H301" s="2">
        <f t="shared" si="275"/>
        <v>8.1984472326714908E-3</v>
      </c>
      <c r="I301" s="2">
        <f t="shared" ref="I301:J301" si="316">LN(C300)-LN(C299)</f>
        <v>1.4586042497945595E-2</v>
      </c>
      <c r="J301" s="2">
        <f t="shared" si="316"/>
        <v>1.4451425660085837E-2</v>
      </c>
    </row>
    <row r="302" spans="1:10" x14ac:dyDescent="0.45">
      <c r="A302" s="1">
        <v>40620</v>
      </c>
      <c r="B302">
        <v>101.85</v>
      </c>
      <c r="C302">
        <v>3.0243000000000002</v>
      </c>
      <c r="D302">
        <v>2.9493999999999998</v>
      </c>
      <c r="E302" s="2">
        <f t="shared" si="270"/>
        <v>23.07340000000001</v>
      </c>
      <c r="F302" s="2">
        <f t="shared" si="272"/>
        <v>24.105400000000014</v>
      </c>
      <c r="G302" s="2">
        <f t="shared" si="274"/>
        <v>23.604399999999998</v>
      </c>
      <c r="H302" s="2">
        <f t="shared" si="275"/>
        <v>3.4506934156444125E-2</v>
      </c>
      <c r="I302" s="2">
        <f t="shared" ref="I302:J302" si="317">LN(C301)-LN(C300)</f>
        <v>2.2336422920496535E-2</v>
      </c>
      <c r="J302" s="2">
        <f t="shared" si="317"/>
        <v>3.6902518356360936E-2</v>
      </c>
    </row>
    <row r="303" spans="1:10" x14ac:dyDescent="0.45">
      <c r="A303" s="1">
        <v>40623</v>
      </c>
      <c r="B303">
        <v>103.09</v>
      </c>
      <c r="C303">
        <v>3.0525000000000002</v>
      </c>
      <c r="D303">
        <v>2.9973999999999998</v>
      </c>
      <c r="E303" s="2">
        <f t="shared" si="270"/>
        <v>23.572200000000009</v>
      </c>
      <c r="F303" s="2">
        <f t="shared" si="272"/>
        <v>23.07340000000001</v>
      </c>
      <c r="G303" s="2">
        <f t="shared" si="274"/>
        <v>24.105400000000014</v>
      </c>
      <c r="H303" s="2">
        <f t="shared" si="275"/>
        <v>4.2308323059421227E-3</v>
      </c>
      <c r="I303" s="2">
        <f t="shared" ref="I303:J303" si="318">LN(C302)-LN(C301)</f>
        <v>-1.3335282682646499E-2</v>
      </c>
      <c r="J303" s="2">
        <f t="shared" si="318"/>
        <v>-4.0677966662605591E-4</v>
      </c>
    </row>
    <row r="304" spans="1:10" x14ac:dyDescent="0.45">
      <c r="A304" s="1">
        <v>40625</v>
      </c>
      <c r="B304">
        <v>105.75</v>
      </c>
      <c r="C304">
        <v>3.0718999999999999</v>
      </c>
      <c r="D304">
        <v>3.0286</v>
      </c>
      <c r="E304" s="2">
        <f t="shared" si="270"/>
        <v>22.057399999999991</v>
      </c>
      <c r="F304" s="2">
        <f t="shared" si="272"/>
        <v>23.572200000000009</v>
      </c>
      <c r="G304" s="2">
        <f t="shared" si="274"/>
        <v>23.07340000000001</v>
      </c>
      <c r="H304" s="2">
        <f t="shared" si="275"/>
        <v>1.210125043547805E-2</v>
      </c>
      <c r="I304" s="2">
        <f t="shared" ref="I304:J304" si="319">LN(C303)-LN(C302)</f>
        <v>9.2812672568542975E-3</v>
      </c>
      <c r="J304" s="2">
        <f t="shared" si="319"/>
        <v>1.6143486394055273E-2</v>
      </c>
    </row>
    <row r="305" spans="1:10" x14ac:dyDescent="0.45">
      <c r="A305" s="1">
        <v>40626</v>
      </c>
      <c r="B305">
        <v>105.6</v>
      </c>
      <c r="C305">
        <v>3.0787</v>
      </c>
      <c r="D305">
        <v>3.0508000000000002</v>
      </c>
      <c r="E305" s="2">
        <f t="shared" si="270"/>
        <v>22.924200000000003</v>
      </c>
      <c r="F305" s="2">
        <f t="shared" si="272"/>
        <v>22.057399999999991</v>
      </c>
      <c r="G305" s="2">
        <f t="shared" si="274"/>
        <v>23.572200000000009</v>
      </c>
      <c r="H305" s="2">
        <f t="shared" si="275"/>
        <v>2.5475424818094616E-2</v>
      </c>
      <c r="I305" s="2">
        <f t="shared" ref="I305:J305" si="320">LN(C304)-LN(C303)</f>
        <v>6.3353356695388108E-3</v>
      </c>
      <c r="J305" s="2">
        <f t="shared" si="320"/>
        <v>1.0355220311659474E-2</v>
      </c>
    </row>
    <row r="306" spans="1:10" x14ac:dyDescent="0.45">
      <c r="A306" s="1">
        <v>40627</v>
      </c>
      <c r="B306">
        <v>105.4</v>
      </c>
      <c r="C306">
        <v>3.0714999999999999</v>
      </c>
      <c r="D306">
        <v>3.0495000000000001</v>
      </c>
      <c r="E306" s="2">
        <f t="shared" si="270"/>
        <v>22.986999999999984</v>
      </c>
      <c r="F306" s="2">
        <f t="shared" si="272"/>
        <v>22.924200000000003</v>
      </c>
      <c r="G306" s="2">
        <f t="shared" si="274"/>
        <v>22.057399999999991</v>
      </c>
      <c r="H306" s="2">
        <f t="shared" si="275"/>
        <v>-1.4194466542267747E-3</v>
      </c>
      <c r="I306" s="2">
        <f t="shared" ref="I306:J306" si="321">LN(C305)-LN(C304)</f>
        <v>2.2111672911850899E-3</v>
      </c>
      <c r="J306" s="2">
        <f t="shared" si="321"/>
        <v>7.3033847675283425E-3</v>
      </c>
    </row>
    <row r="307" spans="1:10" x14ac:dyDescent="0.45">
      <c r="A307" s="1">
        <v>40630</v>
      </c>
      <c r="B307">
        <v>103.98</v>
      </c>
      <c r="C307">
        <v>3.0411999999999999</v>
      </c>
      <c r="D307">
        <v>3.0276000000000001</v>
      </c>
      <c r="E307" s="2">
        <f t="shared" si="270"/>
        <v>23.369600000000009</v>
      </c>
      <c r="F307" s="2">
        <f t="shared" si="272"/>
        <v>22.986999999999984</v>
      </c>
      <c r="G307" s="2">
        <f t="shared" si="274"/>
        <v>22.924200000000003</v>
      </c>
      <c r="H307" s="2">
        <f t="shared" si="275"/>
        <v>-1.8957351648989373E-3</v>
      </c>
      <c r="I307" s="2">
        <f t="shared" ref="I307:J307" si="322">LN(C306)-LN(C305)</f>
        <v>-2.3413883416016912E-3</v>
      </c>
      <c r="J307" s="2">
        <f t="shared" si="322"/>
        <v>-4.2620855357244913E-4</v>
      </c>
    </row>
    <row r="308" spans="1:10" x14ac:dyDescent="0.45">
      <c r="A308" s="1">
        <v>40631</v>
      </c>
      <c r="B308">
        <v>104.79</v>
      </c>
      <c r="C308">
        <v>3.0573000000000001</v>
      </c>
      <c r="D308">
        <v>3.0436000000000001</v>
      </c>
      <c r="E308" s="2">
        <f t="shared" si="270"/>
        <v>23.233000000000004</v>
      </c>
      <c r="F308" s="2">
        <f t="shared" si="272"/>
        <v>23.369600000000009</v>
      </c>
      <c r="G308" s="2">
        <f t="shared" si="274"/>
        <v>22.986999999999984</v>
      </c>
      <c r="H308" s="2">
        <f t="shared" si="275"/>
        <v>-1.3564063151692451E-2</v>
      </c>
      <c r="I308" s="2">
        <f t="shared" ref="I308:J308" si="323">LN(C307)-LN(C306)</f>
        <v>-9.9138672497005587E-3</v>
      </c>
      <c r="J308" s="2">
        <f t="shared" si="323"/>
        <v>-7.2074163014987924E-3</v>
      </c>
    </row>
    <row r="309" spans="1:10" x14ac:dyDescent="0.45">
      <c r="A309" s="1">
        <v>40632</v>
      </c>
      <c r="B309">
        <v>104.27</v>
      </c>
      <c r="C309">
        <v>3.0533999999999999</v>
      </c>
      <c r="D309">
        <v>3.0573000000000001</v>
      </c>
      <c r="E309" s="2">
        <f t="shared" si="270"/>
        <v>24.081999999999994</v>
      </c>
      <c r="F309" s="2">
        <f t="shared" si="272"/>
        <v>23.233000000000004</v>
      </c>
      <c r="G309" s="2">
        <f t="shared" si="274"/>
        <v>23.369600000000009</v>
      </c>
      <c r="H309" s="2">
        <f t="shared" si="275"/>
        <v>7.7597745312809607E-3</v>
      </c>
      <c r="I309" s="2">
        <f t="shared" ref="I309:J309" si="324">LN(C308)-LN(C307)</f>
        <v>5.2799991484759889E-3</v>
      </c>
      <c r="J309" s="2">
        <f t="shared" si="324"/>
        <v>5.2707988673554862E-3</v>
      </c>
    </row>
    <row r="310" spans="1:10" x14ac:dyDescent="0.45">
      <c r="A310" s="1">
        <v>40633</v>
      </c>
      <c r="B310">
        <v>106.72</v>
      </c>
      <c r="C310">
        <v>3.1124999999999998</v>
      </c>
      <c r="D310">
        <v>3.1076999999999999</v>
      </c>
      <c r="E310" s="2">
        <f t="shared" si="270"/>
        <v>23.870600000000007</v>
      </c>
      <c r="F310" s="2">
        <f t="shared" si="272"/>
        <v>24.081999999999994</v>
      </c>
      <c r="G310" s="2">
        <f t="shared" si="274"/>
        <v>23.233000000000004</v>
      </c>
      <c r="H310" s="2">
        <f t="shared" si="275"/>
        <v>-4.9746586853487429E-3</v>
      </c>
      <c r="I310" s="2">
        <f t="shared" ref="I310:J310" si="325">LN(C309)-LN(C308)</f>
        <v>-1.2764496799155811E-3</v>
      </c>
      <c r="J310" s="2">
        <f t="shared" si="325"/>
        <v>4.4911482003897607E-3</v>
      </c>
    </row>
    <row r="311" spans="1:10" x14ac:dyDescent="0.45">
      <c r="A311" s="1">
        <v>40634</v>
      </c>
      <c r="B311">
        <v>107.94</v>
      </c>
      <c r="C311">
        <v>3.1345000000000001</v>
      </c>
      <c r="D311">
        <v>3.1513</v>
      </c>
      <c r="E311" s="2">
        <f t="shared" si="270"/>
        <v>24.179400000000005</v>
      </c>
      <c r="F311" s="2">
        <f t="shared" si="272"/>
        <v>23.870600000000007</v>
      </c>
      <c r="G311" s="2">
        <f t="shared" si="274"/>
        <v>24.081999999999994</v>
      </c>
      <c r="H311" s="2">
        <f t="shared" si="275"/>
        <v>2.3224893365811461E-2</v>
      </c>
      <c r="I311" s="2">
        <f t="shared" ref="I311:J311" si="326">LN(C310)-LN(C309)</f>
        <v>1.9170537950121025E-2</v>
      </c>
      <c r="J311" s="2">
        <f t="shared" si="326"/>
        <v>1.63507292294085E-2</v>
      </c>
    </row>
    <row r="312" spans="1:10" x14ac:dyDescent="0.45">
      <c r="A312" s="1">
        <v>40637</v>
      </c>
      <c r="B312">
        <v>108.47</v>
      </c>
      <c r="C312">
        <v>3.1714000000000002</v>
      </c>
      <c r="D312">
        <v>3.1688000000000001</v>
      </c>
      <c r="E312" s="2">
        <f t="shared" si="270"/>
        <v>24.656000000000006</v>
      </c>
      <c r="F312" s="2">
        <f t="shared" si="272"/>
        <v>24.179400000000005</v>
      </c>
      <c r="G312" s="2">
        <f t="shared" si="274"/>
        <v>23.870600000000007</v>
      </c>
      <c r="H312" s="2">
        <f t="shared" si="275"/>
        <v>1.1366935023183977E-2</v>
      </c>
      <c r="I312" s="2">
        <f t="shared" ref="I312:J312" si="327">LN(C311)-LN(C310)</f>
        <v>7.0434099410601192E-3</v>
      </c>
      <c r="J312" s="2">
        <f t="shared" si="327"/>
        <v>1.3932163363644223E-2</v>
      </c>
    </row>
    <row r="313" spans="1:10" x14ac:dyDescent="0.45">
      <c r="A313" s="1">
        <v>40638</v>
      </c>
      <c r="B313">
        <v>108.34</v>
      </c>
      <c r="C313">
        <v>3.1850000000000001</v>
      </c>
      <c r="D313">
        <v>3.2012999999999998</v>
      </c>
      <c r="E313" s="2">
        <f t="shared" si="270"/>
        <v>25.88640000000002</v>
      </c>
      <c r="F313" s="2">
        <f t="shared" si="272"/>
        <v>24.656000000000006</v>
      </c>
      <c r="G313" s="2">
        <f t="shared" si="274"/>
        <v>24.179400000000005</v>
      </c>
      <c r="H313" s="2">
        <f t="shared" si="275"/>
        <v>4.8981198616289134E-3</v>
      </c>
      <c r="I313" s="2">
        <f t="shared" ref="I313:J313" si="328">LN(C312)-LN(C311)</f>
        <v>1.1703459041443987E-2</v>
      </c>
      <c r="J313" s="2">
        <f t="shared" si="328"/>
        <v>5.5379012118965676E-3</v>
      </c>
    </row>
    <row r="314" spans="1:10" x14ac:dyDescent="0.45">
      <c r="A314" s="1">
        <v>40639</v>
      </c>
      <c r="B314">
        <v>108.83</v>
      </c>
      <c r="C314">
        <v>3.1911999999999998</v>
      </c>
      <c r="D314">
        <v>3.1928999999999998</v>
      </c>
      <c r="E314" s="2">
        <f t="shared" si="270"/>
        <v>25.24799999999999</v>
      </c>
      <c r="F314" s="2">
        <f t="shared" si="272"/>
        <v>25.88640000000002</v>
      </c>
      <c r="G314" s="2">
        <f t="shared" si="274"/>
        <v>24.656000000000006</v>
      </c>
      <c r="H314" s="2">
        <f t="shared" si="275"/>
        <v>-1.1992068223731778E-3</v>
      </c>
      <c r="I314" s="2">
        <f t="shared" ref="I314:J314" si="329">LN(C313)-LN(C312)</f>
        <v>4.2791582507966108E-3</v>
      </c>
      <c r="J314" s="2">
        <f t="shared" si="329"/>
        <v>1.0204009982921924E-2</v>
      </c>
    </row>
    <row r="315" spans="1:10" x14ac:dyDescent="0.45">
      <c r="A315" s="1">
        <v>40640</v>
      </c>
      <c r="B315">
        <v>110.3</v>
      </c>
      <c r="C315">
        <v>3.206</v>
      </c>
      <c r="D315">
        <v>3.1865000000000001</v>
      </c>
      <c r="E315" s="2">
        <f t="shared" si="270"/>
        <v>23.806000000000001</v>
      </c>
      <c r="F315" s="2">
        <f t="shared" si="272"/>
        <v>25.24799999999999</v>
      </c>
      <c r="G315" s="2">
        <f t="shared" si="274"/>
        <v>25.88640000000002</v>
      </c>
      <c r="H315" s="2">
        <f t="shared" si="275"/>
        <v>4.5126014782175261E-3</v>
      </c>
      <c r="I315" s="2">
        <f t="shared" ref="I315:J315" si="330">LN(C314)-LN(C313)</f>
        <v>1.9447325849331065E-3</v>
      </c>
      <c r="J315" s="2">
        <f t="shared" si="330"/>
        <v>-2.6273825755205316E-3</v>
      </c>
    </row>
    <row r="316" spans="1:10" x14ac:dyDescent="0.45">
      <c r="A316" s="1">
        <v>40641</v>
      </c>
      <c r="B316">
        <v>112.79</v>
      </c>
      <c r="C316">
        <v>3.3197000000000001</v>
      </c>
      <c r="D316">
        <v>3.2606999999999999</v>
      </c>
      <c r="E316" s="2">
        <f t="shared" si="270"/>
        <v>24.985399999999988</v>
      </c>
      <c r="F316" s="2">
        <f t="shared" si="272"/>
        <v>23.806000000000001</v>
      </c>
      <c r="G316" s="2">
        <f t="shared" si="274"/>
        <v>25.24799999999999</v>
      </c>
      <c r="H316" s="2">
        <f t="shared" si="275"/>
        <v>1.3416894551486536E-2</v>
      </c>
      <c r="I316" s="2">
        <f t="shared" ref="I316:J316" si="331">LN(C315)-LN(C314)</f>
        <v>4.6270325783013266E-3</v>
      </c>
      <c r="J316" s="2">
        <f t="shared" si="331"/>
        <v>-2.0064589607593497E-3</v>
      </c>
    </row>
    <row r="317" spans="1:10" x14ac:dyDescent="0.45">
      <c r="A317" s="1">
        <v>40645</v>
      </c>
      <c r="B317">
        <v>106.25</v>
      </c>
      <c r="C317">
        <v>3.1726000000000001</v>
      </c>
      <c r="D317">
        <v>3.1640999999999999</v>
      </c>
      <c r="E317" s="2">
        <f t="shared" si="270"/>
        <v>26.761199999999992</v>
      </c>
      <c r="F317" s="2">
        <f t="shared" si="272"/>
        <v>24.985399999999988</v>
      </c>
      <c r="G317" s="2">
        <f t="shared" si="274"/>
        <v>23.806000000000001</v>
      </c>
      <c r="H317" s="2">
        <f t="shared" si="275"/>
        <v>2.2323756392368388E-2</v>
      </c>
      <c r="I317" s="2">
        <f t="shared" ref="I317:J317" si="332">LN(C316)-LN(C315)</f>
        <v>3.4850363212411528E-2</v>
      </c>
      <c r="J317" s="2">
        <f t="shared" si="332"/>
        <v>2.3018760482901968E-2</v>
      </c>
    </row>
    <row r="318" spans="1:10" x14ac:dyDescent="0.45">
      <c r="A318" s="1">
        <v>40646</v>
      </c>
      <c r="B318">
        <v>107.11</v>
      </c>
      <c r="C318">
        <v>3.2027999999999999</v>
      </c>
      <c r="D318">
        <v>3.2423999999999999</v>
      </c>
      <c r="E318" s="2">
        <f t="shared" si="270"/>
        <v>28.516399999999994</v>
      </c>
      <c r="F318" s="2">
        <f t="shared" si="272"/>
        <v>26.761199999999992</v>
      </c>
      <c r="G318" s="2">
        <f t="shared" si="274"/>
        <v>24.985399999999988</v>
      </c>
      <c r="H318" s="2">
        <f t="shared" si="275"/>
        <v>-5.9732874847298945E-2</v>
      </c>
      <c r="I318" s="2">
        <f t="shared" ref="I318:J318" si="333">LN(C317)-LN(C316)</f>
        <v>-4.5322976407554894E-2</v>
      </c>
      <c r="J318" s="2">
        <f t="shared" si="333"/>
        <v>-3.0073241286572738E-2</v>
      </c>
    </row>
    <row r="319" spans="1:10" x14ac:dyDescent="0.45">
      <c r="A319" s="1">
        <v>40647</v>
      </c>
      <c r="B319">
        <v>108.11</v>
      </c>
      <c r="C319">
        <v>3.1890000000000001</v>
      </c>
      <c r="D319">
        <v>3.2347000000000001</v>
      </c>
      <c r="E319" s="2">
        <f t="shared" si="270"/>
        <v>27.107600000000009</v>
      </c>
      <c r="F319" s="2">
        <f t="shared" si="272"/>
        <v>28.516399999999994</v>
      </c>
      <c r="G319" s="2">
        <f t="shared" si="274"/>
        <v>26.761199999999992</v>
      </c>
      <c r="H319" s="2">
        <f t="shared" si="275"/>
        <v>8.0615359720122015E-3</v>
      </c>
      <c r="I319" s="2">
        <f t="shared" ref="I319:J319" si="334">LN(C318)-LN(C317)</f>
        <v>9.4739862241239869E-3</v>
      </c>
      <c r="J319" s="2">
        <f t="shared" si="334"/>
        <v>2.4445141363420575E-2</v>
      </c>
    </row>
    <row r="320" spans="1:10" x14ac:dyDescent="0.45">
      <c r="A320" s="1">
        <v>40648</v>
      </c>
      <c r="B320">
        <v>109.66</v>
      </c>
      <c r="C320">
        <v>3.2242000000000002</v>
      </c>
      <c r="D320">
        <v>3.2892000000000001</v>
      </c>
      <c r="E320" s="2">
        <f t="shared" si="270"/>
        <v>27.576399999999996</v>
      </c>
      <c r="F320" s="2">
        <f t="shared" si="272"/>
        <v>27.107600000000009</v>
      </c>
      <c r="G320" s="2">
        <f t="shared" si="274"/>
        <v>28.516399999999994</v>
      </c>
      <c r="H320" s="2">
        <f t="shared" si="275"/>
        <v>9.2928835281416156E-3</v>
      </c>
      <c r="I320" s="2">
        <f t="shared" ref="I320:J320" si="335">LN(C319)-LN(C318)</f>
        <v>-4.3180391884212188E-3</v>
      </c>
      <c r="J320" s="2">
        <f t="shared" si="335"/>
        <v>-2.3776083825646221E-3</v>
      </c>
    </row>
    <row r="321" spans="1:10" x14ac:dyDescent="0.45">
      <c r="A321" s="1">
        <v>40651</v>
      </c>
      <c r="B321">
        <v>107.69</v>
      </c>
      <c r="C321">
        <v>3.1827999999999999</v>
      </c>
      <c r="D321">
        <v>3.2528000000000001</v>
      </c>
      <c r="E321" s="2">
        <f t="shared" si="270"/>
        <v>27.947600000000005</v>
      </c>
      <c r="F321" s="2">
        <f t="shared" si="272"/>
        <v>27.576399999999996</v>
      </c>
      <c r="G321" s="2">
        <f t="shared" si="274"/>
        <v>27.107600000000009</v>
      </c>
      <c r="H321" s="2">
        <f t="shared" si="275"/>
        <v>1.4235442671222565E-2</v>
      </c>
      <c r="I321" s="2">
        <f t="shared" ref="I321:J321" si="336">LN(C320)-LN(C319)</f>
        <v>1.0977469431840525E-2</v>
      </c>
      <c r="J321" s="2">
        <f t="shared" si="336"/>
        <v>1.6708186165206307E-2</v>
      </c>
    </row>
    <row r="322" spans="1:10" x14ac:dyDescent="0.45">
      <c r="A322" s="1">
        <v>40652</v>
      </c>
      <c r="B322">
        <v>108.28</v>
      </c>
      <c r="C322">
        <v>3.1724999999999999</v>
      </c>
      <c r="D322">
        <v>3.1993</v>
      </c>
      <c r="E322" s="2">
        <f t="shared" si="270"/>
        <v>25.715399999999988</v>
      </c>
      <c r="F322" s="2">
        <f t="shared" si="272"/>
        <v>27.947600000000005</v>
      </c>
      <c r="G322" s="2">
        <f t="shared" si="274"/>
        <v>27.576399999999996</v>
      </c>
      <c r="H322" s="2">
        <f t="shared" si="275"/>
        <v>-1.8127940635113582E-2</v>
      </c>
      <c r="I322" s="2">
        <f t="shared" ref="I322:J322" si="337">LN(C321)-LN(C320)</f>
        <v>-1.2923544938518328E-2</v>
      </c>
      <c r="J322" s="2">
        <f t="shared" si="337"/>
        <v>-1.1128210222658197E-2</v>
      </c>
    </row>
    <row r="323" spans="1:10" x14ac:dyDescent="0.45">
      <c r="A323" s="1">
        <v>40653</v>
      </c>
      <c r="B323">
        <v>111.45</v>
      </c>
      <c r="C323">
        <v>3.2359</v>
      </c>
      <c r="D323">
        <v>3.2484000000000002</v>
      </c>
      <c r="E323" s="2">
        <f t="shared" ref="E323:E386" si="338">(2*D323*42+1*C323*42-3*B323)/3</f>
        <v>24.807800000000004</v>
      </c>
      <c r="F323" s="2">
        <f t="shared" si="272"/>
        <v>25.715399999999988</v>
      </c>
      <c r="G323" s="2">
        <f t="shared" si="274"/>
        <v>27.947600000000005</v>
      </c>
      <c r="H323" s="2">
        <f t="shared" si="275"/>
        <v>5.4637354053115317E-3</v>
      </c>
      <c r="I323" s="2">
        <f t="shared" ref="I323:J323" si="339">LN(C322)-LN(C321)</f>
        <v>-3.2413919148370773E-3</v>
      </c>
      <c r="J323" s="2">
        <f t="shared" si="339"/>
        <v>-1.6584128015535216E-2</v>
      </c>
    </row>
    <row r="324" spans="1:10" x14ac:dyDescent="0.45">
      <c r="A324" s="1">
        <v>40654</v>
      </c>
      <c r="B324">
        <v>112.29</v>
      </c>
      <c r="C324">
        <v>3.2162000000000002</v>
      </c>
      <c r="D324">
        <v>3.2723</v>
      </c>
      <c r="E324" s="2">
        <f t="shared" si="338"/>
        <v>24.361199999999997</v>
      </c>
      <c r="F324" s="2">
        <f t="shared" ref="F324:F387" si="340">E323</f>
        <v>24.807800000000004</v>
      </c>
      <c r="G324" s="2">
        <f t="shared" si="274"/>
        <v>25.715399999999988</v>
      </c>
      <c r="H324" s="2">
        <f t="shared" si="275"/>
        <v>2.8855595085777175E-2</v>
      </c>
      <c r="I324" s="2">
        <f t="shared" ref="I324:J324" si="341">LN(C323)-LN(C322)</f>
        <v>1.9787175763773757E-2</v>
      </c>
      <c r="J324" s="2">
        <f t="shared" si="341"/>
        <v>1.5230531549708992E-2</v>
      </c>
    </row>
    <row r="325" spans="1:10" x14ac:dyDescent="0.45">
      <c r="A325" s="1">
        <v>40658</v>
      </c>
      <c r="B325">
        <v>112.28</v>
      </c>
      <c r="C325">
        <v>3.1989000000000001</v>
      </c>
      <c r="D325">
        <v>3.2785000000000002</v>
      </c>
      <c r="E325" s="2">
        <f t="shared" si="338"/>
        <v>24.302599999999984</v>
      </c>
      <c r="F325" s="2">
        <f t="shared" si="340"/>
        <v>24.361199999999997</v>
      </c>
      <c r="G325" s="2">
        <f t="shared" ref="G325:G388" si="342">E323</f>
        <v>24.807800000000004</v>
      </c>
      <c r="H325" s="2">
        <f t="shared" ref="H325:H388" si="343">LN(B324)-LN(B323)</f>
        <v>7.5087507525690711E-3</v>
      </c>
      <c r="I325" s="2">
        <f t="shared" ref="I325:J325" si="344">LN(C324)-LN(C323)</f>
        <v>-6.1065579323920094E-3</v>
      </c>
      <c r="J325" s="2">
        <f t="shared" si="344"/>
        <v>7.3305341529465995E-3</v>
      </c>
    </row>
    <row r="326" spans="1:10" x14ac:dyDescent="0.45">
      <c r="A326" s="1">
        <v>40659</v>
      </c>
      <c r="B326">
        <v>112.21</v>
      </c>
      <c r="C326">
        <v>3.2273000000000001</v>
      </c>
      <c r="D326">
        <v>3.3071999999999999</v>
      </c>
      <c r="E326" s="2">
        <f t="shared" si="338"/>
        <v>25.573800000000006</v>
      </c>
      <c r="F326" s="2">
        <f t="shared" si="340"/>
        <v>24.302599999999984</v>
      </c>
      <c r="G326" s="2">
        <f t="shared" si="342"/>
        <v>24.361199999999997</v>
      </c>
      <c r="H326" s="2">
        <f t="shared" si="343"/>
        <v>-8.9059090765175597E-5</v>
      </c>
      <c r="I326" s="2">
        <f t="shared" ref="I326:J326" si="345">LN(C325)-LN(C324)</f>
        <v>-5.3935377276808083E-3</v>
      </c>
      <c r="J326" s="2">
        <f t="shared" si="345"/>
        <v>1.8928991424715935E-3</v>
      </c>
    </row>
    <row r="327" spans="1:10" x14ac:dyDescent="0.45">
      <c r="A327" s="1">
        <v>40660</v>
      </c>
      <c r="B327">
        <v>112.76</v>
      </c>
      <c r="C327">
        <v>3.2481</v>
      </c>
      <c r="D327">
        <v>3.3582000000000001</v>
      </c>
      <c r="E327" s="2">
        <f t="shared" si="338"/>
        <v>26.742999999999995</v>
      </c>
      <c r="F327" s="2">
        <f t="shared" si="340"/>
        <v>25.573800000000006</v>
      </c>
      <c r="G327" s="2">
        <f t="shared" si="342"/>
        <v>24.302599999999984</v>
      </c>
      <c r="H327" s="2">
        <f t="shared" si="343"/>
        <v>-6.2363581690672021E-4</v>
      </c>
      <c r="I327" s="2">
        <f t="shared" ref="I327:J327" si="346">LN(C326)-LN(C325)</f>
        <v>8.8388736414113378E-3</v>
      </c>
      <c r="J327" s="2">
        <f t="shared" si="346"/>
        <v>8.7159092238295877E-3</v>
      </c>
    </row>
    <row r="328" spans="1:10" x14ac:dyDescent="0.45">
      <c r="A328" s="1">
        <v>40661</v>
      </c>
      <c r="B328">
        <v>112.86</v>
      </c>
      <c r="C328">
        <v>3.2458999999999998</v>
      </c>
      <c r="D328">
        <v>3.3696000000000002</v>
      </c>
      <c r="E328" s="2">
        <f t="shared" si="338"/>
        <v>26.931399999999996</v>
      </c>
      <c r="F328" s="2">
        <f t="shared" si="340"/>
        <v>26.742999999999995</v>
      </c>
      <c r="G328" s="2">
        <f t="shared" si="342"/>
        <v>25.573800000000006</v>
      </c>
      <c r="H328" s="2">
        <f t="shared" si="343"/>
        <v>4.8895505691364249E-3</v>
      </c>
      <c r="I328" s="2">
        <f t="shared" ref="I328:J328" si="347">LN(C327)-LN(C326)</f>
        <v>6.4243356513074001E-3</v>
      </c>
      <c r="J328" s="2">
        <f t="shared" si="347"/>
        <v>1.5303206197865071E-2</v>
      </c>
    </row>
    <row r="329" spans="1:10" x14ac:dyDescent="0.45">
      <c r="A329" s="1">
        <v>40662</v>
      </c>
      <c r="B329">
        <v>113.93</v>
      </c>
      <c r="C329">
        <v>3.2757999999999998</v>
      </c>
      <c r="D329">
        <v>3.3984000000000001</v>
      </c>
      <c r="E329" s="2">
        <f t="shared" si="338"/>
        <v>27.086399999999987</v>
      </c>
      <c r="F329" s="2">
        <f t="shared" si="340"/>
        <v>26.931399999999996</v>
      </c>
      <c r="G329" s="2">
        <f t="shared" si="342"/>
        <v>26.742999999999995</v>
      </c>
      <c r="H329" s="2">
        <f t="shared" si="343"/>
        <v>8.864462950821661E-4</v>
      </c>
      <c r="I329" s="2">
        <f t="shared" ref="I329:J329" si="348">LN(C328)-LN(C327)</f>
        <v>-6.7754853223389588E-4</v>
      </c>
      <c r="J329" s="2">
        <f t="shared" si="348"/>
        <v>3.3889268142874851E-3</v>
      </c>
    </row>
    <row r="330" spans="1:10" x14ac:dyDescent="0.45">
      <c r="A330" s="1">
        <v>40665</v>
      </c>
      <c r="B330">
        <v>113.52</v>
      </c>
      <c r="C330">
        <v>3.2521</v>
      </c>
      <c r="D330">
        <v>3.3479000000000001</v>
      </c>
      <c r="E330" s="2">
        <f t="shared" si="338"/>
        <v>25.75060000000002</v>
      </c>
      <c r="F330" s="2">
        <f t="shared" si="340"/>
        <v>27.086399999999987</v>
      </c>
      <c r="G330" s="2">
        <f t="shared" si="342"/>
        <v>26.931399999999996</v>
      </c>
      <c r="H330" s="2">
        <f t="shared" si="343"/>
        <v>9.4361121690305083E-3</v>
      </c>
      <c r="I330" s="2">
        <f t="shared" ref="I330:J330" si="349">LN(C329)-LN(C328)</f>
        <v>9.1694525955505757E-3</v>
      </c>
      <c r="J330" s="2">
        <f t="shared" si="349"/>
        <v>8.5106896679087995E-3</v>
      </c>
    </row>
    <row r="331" spans="1:10" x14ac:dyDescent="0.45">
      <c r="A331" s="1">
        <v>40666</v>
      </c>
      <c r="B331">
        <v>111.05</v>
      </c>
      <c r="C331">
        <v>3.1907999999999999</v>
      </c>
      <c r="D331">
        <v>3.3294000000000001</v>
      </c>
      <c r="E331" s="2">
        <f t="shared" si="338"/>
        <v>26.844400000000007</v>
      </c>
      <c r="F331" s="2">
        <f t="shared" si="340"/>
        <v>25.75060000000002</v>
      </c>
      <c r="G331" s="2">
        <f t="shared" si="342"/>
        <v>27.086399999999987</v>
      </c>
      <c r="H331" s="2">
        <f t="shared" si="343"/>
        <v>-3.6051918582371556E-3</v>
      </c>
      <c r="I331" s="2">
        <f t="shared" ref="I331:J331" si="350">LN(C330)-LN(C329)</f>
        <v>-7.2611725458557874E-3</v>
      </c>
      <c r="J331" s="2">
        <f t="shared" si="350"/>
        <v>-1.497144902252967E-2</v>
      </c>
    </row>
    <row r="332" spans="1:10" x14ac:dyDescent="0.45">
      <c r="A332" s="1">
        <v>40667</v>
      </c>
      <c r="B332">
        <v>109.24</v>
      </c>
      <c r="C332">
        <v>3.1429999999999998</v>
      </c>
      <c r="D332">
        <v>3.3224999999999998</v>
      </c>
      <c r="E332" s="2">
        <f t="shared" si="338"/>
        <v>27.792000000000012</v>
      </c>
      <c r="F332" s="2">
        <f t="shared" si="340"/>
        <v>26.844400000000007</v>
      </c>
      <c r="G332" s="2">
        <f t="shared" si="342"/>
        <v>25.75060000000002</v>
      </c>
      <c r="H332" s="2">
        <f t="shared" si="343"/>
        <v>-2.1998482511350836E-2</v>
      </c>
      <c r="I332" s="2">
        <f t="shared" ref="I332:J332" si="351">LN(C331)-LN(C330)</f>
        <v>-1.9029272465448832E-2</v>
      </c>
      <c r="J332" s="2">
        <f t="shared" si="351"/>
        <v>-5.5411760251249387E-3</v>
      </c>
    </row>
    <row r="333" spans="1:10" x14ac:dyDescent="0.45">
      <c r="A333" s="1">
        <v>40668</v>
      </c>
      <c r="B333">
        <v>99.8</v>
      </c>
      <c r="C333">
        <v>2.8868999999999998</v>
      </c>
      <c r="D333">
        <v>3.0954000000000002</v>
      </c>
      <c r="E333" s="2">
        <f t="shared" si="338"/>
        <v>27.287800000000004</v>
      </c>
      <c r="F333" s="2">
        <f t="shared" si="340"/>
        <v>27.792000000000012</v>
      </c>
      <c r="G333" s="2">
        <f t="shared" si="342"/>
        <v>26.844400000000007</v>
      </c>
      <c r="H333" s="2">
        <f t="shared" si="343"/>
        <v>-1.6433253734931874E-2</v>
      </c>
      <c r="I333" s="2">
        <f t="shared" ref="I333:J333" si="352">LN(C332)-LN(C331)</f>
        <v>-1.5093911239406843E-2</v>
      </c>
      <c r="J333" s="2">
        <f t="shared" si="352"/>
        <v>-2.0745959725101404E-3</v>
      </c>
    </row>
    <row r="334" spans="1:10" x14ac:dyDescent="0.45">
      <c r="A334" s="1">
        <v>40669</v>
      </c>
      <c r="B334">
        <v>97.18</v>
      </c>
      <c r="C334">
        <v>2.8456999999999999</v>
      </c>
      <c r="D334">
        <v>3.0901000000000001</v>
      </c>
      <c r="E334" s="2">
        <f t="shared" si="338"/>
        <v>29.182599999999997</v>
      </c>
      <c r="F334" s="2">
        <f t="shared" si="340"/>
        <v>27.287800000000004</v>
      </c>
      <c r="G334" s="2">
        <f t="shared" si="342"/>
        <v>27.792000000000012</v>
      </c>
      <c r="H334" s="2">
        <f t="shared" si="343"/>
        <v>-9.037911328808601E-2</v>
      </c>
      <c r="I334" s="2">
        <f t="shared" ref="I334:J334" si="353">LN(C333)-LN(C332)</f>
        <v>-8.4994495767102718E-2</v>
      </c>
      <c r="J334" s="2">
        <f t="shared" si="353"/>
        <v>-7.0800373108740988E-2</v>
      </c>
    </row>
    <row r="335" spans="1:10" x14ac:dyDescent="0.45">
      <c r="A335" s="1">
        <v>40672</v>
      </c>
      <c r="B335">
        <v>102.55</v>
      </c>
      <c r="C335">
        <v>2.9618000000000002</v>
      </c>
      <c r="D335">
        <v>3.2784</v>
      </c>
      <c r="E335" s="2">
        <f t="shared" si="338"/>
        <v>30.710400000000011</v>
      </c>
      <c r="F335" s="2">
        <f t="shared" si="340"/>
        <v>29.182599999999997</v>
      </c>
      <c r="G335" s="2">
        <f t="shared" si="342"/>
        <v>27.287800000000004</v>
      </c>
      <c r="H335" s="2">
        <f t="shared" si="343"/>
        <v>-2.6603254339661042E-2</v>
      </c>
      <c r="I335" s="2">
        <f t="shared" ref="I335:J335" si="354">LN(C334)-LN(C333)</f>
        <v>-1.4374179040110846E-2</v>
      </c>
      <c r="J335" s="2">
        <f t="shared" si="354"/>
        <v>-1.7136856509742948E-3</v>
      </c>
    </row>
    <row r="336" spans="1:10" x14ac:dyDescent="0.45">
      <c r="A336" s="1">
        <v>40673</v>
      </c>
      <c r="B336">
        <v>103.88</v>
      </c>
      <c r="C336">
        <v>3.0011999999999999</v>
      </c>
      <c r="D336">
        <v>3.3797000000000001</v>
      </c>
      <c r="E336" s="2">
        <f t="shared" si="338"/>
        <v>32.768400000000007</v>
      </c>
      <c r="F336" s="2">
        <f t="shared" si="340"/>
        <v>30.710400000000011</v>
      </c>
      <c r="G336" s="2">
        <f t="shared" si="342"/>
        <v>29.182599999999997</v>
      </c>
      <c r="H336" s="2">
        <f t="shared" si="343"/>
        <v>5.3785555540632579E-2</v>
      </c>
      <c r="I336" s="2">
        <f t="shared" ref="I336:J336" si="355">LN(C335)-LN(C334)</f>
        <v>3.9988108613049134E-2</v>
      </c>
      <c r="J336" s="2">
        <f t="shared" si="355"/>
        <v>5.9152045656950314E-2</v>
      </c>
    </row>
    <row r="337" spans="1:10" x14ac:dyDescent="0.45">
      <c r="A337" s="1">
        <v>40674</v>
      </c>
      <c r="B337">
        <v>98.21</v>
      </c>
      <c r="C337">
        <v>2.8982999999999999</v>
      </c>
      <c r="D337">
        <v>3.1227999999999998</v>
      </c>
      <c r="E337" s="2">
        <f t="shared" si="338"/>
        <v>29.804600000000011</v>
      </c>
      <c r="F337" s="2">
        <f t="shared" si="340"/>
        <v>32.768400000000007</v>
      </c>
      <c r="G337" s="2">
        <f t="shared" si="342"/>
        <v>30.710400000000011</v>
      </c>
      <c r="H337" s="2">
        <f t="shared" si="343"/>
        <v>1.2885902276157601E-2</v>
      </c>
      <c r="I337" s="2">
        <f t="shared" ref="I337:J337" si="356">LN(C336)-LN(C335)</f>
        <v>1.3215017068170409E-2</v>
      </c>
      <c r="J337" s="2">
        <f t="shared" si="356"/>
        <v>3.0431449656808551E-2</v>
      </c>
    </row>
    <row r="338" spans="1:10" x14ac:dyDescent="0.45">
      <c r="A338" s="1">
        <v>40675</v>
      </c>
      <c r="B338">
        <v>98.97</v>
      </c>
      <c r="C338">
        <v>2.9137</v>
      </c>
      <c r="D338">
        <v>3.0638999999999998</v>
      </c>
      <c r="E338" s="2">
        <f t="shared" si="338"/>
        <v>27.611000000000008</v>
      </c>
      <c r="F338" s="2">
        <f t="shared" si="340"/>
        <v>29.804600000000011</v>
      </c>
      <c r="G338" s="2">
        <f t="shared" si="342"/>
        <v>32.768400000000007</v>
      </c>
      <c r="H338" s="2">
        <f t="shared" si="343"/>
        <v>-5.612834362486474E-2</v>
      </c>
      <c r="I338" s="2">
        <f t="shared" ref="I338:J338" si="357">LN(C337)-LN(C336)</f>
        <v>-3.4887850480000093E-2</v>
      </c>
      <c r="J338" s="2">
        <f t="shared" si="357"/>
        <v>-7.9056912895308029E-2</v>
      </c>
    </row>
    <row r="339" spans="1:10" x14ac:dyDescent="0.45">
      <c r="A339" s="1">
        <v>40676</v>
      </c>
      <c r="B339">
        <v>99.65</v>
      </c>
      <c r="C339">
        <v>2.9422000000000001</v>
      </c>
      <c r="D339">
        <v>3.0743999999999998</v>
      </c>
      <c r="E339" s="2">
        <f t="shared" si="338"/>
        <v>27.623999999999985</v>
      </c>
      <c r="F339" s="2">
        <f t="shared" si="340"/>
        <v>27.611000000000008</v>
      </c>
      <c r="G339" s="2">
        <f t="shared" si="342"/>
        <v>29.804600000000011</v>
      </c>
      <c r="H339" s="2">
        <f t="shared" si="343"/>
        <v>7.7087307389174242E-3</v>
      </c>
      <c r="I339" s="2">
        <f t="shared" ref="I339:J339" si="358">LN(C338)-LN(C337)</f>
        <v>5.2993929939986195E-3</v>
      </c>
      <c r="J339" s="2">
        <f t="shared" si="358"/>
        <v>-1.9041420993973102E-2</v>
      </c>
    </row>
    <row r="340" spans="1:10" x14ac:dyDescent="0.45">
      <c r="A340" s="1">
        <v>40679</v>
      </c>
      <c r="B340">
        <v>97.37</v>
      </c>
      <c r="C340">
        <v>2.8744000000000001</v>
      </c>
      <c r="D340">
        <v>2.9310999999999998</v>
      </c>
      <c r="E340" s="2">
        <f t="shared" si="338"/>
        <v>24.942399999999981</v>
      </c>
      <c r="F340" s="2">
        <f t="shared" si="340"/>
        <v>27.623999999999985</v>
      </c>
      <c r="G340" s="2">
        <f t="shared" si="342"/>
        <v>27.611000000000008</v>
      </c>
      <c r="H340" s="2">
        <f t="shared" si="343"/>
        <v>6.8472727502033592E-3</v>
      </c>
      <c r="I340" s="2">
        <f t="shared" ref="I340:J340" si="359">LN(C339)-LN(C338)</f>
        <v>9.7338496305394706E-3</v>
      </c>
      <c r="J340" s="2">
        <f t="shared" si="359"/>
        <v>3.4211459984712089E-3</v>
      </c>
    </row>
    <row r="341" spans="1:10" x14ac:dyDescent="0.45">
      <c r="A341" s="1">
        <v>40680</v>
      </c>
      <c r="B341">
        <v>96.91</v>
      </c>
      <c r="C341">
        <v>2.8451</v>
      </c>
      <c r="D341">
        <v>2.8841999999999999</v>
      </c>
      <c r="E341" s="2">
        <f t="shared" si="338"/>
        <v>23.678999999999991</v>
      </c>
      <c r="F341" s="2">
        <f t="shared" si="340"/>
        <v>24.942399999999981</v>
      </c>
      <c r="G341" s="2">
        <f t="shared" si="342"/>
        <v>27.623999999999985</v>
      </c>
      <c r="H341" s="2">
        <f t="shared" si="343"/>
        <v>-2.3145891668138852E-2</v>
      </c>
      <c r="I341" s="2">
        <f t="shared" ref="I341:J341" si="360">LN(C340)-LN(C339)</f>
        <v>-2.3313644016802471E-2</v>
      </c>
      <c r="J341" s="2">
        <f t="shared" si="360"/>
        <v>-4.7731981073301455E-2</v>
      </c>
    </row>
    <row r="342" spans="1:10" x14ac:dyDescent="0.45">
      <c r="A342" s="1">
        <v>40681</v>
      </c>
      <c r="B342">
        <v>100.56</v>
      </c>
      <c r="C342">
        <v>2.9058999999999999</v>
      </c>
      <c r="D342">
        <v>2.9260000000000002</v>
      </c>
      <c r="E342" s="2">
        <f t="shared" si="338"/>
        <v>22.050600000000014</v>
      </c>
      <c r="F342" s="2">
        <f t="shared" si="340"/>
        <v>23.678999999999991</v>
      </c>
      <c r="G342" s="2">
        <f t="shared" si="342"/>
        <v>24.942399999999981</v>
      </c>
      <c r="H342" s="2">
        <f t="shared" si="343"/>
        <v>-4.7354422442058564E-3</v>
      </c>
      <c r="I342" s="2">
        <f t="shared" ref="I342:J342" si="361">LN(C341)-LN(C340)</f>
        <v>-1.0245740471717113E-2</v>
      </c>
      <c r="J342" s="2">
        <f t="shared" si="361"/>
        <v>-1.6130214049362657E-2</v>
      </c>
    </row>
    <row r="343" spans="1:10" x14ac:dyDescent="0.45">
      <c r="A343" s="1">
        <v>40682</v>
      </c>
      <c r="B343">
        <v>98.93</v>
      </c>
      <c r="C343">
        <v>2.8946999999999998</v>
      </c>
      <c r="D343">
        <v>2.9039999999999999</v>
      </c>
      <c r="E343" s="2">
        <f t="shared" si="338"/>
        <v>22.907799999999991</v>
      </c>
      <c r="F343" s="2">
        <f t="shared" si="340"/>
        <v>22.050600000000014</v>
      </c>
      <c r="G343" s="2">
        <f t="shared" si="342"/>
        <v>23.678999999999991</v>
      </c>
      <c r="H343" s="2">
        <f t="shared" si="343"/>
        <v>3.6971851535533062E-2</v>
      </c>
      <c r="I343" s="2">
        <f t="shared" ref="I343:J343" si="362">LN(C342)-LN(C341)</f>
        <v>2.1144936648259893E-2</v>
      </c>
      <c r="J343" s="2">
        <f t="shared" si="362"/>
        <v>1.4388737452099676E-2</v>
      </c>
    </row>
    <row r="344" spans="1:10" x14ac:dyDescent="0.45">
      <c r="A344" s="1">
        <v>40683</v>
      </c>
      <c r="B344">
        <v>100.1</v>
      </c>
      <c r="C344">
        <v>2.9319999999999999</v>
      </c>
      <c r="D344">
        <v>2.9203000000000001</v>
      </c>
      <c r="E344" s="2">
        <f t="shared" si="338"/>
        <v>22.716400000000021</v>
      </c>
      <c r="F344" s="2">
        <f t="shared" si="340"/>
        <v>22.907799999999991</v>
      </c>
      <c r="G344" s="2">
        <f t="shared" si="342"/>
        <v>22.050600000000014</v>
      </c>
      <c r="H344" s="2">
        <f t="shared" si="343"/>
        <v>-1.6342034946860373E-2</v>
      </c>
      <c r="I344" s="2">
        <f t="shared" ref="I344:J344" si="363">LN(C343)-LN(C342)</f>
        <v>-3.8616742814041594E-3</v>
      </c>
      <c r="J344" s="2">
        <f t="shared" si="363"/>
        <v>-7.5472056353829142E-3</v>
      </c>
    </row>
    <row r="345" spans="1:10" x14ac:dyDescent="0.45">
      <c r="A345" s="1">
        <v>40686</v>
      </c>
      <c r="B345">
        <v>97.7</v>
      </c>
      <c r="C345">
        <v>2.8597000000000001</v>
      </c>
      <c r="D345">
        <v>2.9058999999999999</v>
      </c>
      <c r="E345" s="2">
        <f t="shared" si="338"/>
        <v>23.700999999999983</v>
      </c>
      <c r="F345" s="2">
        <f t="shared" si="340"/>
        <v>22.716400000000021</v>
      </c>
      <c r="G345" s="2">
        <f t="shared" si="342"/>
        <v>22.907799999999991</v>
      </c>
      <c r="H345" s="2">
        <f t="shared" si="343"/>
        <v>1.1757156986043071E-2</v>
      </c>
      <c r="I345" s="2">
        <f t="shared" ref="I345:J345" si="364">LN(C344)-LN(C343)</f>
        <v>1.2803305312094393E-2</v>
      </c>
      <c r="J345" s="2">
        <f t="shared" si="364"/>
        <v>5.5972537663040445E-3</v>
      </c>
    </row>
    <row r="346" spans="1:10" x14ac:dyDescent="0.45">
      <c r="A346" s="1">
        <v>40687</v>
      </c>
      <c r="B346">
        <v>99.59</v>
      </c>
      <c r="C346">
        <v>2.9213</v>
      </c>
      <c r="D346">
        <v>2.9580000000000002</v>
      </c>
      <c r="E346" s="2">
        <f t="shared" si="338"/>
        <v>24.132200000000012</v>
      </c>
      <c r="F346" s="2">
        <f t="shared" si="340"/>
        <v>23.700999999999983</v>
      </c>
      <c r="G346" s="2">
        <f t="shared" si="342"/>
        <v>22.716400000000021</v>
      </c>
      <c r="H346" s="2">
        <f t="shared" si="343"/>
        <v>-2.4268127272437212E-2</v>
      </c>
      <c r="I346" s="2">
        <f t="shared" ref="I346:J346" si="365">LN(C345)-LN(C344)</f>
        <v>-2.4968059799415077E-2</v>
      </c>
      <c r="J346" s="2">
        <f t="shared" si="365"/>
        <v>-4.943197735138849E-3</v>
      </c>
    </row>
    <row r="347" spans="1:10" x14ac:dyDescent="0.45">
      <c r="A347" s="1">
        <v>40688</v>
      </c>
      <c r="B347">
        <v>101.32</v>
      </c>
      <c r="C347">
        <v>2.9923000000000002</v>
      </c>
      <c r="D347">
        <v>2.9866999999999999</v>
      </c>
      <c r="E347" s="2">
        <f t="shared" si="338"/>
        <v>24.1998</v>
      </c>
      <c r="F347" s="2">
        <f t="shared" si="340"/>
        <v>24.132200000000012</v>
      </c>
      <c r="G347" s="2">
        <f t="shared" si="342"/>
        <v>23.700999999999983</v>
      </c>
      <c r="H347" s="2">
        <f t="shared" si="343"/>
        <v>1.9160198894811131E-2</v>
      </c>
      <c r="I347" s="2">
        <f t="shared" ref="I347:J347" si="366">LN(C346)-LN(C345)</f>
        <v>2.131199846009757E-2</v>
      </c>
      <c r="J347" s="2">
        <f t="shared" si="366"/>
        <v>1.7770211294893423E-2</v>
      </c>
    </row>
    <row r="348" spans="1:10" x14ac:dyDescent="0.45">
      <c r="A348" s="1">
        <v>40689</v>
      </c>
      <c r="B348">
        <v>100.23</v>
      </c>
      <c r="C348">
        <v>2.9933999999999998</v>
      </c>
      <c r="D348">
        <v>3.0074000000000001</v>
      </c>
      <c r="E348" s="2">
        <f t="shared" si="338"/>
        <v>25.884800000000002</v>
      </c>
      <c r="F348" s="2">
        <f t="shared" si="340"/>
        <v>24.1998</v>
      </c>
      <c r="G348" s="2">
        <f t="shared" si="342"/>
        <v>24.132200000000012</v>
      </c>
      <c r="H348" s="2">
        <f t="shared" si="343"/>
        <v>1.7222067189925916E-2</v>
      </c>
      <c r="I348" s="2">
        <f t="shared" ref="I348:J348" si="367">LN(C347)-LN(C346)</f>
        <v>2.4013599780384753E-2</v>
      </c>
      <c r="J348" s="2">
        <f t="shared" si="367"/>
        <v>9.6557346821266599E-3</v>
      </c>
    </row>
    <row r="349" spans="1:10" x14ac:dyDescent="0.45">
      <c r="A349" s="1">
        <v>40690</v>
      </c>
      <c r="B349">
        <v>100.59</v>
      </c>
      <c r="C349">
        <v>3.0013999999999998</v>
      </c>
      <c r="D349">
        <v>3.0312999999999999</v>
      </c>
      <c r="E349" s="2">
        <f t="shared" si="338"/>
        <v>26.306000000000001</v>
      </c>
      <c r="F349" s="2">
        <f t="shared" si="340"/>
        <v>25.884800000000002</v>
      </c>
      <c r="G349" s="2">
        <f t="shared" si="342"/>
        <v>24.1998</v>
      </c>
      <c r="H349" s="2">
        <f t="shared" si="343"/>
        <v>-1.0816280096699771E-2</v>
      </c>
      <c r="I349" s="2">
        <f t="shared" ref="I349:J349" si="368">LN(C348)-LN(C347)</f>
        <v>3.6754264743721343E-4</v>
      </c>
      <c r="J349" s="2">
        <f t="shared" si="368"/>
        <v>6.9068191353478525E-3</v>
      </c>
    </row>
    <row r="350" spans="1:10" x14ac:dyDescent="0.45">
      <c r="A350" s="1">
        <v>40694</v>
      </c>
      <c r="B350">
        <v>102.7</v>
      </c>
      <c r="C350">
        <v>3.0529999999999999</v>
      </c>
      <c r="D350">
        <v>3.0503</v>
      </c>
      <c r="E350" s="2">
        <f t="shared" si="338"/>
        <v>25.450399999999984</v>
      </c>
      <c r="F350" s="2">
        <f t="shared" si="340"/>
        <v>26.306000000000001</v>
      </c>
      <c r="G350" s="2">
        <f t="shared" si="342"/>
        <v>25.884800000000002</v>
      </c>
      <c r="H350" s="2">
        <f t="shared" si="343"/>
        <v>3.5853041094719984E-3</v>
      </c>
      <c r="I350" s="2">
        <f t="shared" ref="I350:J350" si="369">LN(C349)-LN(C348)</f>
        <v>2.668981366842571E-3</v>
      </c>
      <c r="J350" s="2">
        <f t="shared" si="369"/>
        <v>7.9156523068959483E-3</v>
      </c>
    </row>
    <row r="351" spans="1:10" x14ac:dyDescent="0.45">
      <c r="A351" s="1">
        <v>40695</v>
      </c>
      <c r="B351">
        <v>100.29</v>
      </c>
      <c r="C351">
        <v>3.0087000000000002</v>
      </c>
      <c r="D351">
        <v>2.9773000000000001</v>
      </c>
      <c r="E351" s="2">
        <f t="shared" si="338"/>
        <v>25.196199999999994</v>
      </c>
      <c r="F351" s="2">
        <f t="shared" si="340"/>
        <v>25.450399999999984</v>
      </c>
      <c r="G351" s="2">
        <f t="shared" si="342"/>
        <v>26.306000000000001</v>
      </c>
      <c r="H351" s="2">
        <f t="shared" si="343"/>
        <v>2.07592677882662E-2</v>
      </c>
      <c r="I351" s="2">
        <f t="shared" ref="I351:J351" si="370">LN(C350)-LN(C349)</f>
        <v>1.7045867272988735E-2</v>
      </c>
      <c r="J351" s="2">
        <f t="shared" si="370"/>
        <v>6.2483760249871789E-3</v>
      </c>
    </row>
    <row r="352" spans="1:10" x14ac:dyDescent="0.45">
      <c r="A352" s="1">
        <v>40696</v>
      </c>
      <c r="B352">
        <v>100.4</v>
      </c>
      <c r="C352">
        <v>3.0438999999999998</v>
      </c>
      <c r="D352">
        <v>2.9676999999999998</v>
      </c>
      <c r="E352" s="2">
        <f t="shared" si="338"/>
        <v>25.31019999999997</v>
      </c>
      <c r="F352" s="2">
        <f t="shared" si="340"/>
        <v>25.196199999999994</v>
      </c>
      <c r="G352" s="2">
        <f t="shared" si="342"/>
        <v>25.450399999999984</v>
      </c>
      <c r="H352" s="2">
        <f t="shared" si="343"/>
        <v>-2.3746127834395558E-2</v>
      </c>
      <c r="I352" s="2">
        <f t="shared" ref="I352:J352" si="371">LN(C351)-LN(C350)</f>
        <v>-1.4616621972605603E-2</v>
      </c>
      <c r="J352" s="2">
        <f t="shared" si="371"/>
        <v>-2.4223096891687224E-2</v>
      </c>
    </row>
    <row r="353" spans="1:10" x14ac:dyDescent="0.45">
      <c r="A353" s="1">
        <v>40697</v>
      </c>
      <c r="B353">
        <v>100.22</v>
      </c>
      <c r="C353">
        <v>3.0567000000000002</v>
      </c>
      <c r="D353">
        <v>2.9931000000000001</v>
      </c>
      <c r="E353" s="2">
        <f t="shared" si="338"/>
        <v>26.380600000000015</v>
      </c>
      <c r="F353" s="2">
        <f t="shared" si="340"/>
        <v>25.31019999999997</v>
      </c>
      <c r="G353" s="2">
        <f t="shared" si="342"/>
        <v>25.196199999999994</v>
      </c>
      <c r="H353" s="2">
        <f t="shared" si="343"/>
        <v>1.0962181575120411E-3</v>
      </c>
      <c r="I353" s="2">
        <f t="shared" ref="I353:J353" si="372">LN(C352)-LN(C351)</f>
        <v>1.1631496168512001E-2</v>
      </c>
      <c r="J353" s="2">
        <f t="shared" si="372"/>
        <v>-3.2296075170028526E-3</v>
      </c>
    </row>
    <row r="354" spans="1:10" x14ac:dyDescent="0.45">
      <c r="A354" s="1">
        <v>40700</v>
      </c>
      <c r="B354">
        <v>99.01</v>
      </c>
      <c r="C354">
        <v>3.0173999999999999</v>
      </c>
      <c r="D354">
        <v>2.9499</v>
      </c>
      <c r="E354" s="2">
        <f t="shared" si="338"/>
        <v>25.830799999999972</v>
      </c>
      <c r="F354" s="2">
        <f t="shared" si="340"/>
        <v>26.380600000000015</v>
      </c>
      <c r="G354" s="2">
        <f t="shared" si="342"/>
        <v>25.31019999999997</v>
      </c>
      <c r="H354" s="2">
        <f t="shared" si="343"/>
        <v>-1.7944377260503686E-3</v>
      </c>
      <c r="I354" s="2">
        <f t="shared" ref="I354:J354" si="373">LN(C353)-LN(C352)</f>
        <v>4.1963147175652082E-3</v>
      </c>
      <c r="J354" s="2">
        <f t="shared" si="373"/>
        <v>8.5223975761583581E-3</v>
      </c>
    </row>
    <row r="355" spans="1:10" x14ac:dyDescent="0.45">
      <c r="A355" s="1">
        <v>40701</v>
      </c>
      <c r="B355">
        <v>99.09</v>
      </c>
      <c r="C355">
        <v>3.077</v>
      </c>
      <c r="D355">
        <v>2.9918999999999998</v>
      </c>
      <c r="E355" s="2">
        <f t="shared" si="338"/>
        <v>27.761199999999992</v>
      </c>
      <c r="F355" s="2">
        <f t="shared" si="340"/>
        <v>25.830799999999972</v>
      </c>
      <c r="G355" s="2">
        <f t="shared" si="342"/>
        <v>26.380600000000015</v>
      </c>
      <c r="H355" s="2">
        <f t="shared" si="343"/>
        <v>-1.2146914397155761E-2</v>
      </c>
      <c r="I355" s="2">
        <f t="shared" ref="I355:J355" si="374">LN(C354)-LN(C353)</f>
        <v>-1.2940369242375516E-2</v>
      </c>
      <c r="J355" s="2">
        <f t="shared" si="374"/>
        <v>-1.4538368133351076E-2</v>
      </c>
    </row>
    <row r="356" spans="1:10" x14ac:dyDescent="0.45">
      <c r="A356" s="1">
        <v>40702</v>
      </c>
      <c r="B356">
        <v>100.74</v>
      </c>
      <c r="C356">
        <v>3.0937000000000001</v>
      </c>
      <c r="D356">
        <v>2.9786999999999999</v>
      </c>
      <c r="E356" s="2">
        <f t="shared" si="338"/>
        <v>25.975400000000018</v>
      </c>
      <c r="F356" s="2">
        <f t="shared" si="340"/>
        <v>27.761199999999992</v>
      </c>
      <c r="G356" s="2">
        <f t="shared" si="342"/>
        <v>25.830799999999972</v>
      </c>
      <c r="H356" s="2">
        <f t="shared" si="343"/>
        <v>8.0767293638484006E-4</v>
      </c>
      <c r="I356" s="2">
        <f t="shared" ref="I356:J356" si="375">LN(C355)-LN(C354)</f>
        <v>1.9559562916067863E-2</v>
      </c>
      <c r="J356" s="2">
        <f t="shared" si="375"/>
        <v>1.4137365621711862E-2</v>
      </c>
    </row>
    <row r="357" spans="1:10" x14ac:dyDescent="0.45">
      <c r="A357" s="1">
        <v>40703</v>
      </c>
      <c r="B357">
        <v>101.93</v>
      </c>
      <c r="C357">
        <v>3.1377999999999999</v>
      </c>
      <c r="D357">
        <v>3.0398000000000001</v>
      </c>
      <c r="E357" s="2">
        <f t="shared" si="338"/>
        <v>27.113600000000002</v>
      </c>
      <c r="F357" s="2">
        <f t="shared" si="340"/>
        <v>25.975400000000018</v>
      </c>
      <c r="G357" s="2">
        <f t="shared" si="342"/>
        <v>27.761199999999992</v>
      </c>
      <c r="H357" s="2">
        <f t="shared" si="343"/>
        <v>1.6514412246696253E-2</v>
      </c>
      <c r="I357" s="2">
        <f t="shared" ref="I357:J357" si="376">LN(C356)-LN(C355)</f>
        <v>5.4126892481967115E-3</v>
      </c>
      <c r="J357" s="2">
        <f t="shared" si="376"/>
        <v>-4.4216733682738152E-3</v>
      </c>
    </row>
    <row r="358" spans="1:10" x14ac:dyDescent="0.45">
      <c r="A358" s="1">
        <v>40704</v>
      </c>
      <c r="B358">
        <v>99.29</v>
      </c>
      <c r="C358">
        <v>3.1051000000000002</v>
      </c>
      <c r="D358">
        <v>3.0177</v>
      </c>
      <c r="E358" s="2">
        <f t="shared" si="338"/>
        <v>28.677000000000003</v>
      </c>
      <c r="F358" s="2">
        <f t="shared" si="340"/>
        <v>27.113600000000002</v>
      </c>
      <c r="G358" s="2">
        <f t="shared" si="342"/>
        <v>25.975400000000018</v>
      </c>
      <c r="H358" s="2">
        <f t="shared" si="343"/>
        <v>1.1743362862817186E-2</v>
      </c>
      <c r="I358" s="2">
        <f t="shared" ref="I358:J358" si="377">LN(C357)-LN(C356)</f>
        <v>1.415413182861669E-2</v>
      </c>
      <c r="J358" s="2">
        <f t="shared" si="377"/>
        <v>2.0304760054702609E-2</v>
      </c>
    </row>
    <row r="359" spans="1:10" x14ac:dyDescent="0.45">
      <c r="A359" s="1">
        <v>40707</v>
      </c>
      <c r="B359">
        <v>97.3</v>
      </c>
      <c r="C359">
        <v>3.1057999999999999</v>
      </c>
      <c r="D359">
        <v>2.9967999999999999</v>
      </c>
      <c r="E359" s="2">
        <f t="shared" si="338"/>
        <v>30.09160000000001</v>
      </c>
      <c r="F359" s="2">
        <f t="shared" si="340"/>
        <v>28.677000000000003</v>
      </c>
      <c r="G359" s="2">
        <f t="shared" si="342"/>
        <v>27.113600000000002</v>
      </c>
      <c r="H359" s="2">
        <f t="shared" si="343"/>
        <v>-2.6241442134818271E-2</v>
      </c>
      <c r="I359" s="2">
        <f t="shared" ref="I359:J359" si="378">LN(C358)-LN(C357)</f>
        <v>-1.0475996430719281E-2</v>
      </c>
      <c r="J359" s="2">
        <f t="shared" si="378"/>
        <v>-7.296771953958503E-3</v>
      </c>
    </row>
    <row r="360" spans="1:10" x14ac:dyDescent="0.45">
      <c r="A360" s="1">
        <v>40708</v>
      </c>
      <c r="B360">
        <v>99.37</v>
      </c>
      <c r="C360">
        <v>3.1257999999999999</v>
      </c>
      <c r="D360">
        <v>3.0646</v>
      </c>
      <c r="E360" s="2">
        <f t="shared" si="338"/>
        <v>30.200000000000006</v>
      </c>
      <c r="F360" s="2">
        <f t="shared" si="340"/>
        <v>30.09160000000001</v>
      </c>
      <c r="G360" s="2">
        <f t="shared" si="342"/>
        <v>28.677000000000003</v>
      </c>
      <c r="H360" s="2">
        <f t="shared" si="343"/>
        <v>-2.0245871853544095E-2</v>
      </c>
      <c r="I360" s="2">
        <f t="shared" ref="I360:J360" si="379">LN(C359)-LN(C358)</f>
        <v>2.2541016695276639E-4</v>
      </c>
      <c r="J360" s="2">
        <f t="shared" si="379"/>
        <v>-6.949899118578351E-3</v>
      </c>
    </row>
    <row r="361" spans="1:10" x14ac:dyDescent="0.45">
      <c r="A361" s="1">
        <v>40709</v>
      </c>
      <c r="B361">
        <v>94.81</v>
      </c>
      <c r="C361">
        <v>2.9847999999999999</v>
      </c>
      <c r="D361">
        <v>2.9235000000000002</v>
      </c>
      <c r="E361" s="2">
        <f t="shared" si="338"/>
        <v>28.835200000000004</v>
      </c>
      <c r="F361" s="2">
        <f t="shared" si="340"/>
        <v>30.200000000000006</v>
      </c>
      <c r="G361" s="2">
        <f t="shared" si="342"/>
        <v>30.09160000000001</v>
      </c>
      <c r="H361" s="2">
        <f t="shared" si="343"/>
        <v>2.1051268051312633E-2</v>
      </c>
      <c r="I361" s="2">
        <f t="shared" ref="I361:J361" si="380">LN(C360)-LN(C359)</f>
        <v>6.4189192730044198E-3</v>
      </c>
      <c r="J361" s="2">
        <f t="shared" si="380"/>
        <v>2.2372002454251971E-2</v>
      </c>
    </row>
    <row r="362" spans="1:10" x14ac:dyDescent="0.45">
      <c r="A362" s="1">
        <v>40710</v>
      </c>
      <c r="B362">
        <v>94.95</v>
      </c>
      <c r="C362">
        <v>3.0038</v>
      </c>
      <c r="D362">
        <v>2.9493999999999998</v>
      </c>
      <c r="E362" s="2">
        <f t="shared" si="338"/>
        <v>29.686399999999992</v>
      </c>
      <c r="F362" s="2">
        <f t="shared" si="340"/>
        <v>28.835200000000004</v>
      </c>
      <c r="G362" s="2">
        <f t="shared" si="342"/>
        <v>30.200000000000006</v>
      </c>
      <c r="H362" s="2">
        <f t="shared" si="343"/>
        <v>-4.6975368313403543E-2</v>
      </c>
      <c r="I362" s="2">
        <f t="shared" ref="I362:J362" si="381">LN(C361)-LN(C360)</f>
        <v>-4.6157507501145112E-2</v>
      </c>
      <c r="J362" s="2">
        <f t="shared" si="381"/>
        <v>-4.7135526528350624E-2</v>
      </c>
    </row>
    <row r="363" spans="1:10" x14ac:dyDescent="0.45">
      <c r="A363" s="1">
        <v>40711</v>
      </c>
      <c r="B363">
        <v>93.01</v>
      </c>
      <c r="C363">
        <v>2.9832999999999998</v>
      </c>
      <c r="D363">
        <v>2.9460000000000002</v>
      </c>
      <c r="E363" s="2">
        <f t="shared" si="338"/>
        <v>31.244199999999996</v>
      </c>
      <c r="F363" s="2">
        <f t="shared" si="340"/>
        <v>29.686399999999992</v>
      </c>
      <c r="G363" s="2">
        <f t="shared" si="342"/>
        <v>28.835200000000004</v>
      </c>
      <c r="H363" s="2">
        <f t="shared" si="343"/>
        <v>1.4755483284272231E-3</v>
      </c>
      <c r="I363" s="2">
        <f t="shared" ref="I363:J363" si="382">LN(C362)-LN(C361)</f>
        <v>6.3454108645324414E-3</v>
      </c>
      <c r="J363" s="2">
        <f t="shared" si="382"/>
        <v>8.8202312011151918E-3</v>
      </c>
    </row>
    <row r="364" spans="1:10" x14ac:dyDescent="0.45">
      <c r="A364" s="1">
        <v>40714</v>
      </c>
      <c r="B364">
        <v>93.63</v>
      </c>
      <c r="C364">
        <v>2.9319999999999999</v>
      </c>
      <c r="D364">
        <v>2.9115000000000002</v>
      </c>
      <c r="E364" s="2">
        <f t="shared" si="338"/>
        <v>28.940000000000015</v>
      </c>
      <c r="F364" s="2">
        <f t="shared" si="340"/>
        <v>31.244199999999996</v>
      </c>
      <c r="G364" s="2">
        <f t="shared" si="342"/>
        <v>29.686399999999992</v>
      </c>
      <c r="H364" s="2">
        <f t="shared" si="343"/>
        <v>-2.0643423003919636E-2</v>
      </c>
      <c r="I364" s="2">
        <f t="shared" ref="I364:J364" si="383">LN(C363)-LN(C362)</f>
        <v>-6.8480834174671212E-3</v>
      </c>
      <c r="J364" s="2">
        <f t="shared" si="383"/>
        <v>-1.1534417942649089E-3</v>
      </c>
    </row>
    <row r="365" spans="1:10" x14ac:dyDescent="0.45">
      <c r="A365" s="1">
        <v>40715</v>
      </c>
      <c r="B365">
        <v>94.17</v>
      </c>
      <c r="C365">
        <v>2.89</v>
      </c>
      <c r="D365">
        <v>2.8826000000000001</v>
      </c>
      <c r="E365" s="2">
        <f t="shared" si="338"/>
        <v>27.002799999999997</v>
      </c>
      <c r="F365" s="2">
        <f t="shared" si="340"/>
        <v>28.940000000000015</v>
      </c>
      <c r="G365" s="2">
        <f t="shared" si="342"/>
        <v>31.244199999999996</v>
      </c>
      <c r="H365" s="2">
        <f t="shared" si="343"/>
        <v>6.6438306964222704E-3</v>
      </c>
      <c r="I365" s="2">
        <f t="shared" ref="I365:J365" si="384">LN(C364)-LN(C363)</f>
        <v>-1.7345286347471234E-2</v>
      </c>
      <c r="J365" s="2">
        <f t="shared" si="384"/>
        <v>-1.1779905745400887E-2</v>
      </c>
    </row>
    <row r="366" spans="1:10" x14ac:dyDescent="0.45">
      <c r="A366" s="1">
        <v>40716</v>
      </c>
      <c r="B366">
        <v>95.41</v>
      </c>
      <c r="C366">
        <v>2.9708999999999999</v>
      </c>
      <c r="D366">
        <v>2.9287999999999998</v>
      </c>
      <c r="E366" s="2">
        <f t="shared" si="338"/>
        <v>28.188999999999982</v>
      </c>
      <c r="F366" s="2">
        <f t="shared" si="340"/>
        <v>27.002799999999997</v>
      </c>
      <c r="G366" s="2">
        <f t="shared" si="342"/>
        <v>28.940000000000015</v>
      </c>
      <c r="H366" s="2">
        <f t="shared" si="343"/>
        <v>5.75081457117399E-3</v>
      </c>
      <c r="I366" s="2">
        <f t="shared" ref="I366:J366" si="385">LN(C365)-LN(C364)</f>
        <v>-1.4428281900064288E-2</v>
      </c>
      <c r="J366" s="2">
        <f t="shared" si="385"/>
        <v>-9.9757476281723267E-3</v>
      </c>
    </row>
    <row r="367" spans="1:10" x14ac:dyDescent="0.45">
      <c r="A367" s="1">
        <v>40717</v>
      </c>
      <c r="B367">
        <v>91.02</v>
      </c>
      <c r="C367">
        <v>2.7993999999999999</v>
      </c>
      <c r="D367">
        <v>2.7764000000000002</v>
      </c>
      <c r="E367" s="2">
        <f t="shared" si="338"/>
        <v>25.910799999999995</v>
      </c>
      <c r="F367" s="2">
        <f t="shared" si="340"/>
        <v>28.188999999999982</v>
      </c>
      <c r="G367" s="2">
        <f t="shared" si="342"/>
        <v>27.002799999999997</v>
      </c>
      <c r="H367" s="2">
        <f t="shared" si="343"/>
        <v>1.3081735241782688E-2</v>
      </c>
      <c r="I367" s="2">
        <f t="shared" ref="I367:J367" si="386">LN(C366)-LN(C365)</f>
        <v>2.7608435088888772E-2</v>
      </c>
      <c r="J367" s="2">
        <f t="shared" si="386"/>
        <v>1.5900118157023968E-2</v>
      </c>
    </row>
    <row r="368" spans="1:10" x14ac:dyDescent="0.45">
      <c r="A368" s="1">
        <v>40718</v>
      </c>
      <c r="B368">
        <v>91.16</v>
      </c>
      <c r="C368">
        <v>2.7688999999999999</v>
      </c>
      <c r="D368">
        <v>2.7159</v>
      </c>
      <c r="E368" s="2">
        <f t="shared" si="338"/>
        <v>23.649799999999988</v>
      </c>
      <c r="F368" s="2">
        <f t="shared" si="340"/>
        <v>25.910799999999995</v>
      </c>
      <c r="G368" s="2">
        <f t="shared" si="342"/>
        <v>28.188999999999982</v>
      </c>
      <c r="H368" s="2">
        <f t="shared" si="343"/>
        <v>-4.7104132175259217E-2</v>
      </c>
      <c r="I368" s="2">
        <f t="shared" ref="I368:J368" si="387">LN(C367)-LN(C366)</f>
        <v>-5.945982870882105E-2</v>
      </c>
      <c r="J368" s="2">
        <f t="shared" si="387"/>
        <v>-5.3437658340597549E-2</v>
      </c>
    </row>
    <row r="369" spans="1:10" x14ac:dyDescent="0.45">
      <c r="A369" s="1">
        <v>40721</v>
      </c>
      <c r="B369">
        <v>90.61</v>
      </c>
      <c r="C369">
        <v>2.7814000000000001</v>
      </c>
      <c r="D369">
        <v>2.7444000000000002</v>
      </c>
      <c r="E369" s="2">
        <f t="shared" si="338"/>
        <v>25.172800000000013</v>
      </c>
      <c r="F369" s="2">
        <f t="shared" si="340"/>
        <v>23.649799999999988</v>
      </c>
      <c r="G369" s="2">
        <f t="shared" si="342"/>
        <v>25.910799999999995</v>
      </c>
      <c r="H369" s="2">
        <f t="shared" si="343"/>
        <v>1.5369417889878889E-3</v>
      </c>
      <c r="I369" s="2">
        <f t="shared" ref="I369:J369" si="388">LN(C368)-LN(C367)</f>
        <v>-1.0954979088335426E-2</v>
      </c>
      <c r="J369" s="2">
        <f t="shared" si="388"/>
        <v>-2.2031734315924423E-2</v>
      </c>
    </row>
    <row r="370" spans="1:10" x14ac:dyDescent="0.45">
      <c r="A370" s="1">
        <v>40722</v>
      </c>
      <c r="B370">
        <v>92.89</v>
      </c>
      <c r="C370">
        <v>2.8414999999999999</v>
      </c>
      <c r="D370">
        <v>2.8155999999999999</v>
      </c>
      <c r="E370" s="2">
        <f t="shared" si="338"/>
        <v>25.727799999999984</v>
      </c>
      <c r="F370" s="2">
        <f t="shared" si="340"/>
        <v>25.172800000000013</v>
      </c>
      <c r="G370" s="2">
        <f t="shared" si="342"/>
        <v>23.649799999999988</v>
      </c>
      <c r="H370" s="2">
        <f t="shared" si="343"/>
        <v>-6.0516221435138462E-3</v>
      </c>
      <c r="I370" s="2">
        <f t="shared" ref="I370:J370" si="389">LN(C369)-LN(C368)</f>
        <v>4.50426864630038E-3</v>
      </c>
      <c r="J370" s="2">
        <f t="shared" si="389"/>
        <v>1.0439081667231509E-2</v>
      </c>
    </row>
    <row r="371" spans="1:10" x14ac:dyDescent="0.45">
      <c r="A371" s="1">
        <v>40723</v>
      </c>
      <c r="B371">
        <v>94.77</v>
      </c>
      <c r="C371">
        <v>2.9346999999999999</v>
      </c>
      <c r="D371">
        <v>2.9348999999999998</v>
      </c>
      <c r="E371" s="2">
        <f t="shared" si="338"/>
        <v>28.492999999999995</v>
      </c>
      <c r="F371" s="2">
        <f t="shared" si="340"/>
        <v>25.727799999999984</v>
      </c>
      <c r="G371" s="2">
        <f t="shared" si="342"/>
        <v>25.172800000000013</v>
      </c>
      <c r="H371" s="2">
        <f t="shared" si="343"/>
        <v>2.4851415165460189E-2</v>
      </c>
      <c r="I371" s="2">
        <f t="shared" ref="I371:J371" si="390">LN(C370)-LN(C369)</f>
        <v>2.1377683692665572E-2</v>
      </c>
      <c r="J371" s="2">
        <f t="shared" si="390"/>
        <v>2.5612910917240717E-2</v>
      </c>
    </row>
    <row r="372" spans="1:10" x14ac:dyDescent="0.45">
      <c r="A372" s="1">
        <v>40724</v>
      </c>
      <c r="B372">
        <v>95.42</v>
      </c>
      <c r="C372">
        <v>2.9462999999999999</v>
      </c>
      <c r="D372">
        <v>2.9691999999999998</v>
      </c>
      <c r="E372" s="2">
        <f t="shared" si="338"/>
        <v>28.965799999999984</v>
      </c>
      <c r="F372" s="2">
        <f t="shared" si="340"/>
        <v>28.492999999999995</v>
      </c>
      <c r="G372" s="2">
        <f t="shared" si="342"/>
        <v>25.727799999999984</v>
      </c>
      <c r="H372" s="2">
        <f t="shared" si="343"/>
        <v>2.0036906082673944E-2</v>
      </c>
      <c r="I372" s="2">
        <f t="shared" ref="I372:J372" si="391">LN(C371)-LN(C370)</f>
        <v>3.2273151649980791E-2</v>
      </c>
      <c r="J372" s="2">
        <f t="shared" si="391"/>
        <v>4.1497998397516112E-2</v>
      </c>
    </row>
    <row r="373" spans="1:10" x14ac:dyDescent="0.45">
      <c r="A373" s="1">
        <v>40725</v>
      </c>
      <c r="B373">
        <v>94.94</v>
      </c>
      <c r="C373">
        <v>2.9245000000000001</v>
      </c>
      <c r="D373">
        <v>2.9725999999999999</v>
      </c>
      <c r="E373" s="2">
        <f t="shared" si="338"/>
        <v>29.235800000000001</v>
      </c>
      <c r="F373" s="2">
        <f t="shared" si="340"/>
        <v>28.965799999999984</v>
      </c>
      <c r="G373" s="2">
        <f t="shared" si="342"/>
        <v>28.492999999999995</v>
      </c>
      <c r="H373" s="2">
        <f t="shared" si="343"/>
        <v>6.8352966058569109E-3</v>
      </c>
      <c r="I373" s="2">
        <f t="shared" ref="I373:J373" si="392">LN(C372)-LN(C371)</f>
        <v>3.9449124446813144E-3</v>
      </c>
      <c r="J373" s="2">
        <f t="shared" si="392"/>
        <v>1.1619175111899249E-2</v>
      </c>
    </row>
    <row r="374" spans="1:10" x14ac:dyDescent="0.45">
      <c r="A374" s="1">
        <v>40729</v>
      </c>
      <c r="B374">
        <v>96.89</v>
      </c>
      <c r="C374">
        <v>2.9565999999999999</v>
      </c>
      <c r="D374">
        <v>2.9773999999999998</v>
      </c>
      <c r="E374" s="2">
        <f t="shared" si="338"/>
        <v>27.869599999999991</v>
      </c>
      <c r="F374" s="2">
        <f t="shared" si="340"/>
        <v>29.235800000000001</v>
      </c>
      <c r="G374" s="2">
        <f t="shared" si="342"/>
        <v>28.965799999999984</v>
      </c>
      <c r="H374" s="2">
        <f t="shared" si="343"/>
        <v>-5.0430869647888343E-3</v>
      </c>
      <c r="I374" s="2">
        <f t="shared" ref="I374:J374" si="393">LN(C373)-LN(C372)</f>
        <v>-7.4266199487575957E-3</v>
      </c>
      <c r="J374" s="2">
        <f t="shared" si="393"/>
        <v>1.1444344714026666E-3</v>
      </c>
    </row>
    <row r="375" spans="1:10" x14ac:dyDescent="0.45">
      <c r="A375" s="1">
        <v>40730</v>
      </c>
      <c r="B375">
        <v>96.65</v>
      </c>
      <c r="C375">
        <v>2.9632999999999998</v>
      </c>
      <c r="D375">
        <v>2.9975999999999998</v>
      </c>
      <c r="E375" s="2">
        <f t="shared" si="338"/>
        <v>28.768999999999966</v>
      </c>
      <c r="F375" s="2">
        <f t="shared" si="340"/>
        <v>27.869599999999991</v>
      </c>
      <c r="G375" s="2">
        <f t="shared" si="342"/>
        <v>29.235800000000001</v>
      </c>
      <c r="H375" s="2">
        <f t="shared" si="343"/>
        <v>2.0331201273741328E-2</v>
      </c>
      <c r="I375" s="2">
        <f t="shared" ref="I375:J375" si="394">LN(C374)-LN(C373)</f>
        <v>1.0916433583908924E-2</v>
      </c>
      <c r="J375" s="2">
        <f t="shared" si="394"/>
        <v>1.6134457281622439E-3</v>
      </c>
    </row>
    <row r="376" spans="1:10" x14ac:dyDescent="0.45">
      <c r="A376" s="1">
        <v>40731</v>
      </c>
      <c r="B376">
        <v>98.67</v>
      </c>
      <c r="C376">
        <v>3.1019999999999999</v>
      </c>
      <c r="D376">
        <v>3.1269999999999998</v>
      </c>
      <c r="E376" s="2">
        <f t="shared" si="338"/>
        <v>32.314</v>
      </c>
      <c r="F376" s="2">
        <f t="shared" si="340"/>
        <v>28.768999999999966</v>
      </c>
      <c r="G376" s="2">
        <f t="shared" si="342"/>
        <v>27.869599999999991</v>
      </c>
      <c r="H376" s="2">
        <f t="shared" si="343"/>
        <v>-2.4801087425734281E-3</v>
      </c>
      <c r="I376" s="2">
        <f t="shared" ref="I376:J376" si="395">LN(C375)-LN(C374)</f>
        <v>2.2635527156593671E-3</v>
      </c>
      <c r="J376" s="2">
        <f t="shared" si="395"/>
        <v>6.7615320365206344E-3</v>
      </c>
    </row>
    <row r="377" spans="1:10" x14ac:dyDescent="0.45">
      <c r="A377" s="1">
        <v>40732</v>
      </c>
      <c r="B377">
        <v>96.2</v>
      </c>
      <c r="C377">
        <v>3.0964</v>
      </c>
      <c r="D377">
        <v>3.0926</v>
      </c>
      <c r="E377" s="2">
        <f t="shared" si="338"/>
        <v>33.742399999999975</v>
      </c>
      <c r="F377" s="2">
        <f t="shared" si="340"/>
        <v>32.314</v>
      </c>
      <c r="G377" s="2">
        <f t="shared" si="342"/>
        <v>28.768999999999966</v>
      </c>
      <c r="H377" s="2">
        <f t="shared" si="343"/>
        <v>2.0684743214736123E-2</v>
      </c>
      <c r="I377" s="2">
        <f t="shared" ref="I377:J377" si="396">LN(C376)-LN(C375)</f>
        <v>4.5743552553835221E-2</v>
      </c>
      <c r="J377" s="2">
        <f t="shared" si="396"/>
        <v>4.2262109978363771E-2</v>
      </c>
    </row>
    <row r="378" spans="1:10" x14ac:dyDescent="0.45">
      <c r="A378" s="1">
        <v>40735</v>
      </c>
      <c r="B378">
        <v>95.15</v>
      </c>
      <c r="C378">
        <v>3.0874999999999999</v>
      </c>
      <c r="D378">
        <v>3.0705</v>
      </c>
      <c r="E378" s="2">
        <f t="shared" si="338"/>
        <v>34.048999999999978</v>
      </c>
      <c r="F378" s="2">
        <f t="shared" si="340"/>
        <v>33.742399999999975</v>
      </c>
      <c r="G378" s="2">
        <f t="shared" si="342"/>
        <v>32.314</v>
      </c>
      <c r="H378" s="2">
        <f t="shared" si="343"/>
        <v>-2.5351591197415146E-2</v>
      </c>
      <c r="I378" s="2">
        <f t="shared" ref="I378:J378" si="397">LN(C377)-LN(C376)</f>
        <v>-1.8069184059257282E-3</v>
      </c>
      <c r="J378" s="2">
        <f t="shared" si="397"/>
        <v>-1.1061917416511191E-2</v>
      </c>
    </row>
    <row r="379" spans="1:10" x14ac:dyDescent="0.45">
      <c r="A379" s="1">
        <v>40736</v>
      </c>
      <c r="B379">
        <v>97.43</v>
      </c>
      <c r="C379">
        <v>3.0876000000000001</v>
      </c>
      <c r="D379">
        <v>3.0981999999999998</v>
      </c>
      <c r="E379" s="2">
        <f t="shared" si="338"/>
        <v>32.545999999999992</v>
      </c>
      <c r="F379" s="2">
        <f t="shared" si="340"/>
        <v>34.048999999999978</v>
      </c>
      <c r="G379" s="2">
        <f t="shared" si="342"/>
        <v>33.742399999999975</v>
      </c>
      <c r="H379" s="2">
        <f t="shared" si="343"/>
        <v>-1.0974763929501918E-2</v>
      </c>
      <c r="I379" s="2">
        <f t="shared" ref="I379:J379" si="398">LN(C378)-LN(C377)</f>
        <v>-2.8784443943257187E-3</v>
      </c>
      <c r="J379" s="2">
        <f t="shared" si="398"/>
        <v>-7.1717462718761116E-3</v>
      </c>
    </row>
    <row r="380" spans="1:10" x14ac:dyDescent="0.45">
      <c r="A380" s="1">
        <v>40737</v>
      </c>
      <c r="B380">
        <v>98.05</v>
      </c>
      <c r="C380">
        <v>3.0996999999999999</v>
      </c>
      <c r="D380">
        <v>3.1516000000000002</v>
      </c>
      <c r="E380" s="2">
        <f t="shared" si="338"/>
        <v>33.590599999999995</v>
      </c>
      <c r="F380" s="2">
        <f t="shared" si="340"/>
        <v>32.545999999999992</v>
      </c>
      <c r="G380" s="2">
        <f t="shared" si="342"/>
        <v>34.048999999999978</v>
      </c>
      <c r="H380" s="2">
        <f t="shared" si="343"/>
        <v>2.3679577695091325E-2</v>
      </c>
      <c r="I380" s="2">
        <f t="shared" ref="I380:J380" si="399">LN(C379)-LN(C378)</f>
        <v>3.2388139466155152E-5</v>
      </c>
      <c r="J380" s="2">
        <f t="shared" si="399"/>
        <v>8.980882902808629E-3</v>
      </c>
    </row>
    <row r="381" spans="1:10" x14ac:dyDescent="0.45">
      <c r="A381" s="1">
        <v>40738</v>
      </c>
      <c r="B381">
        <v>95.69</v>
      </c>
      <c r="C381">
        <v>3.0849000000000002</v>
      </c>
      <c r="D381">
        <v>3.1248</v>
      </c>
      <c r="E381" s="2">
        <f t="shared" si="338"/>
        <v>34.992999999999995</v>
      </c>
      <c r="F381" s="2">
        <f t="shared" si="340"/>
        <v>33.590599999999995</v>
      </c>
      <c r="G381" s="2">
        <f t="shared" si="342"/>
        <v>32.545999999999992</v>
      </c>
      <c r="H381" s="2">
        <f t="shared" si="343"/>
        <v>6.3433812051050253E-3</v>
      </c>
      <c r="I381" s="2">
        <f t="shared" ref="I381:J381" si="400">LN(C380)-LN(C379)</f>
        <v>3.9112425210661161E-3</v>
      </c>
      <c r="J381" s="2">
        <f t="shared" si="400"/>
        <v>1.7088962699270516E-2</v>
      </c>
    </row>
    <row r="382" spans="1:10" x14ac:dyDescent="0.45">
      <c r="A382" s="1">
        <v>40739</v>
      </c>
      <c r="B382">
        <v>97.24</v>
      </c>
      <c r="C382">
        <v>3.1179999999999999</v>
      </c>
      <c r="D382">
        <v>3.1293000000000002</v>
      </c>
      <c r="E382" s="2">
        <f t="shared" si="338"/>
        <v>34.032399999999996</v>
      </c>
      <c r="F382" s="2">
        <f t="shared" si="340"/>
        <v>34.992999999999995</v>
      </c>
      <c r="G382" s="2">
        <f t="shared" si="342"/>
        <v>33.590599999999995</v>
      </c>
      <c r="H382" s="2">
        <f t="shared" si="343"/>
        <v>-2.4363752851183307E-2</v>
      </c>
      <c r="I382" s="2">
        <f t="shared" ref="I382:J382" si="401">LN(C381)-LN(C380)</f>
        <v>-4.7860906935102143E-3</v>
      </c>
      <c r="J382" s="2">
        <f t="shared" si="401"/>
        <v>-8.5399792491185345E-3</v>
      </c>
    </row>
    <row r="383" spans="1:10" x14ac:dyDescent="0.45">
      <c r="A383" s="1">
        <v>40742</v>
      </c>
      <c r="B383">
        <v>95.93</v>
      </c>
      <c r="C383">
        <v>3.0777000000000001</v>
      </c>
      <c r="D383">
        <v>3.0973999999999999</v>
      </c>
      <c r="E383" s="2">
        <f t="shared" si="338"/>
        <v>33.884999999999991</v>
      </c>
      <c r="F383" s="2">
        <f t="shared" si="340"/>
        <v>34.032399999999996</v>
      </c>
      <c r="G383" s="2">
        <f t="shared" si="342"/>
        <v>34.992999999999995</v>
      </c>
      <c r="H383" s="2">
        <f t="shared" si="343"/>
        <v>1.6068349656750414E-2</v>
      </c>
      <c r="I383" s="2">
        <f t="shared" ref="I383:J383" si="402">LN(C382)-LN(C381)</f>
        <v>1.0672528714467111E-2</v>
      </c>
      <c r="J383" s="2">
        <f t="shared" si="402"/>
        <v>1.4390562276205277E-3</v>
      </c>
    </row>
    <row r="384" spans="1:10" x14ac:dyDescent="0.45">
      <c r="A384" s="1">
        <v>40743</v>
      </c>
      <c r="B384">
        <v>97.86</v>
      </c>
      <c r="C384">
        <v>3.0979999999999999</v>
      </c>
      <c r="D384">
        <v>3.1149</v>
      </c>
      <c r="E384" s="2">
        <f t="shared" si="338"/>
        <v>32.729199999999992</v>
      </c>
      <c r="F384" s="2">
        <f t="shared" si="340"/>
        <v>33.884999999999991</v>
      </c>
      <c r="G384" s="2">
        <f t="shared" si="342"/>
        <v>34.032399999999996</v>
      </c>
      <c r="H384" s="2">
        <f t="shared" si="343"/>
        <v>-1.3563390618065441E-2</v>
      </c>
      <c r="I384" s="2">
        <f t="shared" ref="I384:J384" si="403">LN(C383)-LN(C382)</f>
        <v>-1.3009205855945005E-2</v>
      </c>
      <c r="J384" s="2">
        <f t="shared" si="403"/>
        <v>-1.0246287467960968E-2</v>
      </c>
    </row>
    <row r="385" spans="1:10" x14ac:dyDescent="0.45">
      <c r="A385" s="1">
        <v>40744</v>
      </c>
      <c r="B385">
        <v>98.4</v>
      </c>
      <c r="C385">
        <v>3.1183999999999998</v>
      </c>
      <c r="D385">
        <v>3.1469999999999998</v>
      </c>
      <c r="E385" s="2">
        <f t="shared" si="338"/>
        <v>33.373599999999975</v>
      </c>
      <c r="F385" s="2">
        <f t="shared" si="340"/>
        <v>32.729199999999992</v>
      </c>
      <c r="G385" s="2">
        <f t="shared" si="342"/>
        <v>33.884999999999991</v>
      </c>
      <c r="H385" s="2">
        <f t="shared" si="343"/>
        <v>1.9919127031120532E-2</v>
      </c>
      <c r="I385" s="2">
        <f t="shared" ref="I385:J385" si="404">LN(C384)-LN(C383)</f>
        <v>6.5741772150371691E-3</v>
      </c>
      <c r="J385" s="2">
        <f t="shared" si="404"/>
        <v>5.6339990954439312E-3</v>
      </c>
    </row>
    <row r="386" spans="1:10" x14ac:dyDescent="0.45">
      <c r="A386" s="1">
        <v>40745</v>
      </c>
      <c r="B386">
        <v>99.13</v>
      </c>
      <c r="C386">
        <v>3.1128999999999998</v>
      </c>
      <c r="D386">
        <v>3.0567000000000002</v>
      </c>
      <c r="E386" s="2">
        <f t="shared" si="338"/>
        <v>30.0382</v>
      </c>
      <c r="F386" s="2">
        <f t="shared" si="340"/>
        <v>33.373599999999975</v>
      </c>
      <c r="G386" s="2">
        <f t="shared" si="342"/>
        <v>32.729199999999992</v>
      </c>
      <c r="H386" s="2">
        <f t="shared" si="343"/>
        <v>5.5029181972301444E-3</v>
      </c>
      <c r="I386" s="2">
        <f t="shared" ref="I386:J386" si="405">LN(C385)-LN(C384)</f>
        <v>6.5633077764823966E-3</v>
      </c>
      <c r="J386" s="2">
        <f t="shared" si="405"/>
        <v>1.0252569086888652E-2</v>
      </c>
    </row>
    <row r="387" spans="1:10" x14ac:dyDescent="0.45">
      <c r="A387" s="1">
        <v>40746</v>
      </c>
      <c r="B387">
        <v>99.87</v>
      </c>
      <c r="C387">
        <v>3.1415000000000002</v>
      </c>
      <c r="D387">
        <v>3.0905999999999998</v>
      </c>
      <c r="E387" s="2">
        <f t="shared" ref="E387:E450" si="406">(2*D387*42+1*C387*42-3*B387)/3</f>
        <v>30.6478</v>
      </c>
      <c r="F387" s="2">
        <f t="shared" si="340"/>
        <v>30.0382</v>
      </c>
      <c r="G387" s="2">
        <f t="shared" si="342"/>
        <v>33.373599999999975</v>
      </c>
      <c r="H387" s="2">
        <f t="shared" si="343"/>
        <v>7.3913159865988121E-3</v>
      </c>
      <c r="I387" s="2">
        <f t="shared" ref="I387:J387" si="407">LN(C386)-LN(C385)</f>
        <v>-1.7652821813323172E-3</v>
      </c>
      <c r="J387" s="2">
        <f t="shared" si="407"/>
        <v>-2.9113715416057229E-2</v>
      </c>
    </row>
    <row r="388" spans="1:10" x14ac:dyDescent="0.45">
      <c r="A388" s="1">
        <v>40749</v>
      </c>
      <c r="B388">
        <v>99.2</v>
      </c>
      <c r="C388">
        <v>3.1206999999999998</v>
      </c>
      <c r="D388">
        <v>3.0817000000000001</v>
      </c>
      <c r="E388" s="2">
        <f t="shared" si="406"/>
        <v>30.777399999999982</v>
      </c>
      <c r="F388" s="2">
        <f t="shared" ref="F388:F451" si="408">E387</f>
        <v>30.6478</v>
      </c>
      <c r="G388" s="2">
        <f t="shared" si="342"/>
        <v>30.0382</v>
      </c>
      <c r="H388" s="2">
        <f t="shared" si="343"/>
        <v>7.4372202102370721E-3</v>
      </c>
      <c r="I388" s="2">
        <f t="shared" ref="I388:J388" si="409">LN(C387)-LN(C386)</f>
        <v>9.1456252710377939E-3</v>
      </c>
      <c r="J388" s="2">
        <f t="shared" si="409"/>
        <v>1.1029344151245013E-2</v>
      </c>
    </row>
    <row r="389" spans="1:10" x14ac:dyDescent="0.45">
      <c r="A389" s="1">
        <v>40750</v>
      </c>
      <c r="B389">
        <v>99.59</v>
      </c>
      <c r="C389">
        <v>3.1251000000000002</v>
      </c>
      <c r="D389">
        <v>3.0985</v>
      </c>
      <c r="E389" s="2">
        <f t="shared" si="406"/>
        <v>30.919399999999996</v>
      </c>
      <c r="F389" s="2">
        <f t="shared" si="408"/>
        <v>30.777399999999982</v>
      </c>
      <c r="G389" s="2">
        <f t="shared" ref="G389:G452" si="410">E387</f>
        <v>30.6478</v>
      </c>
      <c r="H389" s="2">
        <f t="shared" ref="H389:H452" si="411">LN(B388)-LN(B387)</f>
        <v>-6.731325964215884E-3</v>
      </c>
      <c r="I389" s="2">
        <f t="shared" ref="I389:J389" si="412">LN(C388)-LN(C387)</f>
        <v>-6.6430572298257218E-3</v>
      </c>
      <c r="J389" s="2">
        <f t="shared" si="412"/>
        <v>-2.8838540473257179E-3</v>
      </c>
    </row>
    <row r="390" spans="1:10" x14ac:dyDescent="0.45">
      <c r="A390" s="1">
        <v>40752</v>
      </c>
      <c r="B390">
        <v>97.44</v>
      </c>
      <c r="C390">
        <v>3.1143999999999998</v>
      </c>
      <c r="D390">
        <v>3.0638000000000001</v>
      </c>
      <c r="E390" s="2">
        <f t="shared" si="406"/>
        <v>31.947999999999997</v>
      </c>
      <c r="F390" s="2">
        <f t="shared" si="408"/>
        <v>30.919399999999996</v>
      </c>
      <c r="G390" s="2">
        <f t="shared" si="410"/>
        <v>30.777399999999982</v>
      </c>
      <c r="H390" s="2">
        <f t="shared" si="411"/>
        <v>3.9237436527210789E-3</v>
      </c>
      <c r="I390" s="2">
        <f t="shared" ref="I390:J390" si="413">LN(C389)-LN(C388)</f>
        <v>1.4089470453366726E-3</v>
      </c>
      <c r="J390" s="2">
        <f t="shared" si="413"/>
        <v>5.4367306498934731E-3</v>
      </c>
    </row>
    <row r="391" spans="1:10" x14ac:dyDescent="0.45">
      <c r="A391" s="1">
        <v>40753</v>
      </c>
      <c r="B391">
        <v>95.7</v>
      </c>
      <c r="C391">
        <v>3.0994000000000002</v>
      </c>
      <c r="D391">
        <v>3.0579000000000001</v>
      </c>
      <c r="E391" s="2">
        <f t="shared" si="406"/>
        <v>33.312800000000003</v>
      </c>
      <c r="F391" s="2">
        <f t="shared" si="408"/>
        <v>31.947999999999997</v>
      </c>
      <c r="G391" s="2">
        <f t="shared" si="410"/>
        <v>30.919399999999996</v>
      </c>
      <c r="H391" s="2">
        <f t="shared" si="411"/>
        <v>-2.1824953981961492E-2</v>
      </c>
      <c r="I391" s="2">
        <f t="shared" ref="I391:J391" si="414">LN(C390)-LN(C389)</f>
        <v>-3.4297653622668012E-3</v>
      </c>
      <c r="J391" s="2">
        <f t="shared" si="414"/>
        <v>-1.1262147823566382E-2</v>
      </c>
    </row>
    <row r="392" spans="1:10" x14ac:dyDescent="0.45">
      <c r="A392" s="1">
        <v>40756</v>
      </c>
      <c r="B392">
        <v>94.89</v>
      </c>
      <c r="C392">
        <v>3.0973999999999999</v>
      </c>
      <c r="D392">
        <v>3.0539999999999998</v>
      </c>
      <c r="E392" s="2">
        <f t="shared" si="406"/>
        <v>33.985599999999998</v>
      </c>
      <c r="F392" s="2">
        <f t="shared" si="408"/>
        <v>33.312800000000003</v>
      </c>
      <c r="G392" s="2">
        <f t="shared" si="410"/>
        <v>31.947999999999997</v>
      </c>
      <c r="H392" s="2">
        <f t="shared" si="411"/>
        <v>-1.8018505502678472E-2</v>
      </c>
      <c r="I392" s="2">
        <f t="shared" ref="I392:J392" si="415">LN(C391)-LN(C390)</f>
        <v>-4.8279729430114049E-3</v>
      </c>
      <c r="J392" s="2">
        <f t="shared" si="415"/>
        <v>-1.9275697361189614E-3</v>
      </c>
    </row>
    <row r="393" spans="1:10" x14ac:dyDescent="0.45">
      <c r="A393" s="1">
        <v>40757</v>
      </c>
      <c r="B393">
        <v>93.79</v>
      </c>
      <c r="C393">
        <v>3.0916000000000001</v>
      </c>
      <c r="D393">
        <v>3.0373000000000001</v>
      </c>
      <c r="E393" s="2">
        <f t="shared" si="406"/>
        <v>34.536800000000007</v>
      </c>
      <c r="F393" s="2">
        <f t="shared" si="408"/>
        <v>33.985599999999998</v>
      </c>
      <c r="G393" s="2">
        <f t="shared" si="410"/>
        <v>33.312800000000003</v>
      </c>
      <c r="H393" s="2">
        <f t="shared" si="411"/>
        <v>-8.4999724732410797E-3</v>
      </c>
      <c r="I393" s="2">
        <f t="shared" ref="I393:J393" si="416">LN(C392)-LN(C391)</f>
        <v>-6.4549447116046821E-4</v>
      </c>
      <c r="J393" s="2">
        <f t="shared" si="416"/>
        <v>-1.2761990638991971E-3</v>
      </c>
    </row>
    <row r="394" spans="1:10" x14ac:dyDescent="0.45">
      <c r="A394" s="1">
        <v>40758</v>
      </c>
      <c r="B394">
        <v>91.93</v>
      </c>
      <c r="C394">
        <v>3.0188999999999999</v>
      </c>
      <c r="D394">
        <v>2.9312999999999998</v>
      </c>
      <c r="E394" s="2">
        <f t="shared" si="406"/>
        <v>32.41099999999998</v>
      </c>
      <c r="F394" s="2">
        <f t="shared" si="408"/>
        <v>34.536800000000007</v>
      </c>
      <c r="G394" s="2">
        <f t="shared" si="410"/>
        <v>33.985599999999998</v>
      </c>
      <c r="H394" s="2">
        <f t="shared" si="411"/>
        <v>-1.1660085464820114E-2</v>
      </c>
      <c r="I394" s="2">
        <f t="shared" ref="I394:J394" si="417">LN(C393)-LN(C392)</f>
        <v>-1.8742936493580942E-3</v>
      </c>
      <c r="J394" s="2">
        <f t="shared" si="417"/>
        <v>-5.4832439189593796E-3</v>
      </c>
    </row>
    <row r="395" spans="1:10" x14ac:dyDescent="0.45">
      <c r="A395" s="1">
        <v>40759</v>
      </c>
      <c r="B395">
        <v>86.63</v>
      </c>
      <c r="C395">
        <v>2.8938999999999999</v>
      </c>
      <c r="D395">
        <v>2.7372000000000001</v>
      </c>
      <c r="E395" s="2">
        <f t="shared" si="406"/>
        <v>30.526199999999999</v>
      </c>
      <c r="F395" s="2">
        <f t="shared" si="408"/>
        <v>32.41099999999998</v>
      </c>
      <c r="G395" s="2">
        <f t="shared" si="410"/>
        <v>34.536800000000007</v>
      </c>
      <c r="H395" s="2">
        <f t="shared" si="411"/>
        <v>-2.0030822645184188E-2</v>
      </c>
      <c r="I395" s="2">
        <f t="shared" ref="I395:J395" si="418">LN(C394)-LN(C393)</f>
        <v>-2.379622962531891E-2</v>
      </c>
      <c r="J395" s="2">
        <f t="shared" si="418"/>
        <v>-3.552295224121127E-2</v>
      </c>
    </row>
    <row r="396" spans="1:10" x14ac:dyDescent="0.45">
      <c r="A396" s="1">
        <v>40760</v>
      </c>
      <c r="B396">
        <v>86.88</v>
      </c>
      <c r="C396">
        <v>2.9417</v>
      </c>
      <c r="D396">
        <v>2.8052000000000001</v>
      </c>
      <c r="E396" s="2">
        <f t="shared" si="406"/>
        <v>32.849400000000024</v>
      </c>
      <c r="F396" s="2">
        <f t="shared" si="408"/>
        <v>30.526199999999999</v>
      </c>
      <c r="G396" s="2">
        <f t="shared" si="410"/>
        <v>32.41099999999998</v>
      </c>
      <c r="H396" s="2">
        <f t="shared" si="411"/>
        <v>-5.9381241973614607E-2</v>
      </c>
      <c r="I396" s="2">
        <f t="shared" ref="I396:J396" si="419">LN(C395)-LN(C394)</f>
        <v>-4.228745326315253E-2</v>
      </c>
      <c r="J396" s="2">
        <f t="shared" si="419"/>
        <v>-6.8510510540064296E-2</v>
      </c>
    </row>
    <row r="397" spans="1:10" x14ac:dyDescent="0.45">
      <c r="A397" s="1">
        <v>40763</v>
      </c>
      <c r="B397">
        <v>81.31</v>
      </c>
      <c r="C397">
        <v>2.8016999999999999</v>
      </c>
      <c r="D397">
        <v>2.6916000000000002</v>
      </c>
      <c r="E397" s="2">
        <f t="shared" si="406"/>
        <v>33.278600000000004</v>
      </c>
      <c r="F397" s="2">
        <f t="shared" si="408"/>
        <v>32.849400000000024</v>
      </c>
      <c r="G397" s="2">
        <f t="shared" si="410"/>
        <v>30.526199999999999</v>
      </c>
      <c r="H397" s="2">
        <f t="shared" si="411"/>
        <v>2.8816802835764932E-3</v>
      </c>
      <c r="I397" s="2">
        <f t="shared" ref="I397:J397" si="420">LN(C396)-LN(C395)</f>
        <v>1.6382572169702181E-2</v>
      </c>
      <c r="J397" s="2">
        <f t="shared" si="420"/>
        <v>2.4539337584412735E-2</v>
      </c>
    </row>
    <row r="398" spans="1:10" x14ac:dyDescent="0.45">
      <c r="A398" s="1">
        <v>40764</v>
      </c>
      <c r="B398">
        <v>79.3</v>
      </c>
      <c r="C398">
        <v>2.7648000000000001</v>
      </c>
      <c r="D398">
        <v>2.6676000000000002</v>
      </c>
      <c r="E398" s="2">
        <f t="shared" si="406"/>
        <v>34.100000000000023</v>
      </c>
      <c r="F398" s="2">
        <f t="shared" si="408"/>
        <v>33.278600000000004</v>
      </c>
      <c r="G398" s="2">
        <f t="shared" si="410"/>
        <v>32.849400000000024</v>
      </c>
      <c r="H398" s="2">
        <f t="shared" si="411"/>
        <v>-6.6258845965879054E-2</v>
      </c>
      <c r="I398" s="2">
        <f t="shared" ref="I398:J398" si="421">LN(C397)-LN(C396)</f>
        <v>-4.8761269730164924E-2</v>
      </c>
      <c r="J398" s="2">
        <f t="shared" si="421"/>
        <v>-4.1339025348592462E-2</v>
      </c>
    </row>
    <row r="399" spans="1:10" x14ac:dyDescent="0.45">
      <c r="A399" s="1">
        <v>40765</v>
      </c>
      <c r="B399">
        <v>82.89</v>
      </c>
      <c r="C399">
        <v>2.8653</v>
      </c>
      <c r="D399">
        <v>2.7825000000000002</v>
      </c>
      <c r="E399" s="2">
        <f t="shared" si="406"/>
        <v>35.1342</v>
      </c>
      <c r="F399" s="2">
        <f t="shared" si="408"/>
        <v>34.100000000000023</v>
      </c>
      <c r="G399" s="2">
        <f t="shared" si="410"/>
        <v>33.278600000000004</v>
      </c>
      <c r="H399" s="2">
        <f t="shared" si="411"/>
        <v>-2.5030881578943287E-2</v>
      </c>
      <c r="I399" s="2">
        <f t="shared" ref="I399:J399" si="422">LN(C398)-LN(C397)</f>
        <v>-1.3258076174045286E-2</v>
      </c>
      <c r="J399" s="2">
        <f t="shared" si="422"/>
        <v>-8.9566205560117629E-3</v>
      </c>
    </row>
    <row r="400" spans="1:10" x14ac:dyDescent="0.45">
      <c r="A400" s="1">
        <v>40766</v>
      </c>
      <c r="B400">
        <v>85.72</v>
      </c>
      <c r="C400">
        <v>2.8992</v>
      </c>
      <c r="D400">
        <v>2.8273000000000001</v>
      </c>
      <c r="E400" s="2">
        <f t="shared" si="406"/>
        <v>34.033200000000001</v>
      </c>
      <c r="F400" s="2">
        <f t="shared" si="408"/>
        <v>35.1342</v>
      </c>
      <c r="G400" s="2">
        <f t="shared" si="410"/>
        <v>34.100000000000023</v>
      </c>
      <c r="H400" s="2">
        <f t="shared" si="411"/>
        <v>4.427629896263241E-2</v>
      </c>
      <c r="I400" s="2">
        <f t="shared" ref="I400:J400" si="423">LN(C399)-LN(C398)</f>
        <v>3.5704757099064954E-2</v>
      </c>
      <c r="J400" s="2">
        <f t="shared" si="423"/>
        <v>4.2170612391548623E-2</v>
      </c>
    </row>
    <row r="401" spans="1:10" x14ac:dyDescent="0.45">
      <c r="A401" s="1">
        <v>40767</v>
      </c>
      <c r="B401">
        <v>85.38</v>
      </c>
      <c r="C401">
        <v>2.9037000000000002</v>
      </c>
      <c r="D401">
        <v>2.8222</v>
      </c>
      <c r="E401" s="2">
        <f t="shared" si="406"/>
        <v>34.293399999999998</v>
      </c>
      <c r="F401" s="2">
        <f t="shared" si="408"/>
        <v>34.033200000000001</v>
      </c>
      <c r="G401" s="2">
        <f t="shared" si="410"/>
        <v>35.1342</v>
      </c>
      <c r="H401" s="2">
        <f t="shared" si="411"/>
        <v>3.3571743001941101E-2</v>
      </c>
      <c r="I401" s="2">
        <f t="shared" ref="I401:J401" si="424">LN(C400)-LN(C399)</f>
        <v>1.1761780139858624E-2</v>
      </c>
      <c r="J401" s="2">
        <f t="shared" si="424"/>
        <v>1.5972388474980725E-2</v>
      </c>
    </row>
    <row r="402" spans="1:10" x14ac:dyDescent="0.45">
      <c r="A402" s="1">
        <v>40770</v>
      </c>
      <c r="B402">
        <v>87.88</v>
      </c>
      <c r="C402">
        <v>2.9441000000000002</v>
      </c>
      <c r="D402">
        <v>2.8744999999999998</v>
      </c>
      <c r="E402" s="2">
        <f t="shared" si="406"/>
        <v>33.823400000000014</v>
      </c>
      <c r="F402" s="2">
        <f t="shared" si="408"/>
        <v>34.293399999999998</v>
      </c>
      <c r="G402" s="2">
        <f t="shared" si="410"/>
        <v>34.033200000000001</v>
      </c>
      <c r="H402" s="2">
        <f t="shared" si="411"/>
        <v>-3.9742892755603165E-3</v>
      </c>
      <c r="I402" s="2">
        <f t="shared" ref="I402:J402" si="425">LN(C401)-LN(C400)</f>
        <v>1.5509489744924831E-3</v>
      </c>
      <c r="J402" s="2">
        <f t="shared" si="425"/>
        <v>-1.8054700010203817E-3</v>
      </c>
    </row>
    <row r="403" spans="1:10" x14ac:dyDescent="0.45">
      <c r="A403" s="1">
        <v>40771</v>
      </c>
      <c r="B403">
        <v>86.65</v>
      </c>
      <c r="C403">
        <v>2.9325999999999999</v>
      </c>
      <c r="D403">
        <v>2.8538000000000001</v>
      </c>
      <c r="E403" s="2">
        <f t="shared" si="406"/>
        <v>34.312799999999982</v>
      </c>
      <c r="F403" s="2">
        <f t="shared" si="408"/>
        <v>33.823400000000014</v>
      </c>
      <c r="G403" s="2">
        <f t="shared" si="410"/>
        <v>34.293399999999998</v>
      </c>
      <c r="H403" s="2">
        <f t="shared" si="411"/>
        <v>2.8860366186593822E-2</v>
      </c>
      <c r="I403" s="2">
        <f t="shared" ref="I403:J403" si="426">LN(C402)-LN(C401)</f>
        <v>1.3817381840039777E-2</v>
      </c>
      <c r="J403" s="2">
        <f t="shared" si="426"/>
        <v>1.8362023439685293E-2</v>
      </c>
    </row>
    <row r="404" spans="1:10" x14ac:dyDescent="0.45">
      <c r="A404" s="1">
        <v>40772</v>
      </c>
      <c r="B404">
        <v>87.58</v>
      </c>
      <c r="C404">
        <v>2.9615999999999998</v>
      </c>
      <c r="D404">
        <v>2.8702999999999999</v>
      </c>
      <c r="E404" s="2">
        <f t="shared" si="406"/>
        <v>34.250799999999991</v>
      </c>
      <c r="F404" s="2">
        <f t="shared" si="408"/>
        <v>34.312799999999982</v>
      </c>
      <c r="G404" s="2">
        <f t="shared" si="410"/>
        <v>33.823400000000014</v>
      </c>
      <c r="H404" s="2">
        <f t="shared" si="411"/>
        <v>-1.409523135479418E-2</v>
      </c>
      <c r="I404" s="2">
        <f t="shared" ref="I404:J404" si="427">LN(C403)-LN(C402)</f>
        <v>-3.9137661202135465E-3</v>
      </c>
      <c r="J404" s="2">
        <f t="shared" si="427"/>
        <v>-7.2273065668706504E-3</v>
      </c>
    </row>
    <row r="405" spans="1:10" x14ac:dyDescent="0.45">
      <c r="A405" s="1">
        <v>40773</v>
      </c>
      <c r="B405">
        <v>82.38</v>
      </c>
      <c r="C405">
        <v>2.8748</v>
      </c>
      <c r="D405">
        <v>2.7831999999999999</v>
      </c>
      <c r="E405" s="2">
        <f t="shared" si="406"/>
        <v>35.796799999999998</v>
      </c>
      <c r="F405" s="2">
        <f t="shared" si="408"/>
        <v>34.250799999999991</v>
      </c>
      <c r="G405" s="2">
        <f t="shared" si="410"/>
        <v>34.312799999999982</v>
      </c>
      <c r="H405" s="2">
        <f t="shared" si="411"/>
        <v>1.0675645211636997E-2</v>
      </c>
      <c r="I405" s="2">
        <f t="shared" ref="I405:J405" si="428">LN(C404)-LN(C403)</f>
        <v>9.8402612762542585E-3</v>
      </c>
      <c r="J405" s="2">
        <f t="shared" si="428"/>
        <v>5.7651144110768549E-3</v>
      </c>
    </row>
    <row r="406" spans="1:10" x14ac:dyDescent="0.45">
      <c r="A406" s="1">
        <v>40774</v>
      </c>
      <c r="B406">
        <v>82.41</v>
      </c>
      <c r="C406">
        <v>2.9045000000000001</v>
      </c>
      <c r="D406">
        <v>2.8412000000000002</v>
      </c>
      <c r="E406" s="2">
        <f t="shared" si="406"/>
        <v>37.80660000000001</v>
      </c>
      <c r="F406" s="2">
        <f t="shared" si="408"/>
        <v>35.796799999999998</v>
      </c>
      <c r="G406" s="2">
        <f t="shared" si="410"/>
        <v>34.250799999999991</v>
      </c>
      <c r="H406" s="2">
        <f t="shared" si="411"/>
        <v>-6.1209972365317888E-2</v>
      </c>
      <c r="I406" s="2">
        <f t="shared" ref="I406:J406" si="429">LN(C405)-LN(C404)</f>
        <v>-2.9746556224945486E-2</v>
      </c>
      <c r="J406" s="2">
        <f t="shared" si="429"/>
        <v>-3.0815209069819494E-2</v>
      </c>
    </row>
    <row r="407" spans="1:10" x14ac:dyDescent="0.45">
      <c r="A407" s="1">
        <v>40777</v>
      </c>
      <c r="B407">
        <v>84.42</v>
      </c>
      <c r="C407">
        <v>2.9106999999999998</v>
      </c>
      <c r="D407">
        <v>2.7128999999999999</v>
      </c>
      <c r="E407" s="2">
        <f t="shared" si="406"/>
        <v>32.290999999999997</v>
      </c>
      <c r="F407" s="2">
        <f t="shared" si="408"/>
        <v>37.80660000000001</v>
      </c>
      <c r="G407" s="2">
        <f t="shared" si="410"/>
        <v>35.796799999999998</v>
      </c>
      <c r="H407" s="2">
        <f t="shared" si="411"/>
        <v>3.6409976735729543E-4</v>
      </c>
      <c r="I407" s="2">
        <f t="shared" ref="I407:J407" si="430">LN(C406)-LN(C405)</f>
        <v>1.0278151838299721E-2</v>
      </c>
      <c r="J407" s="2">
        <f t="shared" si="430"/>
        <v>2.0625153285922737E-2</v>
      </c>
    </row>
    <row r="408" spans="1:10" x14ac:dyDescent="0.45">
      <c r="A408" s="1">
        <v>40778</v>
      </c>
      <c r="B408">
        <v>85.44</v>
      </c>
      <c r="C408">
        <v>2.9424999999999999</v>
      </c>
      <c r="D408">
        <v>2.7471999999999999</v>
      </c>
      <c r="E408" s="2">
        <f t="shared" si="406"/>
        <v>32.676599999999986</v>
      </c>
      <c r="F408" s="2">
        <f t="shared" si="408"/>
        <v>32.290999999999997</v>
      </c>
      <c r="G408" s="2">
        <f t="shared" si="410"/>
        <v>37.80660000000001</v>
      </c>
      <c r="H408" s="2">
        <f t="shared" si="411"/>
        <v>2.4097551579060905E-2</v>
      </c>
      <c r="I408" s="2">
        <f t="shared" ref="I408:J408" si="431">LN(C407)-LN(C406)</f>
        <v>2.13234363365844E-3</v>
      </c>
      <c r="J408" s="2">
        <f t="shared" si="431"/>
        <v>-4.6208324709110848E-2</v>
      </c>
    </row>
    <row r="409" spans="1:10" x14ac:dyDescent="0.45">
      <c r="A409" s="1">
        <v>40779</v>
      </c>
      <c r="B409">
        <v>85.16</v>
      </c>
      <c r="C409">
        <v>2.9689999999999999</v>
      </c>
      <c r="D409">
        <v>2.7557999999999998</v>
      </c>
      <c r="E409" s="2">
        <f t="shared" si="406"/>
        <v>33.56839999999999</v>
      </c>
      <c r="F409" s="2">
        <f t="shared" si="408"/>
        <v>32.676599999999986</v>
      </c>
      <c r="G409" s="2">
        <f t="shared" si="410"/>
        <v>32.290999999999997</v>
      </c>
      <c r="H409" s="2">
        <f t="shared" si="411"/>
        <v>1.2010034857532048E-2</v>
      </c>
      <c r="I409" s="2">
        <f t="shared" ref="I409:J409" si="432">LN(C408)-LN(C407)</f>
        <v>1.0865958068186021E-2</v>
      </c>
      <c r="J409" s="2">
        <f t="shared" si="432"/>
        <v>1.2564037728666988E-2</v>
      </c>
    </row>
    <row r="410" spans="1:10" x14ac:dyDescent="0.45">
      <c r="A410" s="1">
        <v>40780</v>
      </c>
      <c r="B410">
        <v>85.3</v>
      </c>
      <c r="C410">
        <v>2.9931999999999999</v>
      </c>
      <c r="D410">
        <v>2.8016999999999999</v>
      </c>
      <c r="E410" s="2">
        <f t="shared" si="406"/>
        <v>35.052399999999999</v>
      </c>
      <c r="F410" s="2">
        <f t="shared" si="408"/>
        <v>33.56839999999999</v>
      </c>
      <c r="G410" s="2">
        <f t="shared" si="410"/>
        <v>32.676599999999986</v>
      </c>
      <c r="H410" s="2">
        <f t="shared" si="411"/>
        <v>-3.2825351866057062E-3</v>
      </c>
      <c r="I410" s="2">
        <f t="shared" ref="I410:J410" si="433">LN(C409)-LN(C408)</f>
        <v>8.9656356293279504E-3</v>
      </c>
      <c r="J410" s="2">
        <f t="shared" si="433"/>
        <v>3.125570416591561E-3</v>
      </c>
    </row>
    <row r="411" spans="1:10" x14ac:dyDescent="0.45">
      <c r="A411" s="1">
        <v>40781</v>
      </c>
      <c r="B411">
        <v>85.37</v>
      </c>
      <c r="C411">
        <v>3.0158</v>
      </c>
      <c r="D411">
        <v>2.786</v>
      </c>
      <c r="E411" s="2">
        <f t="shared" si="406"/>
        <v>34.859199999999987</v>
      </c>
      <c r="F411" s="2">
        <f t="shared" si="408"/>
        <v>35.052399999999999</v>
      </c>
      <c r="G411" s="2">
        <f t="shared" si="410"/>
        <v>33.56839999999999</v>
      </c>
      <c r="H411" s="2">
        <f t="shared" si="411"/>
        <v>1.6426144723542535E-3</v>
      </c>
      <c r="I411" s="2">
        <f t="shared" ref="I411:J411" si="434">LN(C410)-LN(C409)</f>
        <v>8.1178534424437565E-3</v>
      </c>
      <c r="J411" s="2">
        <f t="shared" si="434"/>
        <v>1.6518594223979166E-2</v>
      </c>
    </row>
    <row r="412" spans="1:10" x14ac:dyDescent="0.45">
      <c r="A412" s="1">
        <v>40784</v>
      </c>
      <c r="B412">
        <v>87.27</v>
      </c>
      <c r="C412">
        <v>3.0173000000000001</v>
      </c>
      <c r="D412">
        <v>2.7694999999999999</v>
      </c>
      <c r="E412" s="2">
        <f t="shared" si="406"/>
        <v>32.5182</v>
      </c>
      <c r="F412" s="2">
        <f t="shared" si="408"/>
        <v>34.859199999999987</v>
      </c>
      <c r="G412" s="2">
        <f t="shared" si="410"/>
        <v>35.052399999999999</v>
      </c>
      <c r="H412" s="2">
        <f t="shared" si="411"/>
        <v>8.2029652458182056E-4</v>
      </c>
      <c r="I412" s="2">
        <f t="shared" ref="I412:J412" si="435">LN(C411)-LN(C410)</f>
        <v>7.5220857254916229E-3</v>
      </c>
      <c r="J412" s="2">
        <f t="shared" si="435"/>
        <v>-5.6195004440307006E-3</v>
      </c>
    </row>
    <row r="413" spans="1:10" x14ac:dyDescent="0.45">
      <c r="A413" s="1">
        <v>40785</v>
      </c>
      <c r="B413">
        <v>88.9</v>
      </c>
      <c r="C413">
        <v>3.0767000000000002</v>
      </c>
      <c r="D413">
        <v>2.8414999999999999</v>
      </c>
      <c r="E413" s="2">
        <f t="shared" si="406"/>
        <v>33.735799999999983</v>
      </c>
      <c r="F413" s="2">
        <f t="shared" si="408"/>
        <v>32.5182</v>
      </c>
      <c r="G413" s="2">
        <f t="shared" si="410"/>
        <v>34.859199999999987</v>
      </c>
      <c r="H413" s="2">
        <f t="shared" si="411"/>
        <v>2.2012010153004802E-2</v>
      </c>
      <c r="I413" s="2">
        <f t="shared" ref="I413:J413" si="436">LN(C412)-LN(C411)</f>
        <v>4.972568102330488E-4</v>
      </c>
      <c r="J413" s="2">
        <f t="shared" si="436"/>
        <v>-5.9400768665927028E-3</v>
      </c>
    </row>
    <row r="414" spans="1:10" x14ac:dyDescent="0.45">
      <c r="A414" s="1">
        <v>40786</v>
      </c>
      <c r="B414">
        <v>88.81</v>
      </c>
      <c r="C414">
        <v>3.0840000000000001</v>
      </c>
      <c r="D414">
        <v>2.8763000000000001</v>
      </c>
      <c r="E414" s="2">
        <f t="shared" si="406"/>
        <v>34.9024</v>
      </c>
      <c r="F414" s="2">
        <f t="shared" si="408"/>
        <v>33.735799999999983</v>
      </c>
      <c r="G414" s="2">
        <f t="shared" si="410"/>
        <v>32.5182</v>
      </c>
      <c r="H414" s="2">
        <f t="shared" si="411"/>
        <v>1.8505381344638749E-2</v>
      </c>
      <c r="I414" s="2">
        <f t="shared" ref="I414:J414" si="437">LN(C413)-LN(C412)</f>
        <v>1.9495202264356415E-2</v>
      </c>
      <c r="J414" s="2">
        <f t="shared" si="437"/>
        <v>2.5665283264017624E-2</v>
      </c>
    </row>
    <row r="415" spans="1:10" x14ac:dyDescent="0.45">
      <c r="A415" s="1">
        <v>40787</v>
      </c>
      <c r="B415">
        <v>88.93</v>
      </c>
      <c r="C415">
        <v>3.0518000000000001</v>
      </c>
      <c r="D415">
        <v>2.8927</v>
      </c>
      <c r="E415" s="2">
        <f t="shared" si="406"/>
        <v>34.790800000000011</v>
      </c>
      <c r="F415" s="2">
        <f t="shared" si="408"/>
        <v>34.9024</v>
      </c>
      <c r="G415" s="2">
        <f t="shared" si="410"/>
        <v>33.735799999999983</v>
      </c>
      <c r="H415" s="2">
        <f t="shared" si="411"/>
        <v>-1.0128862494456214E-3</v>
      </c>
      <c r="I415" s="2">
        <f t="shared" ref="I415:J415" si="438">LN(C414)-LN(C413)</f>
        <v>2.3698616769356473E-3</v>
      </c>
      <c r="J415" s="2">
        <f t="shared" si="438"/>
        <v>1.2172664207501294E-2</v>
      </c>
    </row>
    <row r="416" spans="1:10" x14ac:dyDescent="0.45">
      <c r="A416" s="1">
        <v>40788</v>
      </c>
      <c r="B416">
        <v>86.45</v>
      </c>
      <c r="C416">
        <v>2.9973999999999998</v>
      </c>
      <c r="D416">
        <v>2.8395999999999999</v>
      </c>
      <c r="E416" s="2">
        <f t="shared" si="406"/>
        <v>35.022399999999983</v>
      </c>
      <c r="F416" s="2">
        <f t="shared" si="408"/>
        <v>34.790800000000011</v>
      </c>
      <c r="G416" s="2">
        <f t="shared" si="410"/>
        <v>34.9024</v>
      </c>
      <c r="H416" s="2">
        <f t="shared" si="411"/>
        <v>1.3502871411352757E-3</v>
      </c>
      <c r="I416" s="2">
        <f t="shared" ref="I416:J416" si="439">LN(C415)-LN(C414)</f>
        <v>-1.0495875225585038E-2</v>
      </c>
      <c r="J416" s="2">
        <f t="shared" si="439"/>
        <v>5.6855760716019166E-3</v>
      </c>
    </row>
    <row r="417" spans="1:10" x14ac:dyDescent="0.45">
      <c r="A417" s="1">
        <v>40792</v>
      </c>
      <c r="B417">
        <v>86.02</v>
      </c>
      <c r="C417">
        <v>3.0102000000000002</v>
      </c>
      <c r="D417">
        <v>2.8226</v>
      </c>
      <c r="E417" s="2">
        <f t="shared" si="406"/>
        <v>35.155599999999993</v>
      </c>
      <c r="F417" s="2">
        <f t="shared" si="408"/>
        <v>35.022399999999983</v>
      </c>
      <c r="G417" s="2">
        <f t="shared" si="410"/>
        <v>34.790800000000011</v>
      </c>
      <c r="H417" s="2">
        <f t="shared" si="411"/>
        <v>-2.8283331282248803E-2</v>
      </c>
      <c r="I417" s="2">
        <f t="shared" ref="I417:J417" si="440">LN(C416)-LN(C415)</f>
        <v>-1.7986334246739455E-2</v>
      </c>
      <c r="J417" s="2">
        <f t="shared" si="440"/>
        <v>-1.8527124851048571E-2</v>
      </c>
    </row>
    <row r="418" spans="1:10" x14ac:dyDescent="0.45">
      <c r="A418" s="1">
        <v>40793</v>
      </c>
      <c r="B418">
        <v>89.34</v>
      </c>
      <c r="C418">
        <v>3.0756000000000001</v>
      </c>
      <c r="D418">
        <v>2.9079999999999999</v>
      </c>
      <c r="E418" s="2">
        <f t="shared" si="406"/>
        <v>35.142400000000009</v>
      </c>
      <c r="F418" s="2">
        <f t="shared" si="408"/>
        <v>35.155599999999993</v>
      </c>
      <c r="G418" s="2">
        <f t="shared" si="410"/>
        <v>35.022399999999983</v>
      </c>
      <c r="H418" s="2">
        <f t="shared" si="411"/>
        <v>-4.9863847737094957E-3</v>
      </c>
      <c r="I418" s="2">
        <f t="shared" ref="I418:J418" si="441">LN(C417)-LN(C416)</f>
        <v>4.2612755073665465E-3</v>
      </c>
      <c r="J418" s="2">
        <f t="shared" si="441"/>
        <v>-6.0047511853240643E-3</v>
      </c>
    </row>
    <row r="419" spans="1:10" x14ac:dyDescent="0.45">
      <c r="A419" s="1">
        <v>40794</v>
      </c>
      <c r="B419">
        <v>89.05</v>
      </c>
      <c r="C419">
        <v>3.0442999999999998</v>
      </c>
      <c r="D419">
        <v>2.8852000000000002</v>
      </c>
      <c r="E419" s="2">
        <f t="shared" si="406"/>
        <v>34.355800000000009</v>
      </c>
      <c r="F419" s="2">
        <f t="shared" si="408"/>
        <v>35.142400000000009</v>
      </c>
      <c r="G419" s="2">
        <f t="shared" si="410"/>
        <v>35.155599999999993</v>
      </c>
      <c r="H419" s="2">
        <f t="shared" si="411"/>
        <v>3.7869488568382792E-2</v>
      </c>
      <c r="I419" s="2">
        <f t="shared" ref="I419:J419" si="442">LN(C418)-LN(C417)</f>
        <v>2.1493482439763456E-2</v>
      </c>
      <c r="J419" s="2">
        <f t="shared" si="442"/>
        <v>2.9807113673503416E-2</v>
      </c>
    </row>
    <row r="420" spans="1:10" x14ac:dyDescent="0.45">
      <c r="A420" s="1">
        <v>40795</v>
      </c>
      <c r="B420">
        <v>87.24</v>
      </c>
      <c r="C420">
        <v>2.9857999999999998</v>
      </c>
      <c r="D420">
        <v>2.7709999999999999</v>
      </c>
      <c r="E420" s="2">
        <f t="shared" si="406"/>
        <v>32.149200000000008</v>
      </c>
      <c r="F420" s="2">
        <f t="shared" si="408"/>
        <v>34.355800000000009</v>
      </c>
      <c r="G420" s="2">
        <f t="shared" si="410"/>
        <v>35.142400000000009</v>
      </c>
      <c r="H420" s="2">
        <f t="shared" si="411"/>
        <v>-3.251306188301939E-3</v>
      </c>
      <c r="I420" s="2">
        <f t="shared" ref="I420:J420" si="443">LN(C419)-LN(C418)</f>
        <v>-1.0229014499119726E-2</v>
      </c>
      <c r="J420" s="2">
        <f t="shared" si="443"/>
        <v>-7.8713380238923936E-3</v>
      </c>
    </row>
    <row r="421" spans="1:10" x14ac:dyDescent="0.45">
      <c r="A421" s="1">
        <v>40798</v>
      </c>
      <c r="B421">
        <v>88.19</v>
      </c>
      <c r="C421">
        <v>2.9474999999999998</v>
      </c>
      <c r="D421">
        <v>2.7382</v>
      </c>
      <c r="E421" s="2">
        <f t="shared" si="406"/>
        <v>29.744600000000009</v>
      </c>
      <c r="F421" s="2">
        <f t="shared" si="408"/>
        <v>32.149200000000008</v>
      </c>
      <c r="G421" s="2">
        <f t="shared" si="410"/>
        <v>34.355800000000009</v>
      </c>
      <c r="H421" s="2">
        <f t="shared" si="411"/>
        <v>-2.0535068402242729E-2</v>
      </c>
      <c r="I421" s="2">
        <f t="shared" ref="I421:J421" si="444">LN(C420)-LN(C419)</f>
        <v>-1.9403272039416386E-2</v>
      </c>
      <c r="J421" s="2">
        <f t="shared" si="444"/>
        <v>-4.0385955766539361E-2</v>
      </c>
    </row>
    <row r="422" spans="1:10" x14ac:dyDescent="0.45">
      <c r="A422" s="1">
        <v>40799</v>
      </c>
      <c r="B422">
        <v>90.21</v>
      </c>
      <c r="C422">
        <v>2.9361000000000002</v>
      </c>
      <c r="D422">
        <v>2.7423999999999999</v>
      </c>
      <c r="E422" s="2">
        <f t="shared" si="406"/>
        <v>27.682600000000019</v>
      </c>
      <c r="F422" s="2">
        <f t="shared" si="408"/>
        <v>29.744600000000009</v>
      </c>
      <c r="G422" s="2">
        <f t="shared" si="410"/>
        <v>32.149200000000008</v>
      </c>
      <c r="H422" s="2">
        <f t="shared" si="411"/>
        <v>1.0830636566661056E-2</v>
      </c>
      <c r="I422" s="2">
        <f t="shared" ref="I422:J422" si="445">LN(C421)-LN(C420)</f>
        <v>-1.2910364207963765E-2</v>
      </c>
      <c r="J422" s="2">
        <f t="shared" si="445"/>
        <v>-1.190749566332272E-2</v>
      </c>
    </row>
    <row r="423" spans="1:10" x14ac:dyDescent="0.45">
      <c r="A423" s="1">
        <v>40800</v>
      </c>
      <c r="B423">
        <v>88.91</v>
      </c>
      <c r="C423">
        <v>2.9449999999999998</v>
      </c>
      <c r="D423">
        <v>2.7258</v>
      </c>
      <c r="E423" s="2">
        <f t="shared" si="406"/>
        <v>28.642399999999991</v>
      </c>
      <c r="F423" s="2">
        <f t="shared" si="408"/>
        <v>27.682600000000019</v>
      </c>
      <c r="G423" s="2">
        <f t="shared" si="410"/>
        <v>29.744600000000009</v>
      </c>
      <c r="H423" s="2">
        <f t="shared" si="411"/>
        <v>2.2646707768458008E-2</v>
      </c>
      <c r="I423" s="2">
        <f t="shared" ref="I423:J423" si="446">LN(C422)-LN(C421)</f>
        <v>-3.8751833116423828E-3</v>
      </c>
      <c r="J423" s="2">
        <f t="shared" si="446"/>
        <v>1.5326792038050652E-3</v>
      </c>
    </row>
    <row r="424" spans="1:10" x14ac:dyDescent="0.45">
      <c r="A424" s="1">
        <v>40801</v>
      </c>
      <c r="B424">
        <v>89.4</v>
      </c>
      <c r="C424">
        <v>3.0246</v>
      </c>
      <c r="D424">
        <v>2.7827999999999999</v>
      </c>
      <c r="E424" s="2">
        <f t="shared" si="406"/>
        <v>30.862799999999993</v>
      </c>
      <c r="F424" s="2">
        <f t="shared" si="408"/>
        <v>28.642399999999991</v>
      </c>
      <c r="G424" s="2">
        <f t="shared" si="410"/>
        <v>27.682600000000019</v>
      </c>
      <c r="H424" s="2">
        <f t="shared" si="411"/>
        <v>-1.4515663535499712E-2</v>
      </c>
      <c r="I424" s="2">
        <f t="shared" ref="I424:J424" si="447">LN(C423)-LN(C422)</f>
        <v>3.0266469858035716E-3</v>
      </c>
      <c r="J424" s="2">
        <f t="shared" si="447"/>
        <v>-6.0714864100479549E-3</v>
      </c>
    </row>
    <row r="425" spans="1:10" x14ac:dyDescent="0.45">
      <c r="A425" s="1">
        <v>40802</v>
      </c>
      <c r="B425">
        <v>87.96</v>
      </c>
      <c r="C425">
        <v>3.0089000000000001</v>
      </c>
      <c r="D425">
        <v>2.7841</v>
      </c>
      <c r="E425" s="2">
        <f t="shared" si="406"/>
        <v>32.119400000000006</v>
      </c>
      <c r="F425" s="2">
        <f t="shared" si="408"/>
        <v>30.862799999999993</v>
      </c>
      <c r="G425" s="2">
        <f t="shared" si="410"/>
        <v>28.642399999999991</v>
      </c>
      <c r="H425" s="2">
        <f t="shared" si="411"/>
        <v>5.496060046421114E-3</v>
      </c>
      <c r="I425" s="2">
        <f t="shared" ref="I425:J425" si="448">LN(C424)-LN(C423)</f>
        <v>2.6670034230953155E-2</v>
      </c>
      <c r="J425" s="2">
        <f t="shared" si="448"/>
        <v>2.0695652056073488E-2</v>
      </c>
    </row>
    <row r="426" spans="1:10" x14ac:dyDescent="0.45">
      <c r="A426" s="1">
        <v>40805</v>
      </c>
      <c r="B426">
        <v>85.81</v>
      </c>
      <c r="C426">
        <v>2.9447000000000001</v>
      </c>
      <c r="D426">
        <v>2.6964999999999999</v>
      </c>
      <c r="E426" s="2">
        <f t="shared" si="406"/>
        <v>30.9178</v>
      </c>
      <c r="F426" s="2">
        <f t="shared" si="408"/>
        <v>32.119400000000006</v>
      </c>
      <c r="G426" s="2">
        <f t="shared" si="410"/>
        <v>30.862799999999993</v>
      </c>
      <c r="H426" s="2">
        <f t="shared" si="411"/>
        <v>-1.6238516492908417E-2</v>
      </c>
      <c r="I426" s="2">
        <f t="shared" ref="I426:J426" si="449">LN(C425)-LN(C424)</f>
        <v>-5.2042878712803553E-3</v>
      </c>
      <c r="J426" s="2">
        <f t="shared" si="449"/>
        <v>4.6704629996274782E-4</v>
      </c>
    </row>
    <row r="427" spans="1:10" x14ac:dyDescent="0.45">
      <c r="A427" s="1">
        <v>40806</v>
      </c>
      <c r="B427">
        <v>86.92</v>
      </c>
      <c r="C427">
        <v>2.9615999999999998</v>
      </c>
      <c r="D427">
        <v>2.7014</v>
      </c>
      <c r="E427" s="2">
        <f t="shared" si="406"/>
        <v>30.181600000000003</v>
      </c>
      <c r="F427" s="2">
        <f t="shared" si="408"/>
        <v>30.9178</v>
      </c>
      <c r="G427" s="2">
        <f t="shared" si="410"/>
        <v>32.119400000000006</v>
      </c>
      <c r="H427" s="2">
        <f t="shared" si="411"/>
        <v>-2.4746615867530686E-2</v>
      </c>
      <c r="I427" s="2">
        <f t="shared" ref="I427:J427" si="450">LN(C426)-LN(C425)</f>
        <v>-2.1567619120682391E-2</v>
      </c>
      <c r="J427" s="2">
        <f t="shared" si="450"/>
        <v>-3.1970025572167216E-2</v>
      </c>
    </row>
    <row r="428" spans="1:10" x14ac:dyDescent="0.45">
      <c r="A428" s="1">
        <v>40807</v>
      </c>
      <c r="B428">
        <v>85.92</v>
      </c>
      <c r="C428">
        <v>2.9342000000000001</v>
      </c>
      <c r="D428">
        <v>2.6665000000000001</v>
      </c>
      <c r="E428" s="2">
        <f t="shared" si="406"/>
        <v>29.820800000000002</v>
      </c>
      <c r="F428" s="2">
        <f t="shared" si="408"/>
        <v>30.181600000000003</v>
      </c>
      <c r="G428" s="2">
        <f t="shared" si="410"/>
        <v>30.9178</v>
      </c>
      <c r="H428" s="2">
        <f t="shared" si="411"/>
        <v>1.285260556919976E-2</v>
      </c>
      <c r="I428" s="2">
        <f t="shared" ref="I428:J428" si="451">LN(C427)-LN(C426)</f>
        <v>5.7227184945556342E-3</v>
      </c>
      <c r="J428" s="2">
        <f t="shared" si="451"/>
        <v>1.8155213493820099E-3</v>
      </c>
    </row>
    <row r="429" spans="1:10" x14ac:dyDescent="0.45">
      <c r="A429" s="1">
        <v>40808</v>
      </c>
      <c r="B429">
        <v>80.510000000000005</v>
      </c>
      <c r="C429">
        <v>2.8485</v>
      </c>
      <c r="D429">
        <v>2.5436999999999999</v>
      </c>
      <c r="E429" s="2">
        <f t="shared" si="406"/>
        <v>30.592599999999987</v>
      </c>
      <c r="F429" s="2">
        <f t="shared" si="408"/>
        <v>29.820800000000002</v>
      </c>
      <c r="G429" s="2">
        <f t="shared" si="410"/>
        <v>30.181600000000003</v>
      </c>
      <c r="H429" s="2">
        <f t="shared" si="411"/>
        <v>-1.1571524627674634E-2</v>
      </c>
      <c r="I429" s="2">
        <f t="shared" ref="I429:J429" si="452">LN(C428)-LN(C427)</f>
        <v>-9.2948191136894565E-3</v>
      </c>
      <c r="J429" s="2">
        <f t="shared" si="452"/>
        <v>-1.3003406086006808E-2</v>
      </c>
    </row>
    <row r="430" spans="1:10" x14ac:dyDescent="0.45">
      <c r="A430" s="1">
        <v>40809</v>
      </c>
      <c r="B430">
        <v>79.849999999999994</v>
      </c>
      <c r="C430">
        <v>2.8058999999999998</v>
      </c>
      <c r="D430">
        <v>2.5244</v>
      </c>
      <c r="E430" s="2">
        <f t="shared" si="406"/>
        <v>30.115800000000007</v>
      </c>
      <c r="F430" s="2">
        <f t="shared" si="408"/>
        <v>30.592599999999987</v>
      </c>
      <c r="G430" s="2">
        <f t="shared" si="410"/>
        <v>29.820800000000002</v>
      </c>
      <c r="H430" s="2">
        <f t="shared" si="411"/>
        <v>-6.5035230448665438E-2</v>
      </c>
      <c r="I430" s="2">
        <f t="shared" ref="I430:J430" si="453">LN(C429)-LN(C428)</f>
        <v>-2.9642303785093471E-2</v>
      </c>
      <c r="J430" s="2">
        <f t="shared" si="453"/>
        <v>-4.7147037062589936E-2</v>
      </c>
    </row>
    <row r="431" spans="1:10" x14ac:dyDescent="0.45">
      <c r="A431" s="1">
        <v>40812</v>
      </c>
      <c r="B431">
        <v>80.239999999999995</v>
      </c>
      <c r="C431">
        <v>2.8029999999999999</v>
      </c>
      <c r="D431">
        <v>2.5284</v>
      </c>
      <c r="E431" s="2">
        <f t="shared" si="406"/>
        <v>29.797200000000014</v>
      </c>
      <c r="F431" s="2">
        <f t="shared" si="408"/>
        <v>30.115800000000007</v>
      </c>
      <c r="G431" s="2">
        <f t="shared" si="410"/>
        <v>30.592599999999987</v>
      </c>
      <c r="H431" s="2">
        <f t="shared" si="411"/>
        <v>-8.2315256508680434E-3</v>
      </c>
      <c r="I431" s="2">
        <f t="shared" ref="I431:J431" si="454">LN(C430)-LN(C429)</f>
        <v>-1.5068196811835133E-2</v>
      </c>
      <c r="J431" s="2">
        <f t="shared" si="454"/>
        <v>-7.6163032679824605E-3</v>
      </c>
    </row>
    <row r="432" spans="1:10" x14ac:dyDescent="0.45">
      <c r="A432" s="1">
        <v>40813</v>
      </c>
      <c r="B432">
        <v>84.45</v>
      </c>
      <c r="C432">
        <v>2.8856999999999999</v>
      </c>
      <c r="D432">
        <v>2.6360000000000001</v>
      </c>
      <c r="E432" s="2">
        <f t="shared" si="406"/>
        <v>29.757799999999992</v>
      </c>
      <c r="F432" s="2">
        <f t="shared" si="408"/>
        <v>29.797200000000014</v>
      </c>
      <c r="G432" s="2">
        <f t="shared" si="410"/>
        <v>30.115800000000007</v>
      </c>
      <c r="H432" s="2">
        <f t="shared" si="411"/>
        <v>4.8722689926590235E-3</v>
      </c>
      <c r="I432" s="2">
        <f t="shared" ref="I432:J432" si="455">LN(C431)-LN(C430)</f>
        <v>-1.0340709438267925E-3</v>
      </c>
      <c r="J432" s="2">
        <f t="shared" si="455"/>
        <v>1.5832808880591465E-3</v>
      </c>
    </row>
    <row r="433" spans="1:10" x14ac:dyDescent="0.45">
      <c r="A433" s="1">
        <v>40814</v>
      </c>
      <c r="B433">
        <v>81.209999999999994</v>
      </c>
      <c r="C433">
        <v>2.8271000000000002</v>
      </c>
      <c r="D433">
        <v>2.5752999999999999</v>
      </c>
      <c r="E433" s="2">
        <f t="shared" si="406"/>
        <v>30.477800000000002</v>
      </c>
      <c r="F433" s="2">
        <f t="shared" si="408"/>
        <v>29.757799999999992</v>
      </c>
      <c r="G433" s="2">
        <f t="shared" si="410"/>
        <v>29.797200000000014</v>
      </c>
      <c r="H433" s="2">
        <f t="shared" si="411"/>
        <v>5.1137499600129033E-2</v>
      </c>
      <c r="I433" s="2">
        <f t="shared" ref="I433:J433" si="456">LN(C432)-LN(C431)</f>
        <v>2.9077232661891328E-2</v>
      </c>
      <c r="J433" s="2">
        <f t="shared" si="456"/>
        <v>4.1675925024254212E-2</v>
      </c>
    </row>
    <row r="434" spans="1:10" x14ac:dyDescent="0.45">
      <c r="A434" s="1">
        <v>40815</v>
      </c>
      <c r="B434">
        <v>82.14</v>
      </c>
      <c r="C434">
        <v>2.8266</v>
      </c>
      <c r="D434">
        <v>2.5586000000000002</v>
      </c>
      <c r="E434" s="2">
        <f t="shared" si="406"/>
        <v>29.073200000000003</v>
      </c>
      <c r="F434" s="2">
        <f t="shared" si="408"/>
        <v>30.477800000000002</v>
      </c>
      <c r="G434" s="2">
        <f t="shared" si="410"/>
        <v>29.757799999999992</v>
      </c>
      <c r="H434" s="2">
        <f t="shared" si="411"/>
        <v>-3.9121250959490261E-2</v>
      </c>
      <c r="I434" s="2">
        <f t="shared" ref="I434:J434" si="457">LN(C433)-LN(C432)</f>
        <v>-2.0516053571581372E-2</v>
      </c>
      <c r="J434" s="2">
        <f t="shared" si="457"/>
        <v>-2.3296584456355962E-2</v>
      </c>
    </row>
    <row r="435" spans="1:10" x14ac:dyDescent="0.45">
      <c r="A435" s="1">
        <v>40816</v>
      </c>
      <c r="B435">
        <v>79.2</v>
      </c>
      <c r="C435">
        <v>2.7793000000000001</v>
      </c>
      <c r="D435">
        <v>2.5381</v>
      </c>
      <c r="E435" s="2">
        <f t="shared" si="406"/>
        <v>30.777000000000005</v>
      </c>
      <c r="F435" s="2">
        <f t="shared" si="408"/>
        <v>29.073200000000003</v>
      </c>
      <c r="G435" s="2">
        <f t="shared" si="410"/>
        <v>30.477800000000002</v>
      </c>
      <c r="H435" s="2">
        <f t="shared" si="411"/>
        <v>1.1386716234093264E-2</v>
      </c>
      <c r="I435" s="2">
        <f t="shared" ref="I435:J435" si="458">LN(C434)-LN(C433)</f>
        <v>-1.7687532104782022E-4</v>
      </c>
      <c r="J435" s="2">
        <f t="shared" si="458"/>
        <v>-6.5057982831072669E-3</v>
      </c>
    </row>
    <row r="436" spans="1:10" x14ac:dyDescent="0.45">
      <c r="A436" s="1">
        <v>40819</v>
      </c>
      <c r="B436">
        <v>77.61</v>
      </c>
      <c r="C436">
        <v>2.7528999999999999</v>
      </c>
      <c r="D436">
        <v>2.5110000000000001</v>
      </c>
      <c r="E436" s="2">
        <f t="shared" si="406"/>
        <v>31.238600000000002</v>
      </c>
      <c r="F436" s="2">
        <f t="shared" si="408"/>
        <v>30.777000000000005</v>
      </c>
      <c r="G436" s="2">
        <f t="shared" si="410"/>
        <v>29.073200000000003</v>
      </c>
      <c r="H436" s="2">
        <f t="shared" si="411"/>
        <v>-3.6448809708032215E-2</v>
      </c>
      <c r="I436" s="2">
        <f t="shared" ref="I436:J436" si="459">LN(C435)-LN(C434)</f>
        <v>-1.687547851709903E-2</v>
      </c>
      <c r="J436" s="2">
        <f t="shared" si="459"/>
        <v>-8.0444642815737932E-3</v>
      </c>
    </row>
    <row r="437" spans="1:10" x14ac:dyDescent="0.45">
      <c r="A437" s="1">
        <v>40820</v>
      </c>
      <c r="B437">
        <v>75.67</v>
      </c>
      <c r="C437">
        <v>2.7233999999999998</v>
      </c>
      <c r="D437">
        <v>2.4883999999999999</v>
      </c>
      <c r="E437" s="2">
        <f t="shared" si="406"/>
        <v>32.132799999999996</v>
      </c>
      <c r="F437" s="2">
        <f t="shared" si="408"/>
        <v>31.238600000000002</v>
      </c>
      <c r="G437" s="2">
        <f t="shared" si="410"/>
        <v>30.777000000000005</v>
      </c>
      <c r="H437" s="2">
        <f t="shared" si="411"/>
        <v>-2.0280013954332432E-2</v>
      </c>
      <c r="I437" s="2">
        <f t="shared" ref="I437:J437" si="460">LN(C436)-LN(C435)</f>
        <v>-9.5441959442477131E-3</v>
      </c>
      <c r="J437" s="2">
        <f t="shared" si="460"/>
        <v>-1.0734689443775758E-2</v>
      </c>
    </row>
    <row r="438" spans="1:10" x14ac:dyDescent="0.45">
      <c r="A438" s="1">
        <v>40821</v>
      </c>
      <c r="B438">
        <v>79.680000000000007</v>
      </c>
      <c r="C438">
        <v>2.7766000000000002</v>
      </c>
      <c r="D438">
        <v>2.5691999999999999</v>
      </c>
      <c r="E438" s="2">
        <f t="shared" si="406"/>
        <v>31.129999999999995</v>
      </c>
      <c r="F438" s="2">
        <f t="shared" si="408"/>
        <v>32.132799999999996</v>
      </c>
      <c r="G438" s="2">
        <f t="shared" si="410"/>
        <v>31.238600000000002</v>
      </c>
      <c r="H438" s="2">
        <f t="shared" si="411"/>
        <v>-2.5314504159617002E-2</v>
      </c>
      <c r="I438" s="2">
        <f t="shared" ref="I438:J438" si="461">LN(C437)-LN(C436)</f>
        <v>-1.0773801782228754E-2</v>
      </c>
      <c r="J438" s="2">
        <f t="shared" si="461"/>
        <v>-9.0411465167203886E-3</v>
      </c>
    </row>
    <row r="439" spans="1:10" x14ac:dyDescent="0.45">
      <c r="A439" s="1">
        <v>40822</v>
      </c>
      <c r="B439">
        <v>82.59</v>
      </c>
      <c r="C439">
        <v>2.8611</v>
      </c>
      <c r="D439">
        <v>2.6859999999999999</v>
      </c>
      <c r="E439" s="2">
        <f t="shared" si="406"/>
        <v>32.673400000000008</v>
      </c>
      <c r="F439" s="2">
        <f t="shared" si="408"/>
        <v>31.129999999999995</v>
      </c>
      <c r="G439" s="2">
        <f t="shared" si="410"/>
        <v>32.132799999999996</v>
      </c>
      <c r="H439" s="2">
        <f t="shared" si="411"/>
        <v>5.1636832569911917E-2</v>
      </c>
      <c r="I439" s="2">
        <f t="shared" ref="I439:J439" si="462">LN(C438)-LN(C437)</f>
        <v>1.9346057910227143E-2</v>
      </c>
      <c r="J439" s="2">
        <f t="shared" si="462"/>
        <v>3.195463274277266E-2</v>
      </c>
    </row>
    <row r="440" spans="1:10" x14ac:dyDescent="0.45">
      <c r="A440" s="1">
        <v>40823</v>
      </c>
      <c r="B440">
        <v>82.98</v>
      </c>
      <c r="C440">
        <v>2.8588</v>
      </c>
      <c r="D440">
        <v>2.6476000000000002</v>
      </c>
      <c r="E440" s="2">
        <f t="shared" si="406"/>
        <v>31.176000000000005</v>
      </c>
      <c r="F440" s="2">
        <f t="shared" si="408"/>
        <v>32.673400000000008</v>
      </c>
      <c r="G440" s="2">
        <f t="shared" si="410"/>
        <v>31.129999999999995</v>
      </c>
      <c r="H440" s="2">
        <f t="shared" si="411"/>
        <v>3.5869994546283479E-2</v>
      </c>
      <c r="I440" s="2">
        <f t="shared" ref="I440:J440" si="463">LN(C439)-LN(C438)</f>
        <v>2.997900865227443E-2</v>
      </c>
      <c r="J440" s="2">
        <f t="shared" si="463"/>
        <v>4.44585316995455E-2</v>
      </c>
    </row>
    <row r="441" spans="1:10" x14ac:dyDescent="0.45">
      <c r="A441" s="1">
        <v>40826</v>
      </c>
      <c r="B441">
        <v>85.41</v>
      </c>
      <c r="C441">
        <v>2.9039000000000001</v>
      </c>
      <c r="D441">
        <v>2.6953</v>
      </c>
      <c r="E441" s="2">
        <f t="shared" si="406"/>
        <v>30.713000000000005</v>
      </c>
      <c r="F441" s="2">
        <f t="shared" si="408"/>
        <v>31.176000000000005</v>
      </c>
      <c r="G441" s="2">
        <f t="shared" si="410"/>
        <v>32.673400000000008</v>
      </c>
      <c r="H441" s="2">
        <f t="shared" si="411"/>
        <v>4.7110070820961525E-3</v>
      </c>
      <c r="I441" s="2">
        <f t="shared" ref="I441:J441" si="464">LN(C440)-LN(C439)</f>
        <v>-8.0420990715257545E-4</v>
      </c>
      <c r="J441" s="2">
        <f t="shared" si="464"/>
        <v>-1.439952883841511E-2</v>
      </c>
    </row>
    <row r="442" spans="1:10" x14ac:dyDescent="0.45">
      <c r="A442" s="1">
        <v>40827</v>
      </c>
      <c r="B442">
        <v>85.81</v>
      </c>
      <c r="C442">
        <v>2.9041000000000001</v>
      </c>
      <c r="D442">
        <v>2.7475999999999998</v>
      </c>
      <c r="E442" s="2">
        <f t="shared" si="406"/>
        <v>31.780199999999997</v>
      </c>
      <c r="F442" s="2">
        <f t="shared" si="408"/>
        <v>30.713000000000005</v>
      </c>
      <c r="G442" s="2">
        <f t="shared" si="410"/>
        <v>31.176000000000005</v>
      </c>
      <c r="H442" s="2">
        <f t="shared" si="411"/>
        <v>2.8863575053333257E-2</v>
      </c>
      <c r="I442" s="2">
        <f t="shared" ref="I442:J442" si="465">LN(C441)-LN(C440)</f>
        <v>1.5652704744247625E-2</v>
      </c>
      <c r="J442" s="2">
        <f t="shared" si="465"/>
        <v>1.7855946157198432E-2</v>
      </c>
    </row>
    <row r="443" spans="1:10" x14ac:dyDescent="0.45">
      <c r="A443" s="1">
        <v>40828</v>
      </c>
      <c r="B443">
        <v>85.57</v>
      </c>
      <c r="C443">
        <v>2.9346999999999999</v>
      </c>
      <c r="D443">
        <v>2.7486999999999999</v>
      </c>
      <c r="E443" s="2">
        <f t="shared" si="406"/>
        <v>32.479399999999998</v>
      </c>
      <c r="F443" s="2">
        <f t="shared" si="408"/>
        <v>31.780199999999997</v>
      </c>
      <c r="G443" s="2">
        <f t="shared" si="410"/>
        <v>30.713000000000005</v>
      </c>
      <c r="H443" s="2">
        <f t="shared" si="411"/>
        <v>4.6723598609741401E-3</v>
      </c>
      <c r="I443" s="2">
        <f t="shared" ref="I443:J443" si="466">LN(C442)-LN(C441)</f>
        <v>6.8870523443287368E-5</v>
      </c>
      <c r="J443" s="2">
        <f t="shared" si="466"/>
        <v>1.921828793776037E-2</v>
      </c>
    </row>
    <row r="444" spans="1:10" x14ac:dyDescent="0.45">
      <c r="A444" s="1">
        <v>40829</v>
      </c>
      <c r="B444">
        <v>84.23</v>
      </c>
      <c r="C444">
        <v>2.9714</v>
      </c>
      <c r="D444">
        <v>2.7574999999999998</v>
      </c>
      <c r="E444" s="2">
        <f t="shared" si="406"/>
        <v>34.579600000000006</v>
      </c>
      <c r="F444" s="2">
        <f t="shared" si="408"/>
        <v>32.479399999999998</v>
      </c>
      <c r="G444" s="2">
        <f t="shared" si="410"/>
        <v>31.780199999999997</v>
      </c>
      <c r="H444" s="2">
        <f t="shared" si="411"/>
        <v>-2.8007953890663018E-3</v>
      </c>
      <c r="I444" s="2">
        <f t="shared" ref="I444:J444" si="467">LN(C443)-LN(C442)</f>
        <v>1.0481701773642049E-2</v>
      </c>
      <c r="J444" s="2">
        <f t="shared" si="467"/>
        <v>4.0026927739988949E-4</v>
      </c>
    </row>
    <row r="445" spans="1:10" x14ac:dyDescent="0.45">
      <c r="A445" s="1">
        <v>40830</v>
      </c>
      <c r="B445">
        <v>86.8</v>
      </c>
      <c r="C445">
        <v>3.0558000000000001</v>
      </c>
      <c r="D445">
        <v>2.8247</v>
      </c>
      <c r="E445" s="2">
        <f t="shared" si="406"/>
        <v>35.072800000000008</v>
      </c>
      <c r="F445" s="2">
        <f t="shared" si="408"/>
        <v>34.579600000000006</v>
      </c>
      <c r="G445" s="2">
        <f t="shared" si="410"/>
        <v>32.479399999999998</v>
      </c>
      <c r="H445" s="2">
        <f t="shared" si="411"/>
        <v>-1.5783602102691141E-2</v>
      </c>
      <c r="I445" s="2">
        <f t="shared" ref="I445:J445" si="468">LN(C444)-LN(C443)</f>
        <v>1.2427988816095636E-2</v>
      </c>
      <c r="J445" s="2">
        <f t="shared" si="468"/>
        <v>3.1963995105310783E-3</v>
      </c>
    </row>
    <row r="446" spans="1:10" x14ac:dyDescent="0.45">
      <c r="A446" s="1">
        <v>40833</v>
      </c>
      <c r="B446">
        <v>86.38</v>
      </c>
      <c r="C446">
        <v>3.0135999999999998</v>
      </c>
      <c r="D446">
        <v>2.7429000000000001</v>
      </c>
      <c r="E446" s="2">
        <f t="shared" si="406"/>
        <v>32.61160000000001</v>
      </c>
      <c r="F446" s="2">
        <f t="shared" si="408"/>
        <v>35.072800000000008</v>
      </c>
      <c r="G446" s="2">
        <f t="shared" si="410"/>
        <v>34.579600000000006</v>
      </c>
      <c r="H446" s="2">
        <f t="shared" si="411"/>
        <v>3.005546933903247E-2</v>
      </c>
      <c r="I446" s="2">
        <f t="shared" ref="I446:J446" si="469">LN(C445)-LN(C444)</f>
        <v>2.8008201915361575E-2</v>
      </c>
      <c r="J446" s="2">
        <f t="shared" si="469"/>
        <v>2.4077692123563033E-2</v>
      </c>
    </row>
    <row r="447" spans="1:10" x14ac:dyDescent="0.45">
      <c r="A447" s="1">
        <v>40834</v>
      </c>
      <c r="B447">
        <v>88.53</v>
      </c>
      <c r="C447">
        <v>3.0276999999999998</v>
      </c>
      <c r="D447">
        <v>2.7469000000000001</v>
      </c>
      <c r="E447" s="2">
        <f t="shared" si="406"/>
        <v>30.770999999999997</v>
      </c>
      <c r="F447" s="2">
        <f t="shared" si="408"/>
        <v>32.61160000000001</v>
      </c>
      <c r="G447" s="2">
        <f t="shared" si="410"/>
        <v>35.072800000000008</v>
      </c>
      <c r="H447" s="2">
        <f t="shared" si="411"/>
        <v>-4.8504541337495155E-3</v>
      </c>
      <c r="I447" s="2">
        <f t="shared" ref="I447:J447" si="470">LN(C446)-LN(C445)</f>
        <v>-1.3906046740782774E-2</v>
      </c>
      <c r="J447" s="2">
        <f t="shared" si="470"/>
        <v>-2.9386409412729853E-2</v>
      </c>
    </row>
    <row r="448" spans="1:10" x14ac:dyDescent="0.45">
      <c r="A448" s="1">
        <v>40835</v>
      </c>
      <c r="B448">
        <v>86.29</v>
      </c>
      <c r="C448">
        <v>2.9811999999999999</v>
      </c>
      <c r="D448">
        <v>2.6715</v>
      </c>
      <c r="E448" s="2">
        <f t="shared" si="406"/>
        <v>30.248799999999999</v>
      </c>
      <c r="F448" s="2">
        <f t="shared" si="408"/>
        <v>30.770999999999997</v>
      </c>
      <c r="G448" s="2">
        <f t="shared" si="410"/>
        <v>32.61160000000001</v>
      </c>
      <c r="H448" s="2">
        <f t="shared" si="411"/>
        <v>2.4585310090402324E-2</v>
      </c>
      <c r="I448" s="2">
        <f t="shared" ref="I448:J448" si="471">LN(C447)-LN(C446)</f>
        <v>4.6678779740008114E-3</v>
      </c>
      <c r="J448" s="2">
        <f t="shared" si="471"/>
        <v>1.4572482450569968E-3</v>
      </c>
    </row>
    <row r="449" spans="1:10" x14ac:dyDescent="0.45">
      <c r="A449" s="1">
        <v>40836</v>
      </c>
      <c r="B449">
        <v>86.07</v>
      </c>
      <c r="C449">
        <v>3.0266000000000002</v>
      </c>
      <c r="D449">
        <v>2.657</v>
      </c>
      <c r="E449" s="2">
        <f t="shared" si="406"/>
        <v>30.69840000000001</v>
      </c>
      <c r="F449" s="2">
        <f t="shared" si="408"/>
        <v>30.248799999999999</v>
      </c>
      <c r="G449" s="2">
        <f t="shared" si="410"/>
        <v>30.770999999999997</v>
      </c>
      <c r="H449" s="2">
        <f t="shared" si="411"/>
        <v>-2.5627761102740898E-2</v>
      </c>
      <c r="I449" s="2">
        <f t="shared" ref="I449:J449" si="472">LN(C448)-LN(C447)</f>
        <v>-1.54773513442934E-2</v>
      </c>
      <c r="J449" s="2">
        <f t="shared" si="472"/>
        <v>-2.7832890685721701E-2</v>
      </c>
    </row>
    <row r="450" spans="1:10" x14ac:dyDescent="0.45">
      <c r="A450" s="1">
        <v>40837</v>
      </c>
      <c r="B450">
        <v>87.4</v>
      </c>
      <c r="C450">
        <v>3.0158999999999998</v>
      </c>
      <c r="D450">
        <v>2.6581999999999999</v>
      </c>
      <c r="E450" s="2">
        <f t="shared" si="406"/>
        <v>29.252199999999977</v>
      </c>
      <c r="F450" s="2">
        <f t="shared" si="408"/>
        <v>30.69840000000001</v>
      </c>
      <c r="G450" s="2">
        <f t="shared" si="410"/>
        <v>30.248799999999999</v>
      </c>
      <c r="H450" s="2">
        <f t="shared" si="411"/>
        <v>-2.5527978588337774E-3</v>
      </c>
      <c r="I450" s="2">
        <f t="shared" ref="I450:J450" si="473">LN(C449)-LN(C448)</f>
        <v>1.5113973245387102E-2</v>
      </c>
      <c r="J450" s="2">
        <f t="shared" si="473"/>
        <v>-5.4424456380124386E-3</v>
      </c>
    </row>
    <row r="451" spans="1:10" x14ac:dyDescent="0.45">
      <c r="A451" s="1">
        <v>40840</v>
      </c>
      <c r="B451">
        <v>91.27</v>
      </c>
      <c r="C451">
        <v>3.0541999999999998</v>
      </c>
      <c r="D451">
        <v>2.6703000000000001</v>
      </c>
      <c r="E451" s="2">
        <f t="shared" ref="E451:E514" si="474">(2*D451*42+1*C451*42-3*B451)/3</f>
        <v>26.257199999999994</v>
      </c>
      <c r="F451" s="2">
        <f t="shared" si="408"/>
        <v>29.252199999999977</v>
      </c>
      <c r="G451" s="2">
        <f t="shared" si="410"/>
        <v>30.69840000000001</v>
      </c>
      <c r="H451" s="2">
        <f t="shared" si="411"/>
        <v>1.5334364000106682E-2</v>
      </c>
      <c r="I451" s="2">
        <f t="shared" ref="I451:J451" si="475">LN(C450)-LN(C449)</f>
        <v>-3.5415841734418585E-3</v>
      </c>
      <c r="J451" s="2">
        <f t="shared" si="475"/>
        <v>4.5153522741880892E-4</v>
      </c>
    </row>
    <row r="452" spans="1:10" x14ac:dyDescent="0.45">
      <c r="A452" s="1">
        <v>40841</v>
      </c>
      <c r="B452">
        <v>93.17</v>
      </c>
      <c r="C452">
        <v>3.0512000000000001</v>
      </c>
      <c r="D452">
        <v>2.6747000000000001</v>
      </c>
      <c r="E452" s="2">
        <f t="shared" si="474"/>
        <v>24.438400000000001</v>
      </c>
      <c r="F452" s="2">
        <f t="shared" ref="F452:F515" si="476">E451</f>
        <v>26.257199999999994</v>
      </c>
      <c r="G452" s="2">
        <f t="shared" si="410"/>
        <v>29.252199999999977</v>
      </c>
      <c r="H452" s="2">
        <f t="shared" si="411"/>
        <v>4.3326863867296339E-2</v>
      </c>
      <c r="I452" s="2">
        <f t="shared" ref="I452:J452" si="477">LN(C451)-LN(C450)</f>
        <v>1.2619399439597112E-2</v>
      </c>
      <c r="J452" s="2">
        <f t="shared" si="477"/>
        <v>4.5416236457631598E-3</v>
      </c>
    </row>
    <row r="453" spans="1:10" x14ac:dyDescent="0.45">
      <c r="A453" s="1">
        <v>40842</v>
      </c>
      <c r="B453">
        <v>90.2</v>
      </c>
      <c r="C453">
        <v>3.0209999999999999</v>
      </c>
      <c r="D453">
        <v>2.6253000000000002</v>
      </c>
      <c r="E453" s="2">
        <f t="shared" si="474"/>
        <v>25.602399999999989</v>
      </c>
      <c r="F453" s="2">
        <f t="shared" si="476"/>
        <v>24.438400000000001</v>
      </c>
      <c r="G453" s="2">
        <f t="shared" ref="G453:G516" si="478">E451</f>
        <v>26.257199999999994</v>
      </c>
      <c r="H453" s="2">
        <f t="shared" ref="H453:H516" si="479">LN(B452)-LN(B451)</f>
        <v>2.0603634933547887E-2</v>
      </c>
      <c r="I453" s="2">
        <f t="shared" ref="I453:J453" si="480">LN(C452)-LN(C451)</f>
        <v>-9.8273667292647637E-4</v>
      </c>
      <c r="J453" s="2">
        <f t="shared" si="480"/>
        <v>1.6463988751720393E-3</v>
      </c>
    </row>
    <row r="454" spans="1:10" x14ac:dyDescent="0.45">
      <c r="A454" s="1">
        <v>40843</v>
      </c>
      <c r="B454">
        <v>93.96</v>
      </c>
      <c r="C454">
        <v>3.1036999999999999</v>
      </c>
      <c r="D454">
        <v>2.7071999999999998</v>
      </c>
      <c r="E454" s="2">
        <f t="shared" si="474"/>
        <v>25.293400000000002</v>
      </c>
      <c r="F454" s="2">
        <f t="shared" si="476"/>
        <v>25.602399999999989</v>
      </c>
      <c r="G454" s="2">
        <f t="shared" si="478"/>
        <v>24.438400000000001</v>
      </c>
      <c r="H454" s="2">
        <f t="shared" si="479"/>
        <v>-3.2396354393755544E-2</v>
      </c>
      <c r="I454" s="2">
        <f t="shared" ref="I454:J454" si="481">LN(C453)-LN(C452)</f>
        <v>-9.9470534594825466E-3</v>
      </c>
      <c r="J454" s="2">
        <f t="shared" si="481"/>
        <v>-1.8642049298272401E-2</v>
      </c>
    </row>
    <row r="455" spans="1:10" x14ac:dyDescent="0.45">
      <c r="A455" s="1">
        <v>40844</v>
      </c>
      <c r="B455">
        <v>93.32</v>
      </c>
      <c r="C455">
        <v>3.0663999999999998</v>
      </c>
      <c r="D455">
        <v>2.6461000000000001</v>
      </c>
      <c r="E455" s="2">
        <f t="shared" si="474"/>
        <v>23.700400000000002</v>
      </c>
      <c r="F455" s="2">
        <f t="shared" si="476"/>
        <v>25.293400000000002</v>
      </c>
      <c r="G455" s="2">
        <f t="shared" si="478"/>
        <v>25.602399999999989</v>
      </c>
      <c r="H455" s="2">
        <f t="shared" si="479"/>
        <v>4.0839732722133704E-2</v>
      </c>
      <c r="I455" s="2">
        <f t="shared" ref="I455:J455" si="482">LN(C454)-LN(C453)</f>
        <v>2.7007045761038739E-2</v>
      </c>
      <c r="J455" s="2">
        <f t="shared" si="482"/>
        <v>3.071971520200889E-2</v>
      </c>
    </row>
    <row r="456" spans="1:10" x14ac:dyDescent="0.45">
      <c r="A456" s="1">
        <v>40847</v>
      </c>
      <c r="B456">
        <v>93.19</v>
      </c>
      <c r="C456">
        <v>3.0583</v>
      </c>
      <c r="D456">
        <v>2.6057000000000001</v>
      </c>
      <c r="E456" s="2">
        <f t="shared" si="474"/>
        <v>22.585800000000006</v>
      </c>
      <c r="F456" s="2">
        <f t="shared" si="476"/>
        <v>23.700400000000002</v>
      </c>
      <c r="G456" s="2">
        <f t="shared" si="478"/>
        <v>25.293400000000002</v>
      </c>
      <c r="H456" s="2">
        <f t="shared" si="479"/>
        <v>-6.8347126374828093E-3</v>
      </c>
      <c r="I456" s="2">
        <f t="shared" ref="I456:J456" si="483">LN(C455)-LN(C454)</f>
        <v>-1.2090713081365445E-2</v>
      </c>
      <c r="J456" s="2">
        <f t="shared" si="483"/>
        <v>-2.2828032556200695E-2</v>
      </c>
    </row>
    <row r="457" spans="1:10" x14ac:dyDescent="0.45">
      <c r="A457" s="1">
        <v>40848</v>
      </c>
      <c r="B457">
        <v>92.19</v>
      </c>
      <c r="C457">
        <v>3.0379</v>
      </c>
      <c r="D457">
        <v>2.6244000000000001</v>
      </c>
      <c r="E457" s="2">
        <f t="shared" si="474"/>
        <v>23.823800000000006</v>
      </c>
      <c r="F457" s="2">
        <f t="shared" si="476"/>
        <v>22.585800000000006</v>
      </c>
      <c r="G457" s="2">
        <f t="shared" si="478"/>
        <v>23.700400000000002</v>
      </c>
      <c r="H457" s="2">
        <f t="shared" si="479"/>
        <v>-1.3940273556647398E-3</v>
      </c>
      <c r="I457" s="2">
        <f t="shared" ref="I457:J457" si="484">LN(C456)-LN(C455)</f>
        <v>-2.6450290536417231E-3</v>
      </c>
      <c r="J457" s="2">
        <f t="shared" si="484"/>
        <v>-1.5385504753863244E-2</v>
      </c>
    </row>
    <row r="458" spans="1:10" x14ac:dyDescent="0.45">
      <c r="A458" s="1">
        <v>40849</v>
      </c>
      <c r="B458">
        <v>92.51</v>
      </c>
      <c r="C458">
        <v>3.0007000000000001</v>
      </c>
      <c r="D458">
        <v>2.6272000000000002</v>
      </c>
      <c r="E458" s="2">
        <f t="shared" si="474"/>
        <v>23.061399999999992</v>
      </c>
      <c r="F458" s="2">
        <f t="shared" si="476"/>
        <v>23.823800000000006</v>
      </c>
      <c r="G458" s="2">
        <f t="shared" si="478"/>
        <v>22.585800000000006</v>
      </c>
      <c r="H458" s="2">
        <f t="shared" si="479"/>
        <v>-1.0788754987061111E-2</v>
      </c>
      <c r="I458" s="2">
        <f t="shared" ref="I458:J458" si="485">LN(C457)-LN(C456)</f>
        <v>-6.6927187911052233E-3</v>
      </c>
      <c r="J458" s="2">
        <f t="shared" si="485"/>
        <v>7.1509453688823887E-3</v>
      </c>
    </row>
    <row r="459" spans="1:10" x14ac:dyDescent="0.45">
      <c r="A459" s="1">
        <v>40850</v>
      </c>
      <c r="B459">
        <v>94.07</v>
      </c>
      <c r="C459">
        <v>3.0381</v>
      </c>
      <c r="D459">
        <v>2.6417999999999999</v>
      </c>
      <c r="E459" s="2">
        <f t="shared" si="474"/>
        <v>22.433800000000002</v>
      </c>
      <c r="F459" s="2">
        <f t="shared" si="476"/>
        <v>23.061399999999992</v>
      </c>
      <c r="G459" s="2">
        <f t="shared" si="478"/>
        <v>23.823800000000006</v>
      </c>
      <c r="H459" s="2">
        <f t="shared" si="479"/>
        <v>3.4650819727239934E-3</v>
      </c>
      <c r="I459" s="2">
        <f t="shared" ref="I459:J459" si="486">LN(C458)-LN(C457)</f>
        <v>-1.2320892456006538E-2</v>
      </c>
      <c r="J459" s="2">
        <f t="shared" si="486"/>
        <v>1.0663417873866265E-3</v>
      </c>
    </row>
    <row r="460" spans="1:10" x14ac:dyDescent="0.45">
      <c r="A460" s="1">
        <v>40851</v>
      </c>
      <c r="B460">
        <v>94.26</v>
      </c>
      <c r="C460">
        <v>3.0707</v>
      </c>
      <c r="D460">
        <v>2.6634000000000002</v>
      </c>
      <c r="E460" s="2">
        <f t="shared" si="474"/>
        <v>23.305000000000007</v>
      </c>
      <c r="F460" s="2">
        <f t="shared" si="476"/>
        <v>22.433800000000002</v>
      </c>
      <c r="G460" s="2">
        <f t="shared" si="478"/>
        <v>23.061399999999992</v>
      </c>
      <c r="H460" s="2">
        <f t="shared" si="479"/>
        <v>1.6722439200632877E-2</v>
      </c>
      <c r="I460" s="2">
        <f t="shared" ref="I460:J460" si="487">LN(C459)-LN(C458)</f>
        <v>1.2386725240757235E-2</v>
      </c>
      <c r="J460" s="2">
        <f t="shared" si="487"/>
        <v>5.5418627316540237E-3</v>
      </c>
    </row>
    <row r="461" spans="1:10" x14ac:dyDescent="0.45">
      <c r="A461" s="1">
        <v>40854</v>
      </c>
      <c r="B461">
        <v>95.52</v>
      </c>
      <c r="C461">
        <v>3.1198000000000001</v>
      </c>
      <c r="D461">
        <v>2.7282000000000002</v>
      </c>
      <c r="E461" s="2">
        <f t="shared" si="474"/>
        <v>24.546800000000001</v>
      </c>
      <c r="F461" s="2">
        <f t="shared" si="476"/>
        <v>23.305000000000007</v>
      </c>
      <c r="G461" s="2">
        <f t="shared" si="478"/>
        <v>22.433800000000002</v>
      </c>
      <c r="H461" s="2">
        <f t="shared" si="479"/>
        <v>2.0177355117247942E-3</v>
      </c>
      <c r="I461" s="2">
        <f t="shared" ref="I461:J461" si="488">LN(C460)-LN(C459)</f>
        <v>1.0673228613189645E-2</v>
      </c>
      <c r="J461" s="2">
        <f t="shared" si="488"/>
        <v>8.142999078281532E-3</v>
      </c>
    </row>
    <row r="462" spans="1:10" x14ac:dyDescent="0.45">
      <c r="A462" s="1">
        <v>40855</v>
      </c>
      <c r="B462">
        <v>96.8</v>
      </c>
      <c r="C462">
        <v>3.1160999999999999</v>
      </c>
      <c r="D462">
        <v>2.7063999999999999</v>
      </c>
      <c r="E462" s="2">
        <f t="shared" si="474"/>
        <v>22.604600000000005</v>
      </c>
      <c r="F462" s="2">
        <f t="shared" si="476"/>
        <v>24.546800000000001</v>
      </c>
      <c r="G462" s="2">
        <f t="shared" si="478"/>
        <v>23.305000000000007</v>
      </c>
      <c r="H462" s="2">
        <f t="shared" si="479"/>
        <v>1.3278728148707231E-2</v>
      </c>
      <c r="I462" s="2">
        <f t="shared" ref="I462:J462" si="489">LN(C461)-LN(C460)</f>
        <v>1.5863348565229529E-2</v>
      </c>
      <c r="J462" s="2">
        <f t="shared" si="489"/>
        <v>2.4038548990975239E-2</v>
      </c>
    </row>
    <row r="463" spans="1:10" x14ac:dyDescent="0.45">
      <c r="A463" s="1">
        <v>40856</v>
      </c>
      <c r="B463">
        <v>95.74</v>
      </c>
      <c r="C463">
        <v>3.0985999999999998</v>
      </c>
      <c r="D463">
        <v>2.6442000000000001</v>
      </c>
      <c r="E463" s="2">
        <f t="shared" si="474"/>
        <v>21.678000000000015</v>
      </c>
      <c r="F463" s="2">
        <f t="shared" si="476"/>
        <v>22.604600000000005</v>
      </c>
      <c r="G463" s="2">
        <f t="shared" si="478"/>
        <v>24.546800000000001</v>
      </c>
      <c r="H463" s="2">
        <f t="shared" si="479"/>
        <v>1.3311344638239575E-2</v>
      </c>
      <c r="I463" s="2">
        <f t="shared" ref="I463:J463" si="490">LN(C462)-LN(C461)</f>
        <v>-1.1866772828927896E-3</v>
      </c>
      <c r="J463" s="2">
        <f t="shared" si="490"/>
        <v>-8.0227125925211862E-3</v>
      </c>
    </row>
    <row r="464" spans="1:10" x14ac:dyDescent="0.45">
      <c r="A464" s="1">
        <v>40857</v>
      </c>
      <c r="B464">
        <v>97.78</v>
      </c>
      <c r="C464">
        <v>3.1511</v>
      </c>
      <c r="D464">
        <v>2.6368</v>
      </c>
      <c r="E464" s="2">
        <f t="shared" si="474"/>
        <v>20.16579999999999</v>
      </c>
      <c r="F464" s="2">
        <f t="shared" si="476"/>
        <v>21.678000000000015</v>
      </c>
      <c r="G464" s="2">
        <f t="shared" si="478"/>
        <v>22.604600000000005</v>
      </c>
      <c r="H464" s="2">
        <f t="shared" si="479"/>
        <v>-1.1010810318168751E-2</v>
      </c>
      <c r="I464" s="2">
        <f t="shared" ref="I464:J464" si="491">LN(C463)-LN(C462)</f>
        <v>-5.6318233396841499E-3</v>
      </c>
      <c r="J464" s="2">
        <f t="shared" si="491"/>
        <v>-2.3250776390502437E-2</v>
      </c>
    </row>
    <row r="465" spans="1:10" x14ac:dyDescent="0.45">
      <c r="A465" s="1">
        <v>40858</v>
      </c>
      <c r="B465">
        <v>98.99</v>
      </c>
      <c r="C465">
        <v>3.1716000000000002</v>
      </c>
      <c r="D465">
        <v>2.6038000000000001</v>
      </c>
      <c r="E465" s="2">
        <f t="shared" si="474"/>
        <v>18.31880000000001</v>
      </c>
      <c r="F465" s="2">
        <f t="shared" si="476"/>
        <v>20.16579999999999</v>
      </c>
      <c r="G465" s="2">
        <f t="shared" si="478"/>
        <v>21.678000000000015</v>
      </c>
      <c r="H465" s="2">
        <f t="shared" si="479"/>
        <v>2.1083873186136692E-2</v>
      </c>
      <c r="I465" s="2">
        <f t="shared" ref="I465:J465" si="492">LN(C464)-LN(C463)</f>
        <v>1.6801201648347641E-2</v>
      </c>
      <c r="J465" s="2">
        <f t="shared" si="492"/>
        <v>-2.8025013608437011E-3</v>
      </c>
    </row>
    <row r="466" spans="1:10" x14ac:dyDescent="0.45">
      <c r="A466" s="1">
        <v>40861</v>
      </c>
      <c r="B466">
        <v>98.14</v>
      </c>
      <c r="C466">
        <v>3.1621999999999999</v>
      </c>
      <c r="D466">
        <v>2.5352999999999999</v>
      </c>
      <c r="E466" s="2">
        <f t="shared" si="474"/>
        <v>17.119199999999996</v>
      </c>
      <c r="F466" s="2">
        <f t="shared" si="476"/>
        <v>18.31880000000001</v>
      </c>
      <c r="G466" s="2">
        <f t="shared" si="478"/>
        <v>20.16579999999999</v>
      </c>
      <c r="H466" s="2">
        <f t="shared" si="479"/>
        <v>1.2298777781216685E-2</v>
      </c>
      <c r="I466" s="2">
        <f t="shared" ref="I466:J466" si="493">LN(C465)-LN(C464)</f>
        <v>6.4845941877049729E-3</v>
      </c>
      <c r="J466" s="2">
        <f t="shared" si="493"/>
        <v>-1.2594144251855788E-2</v>
      </c>
    </row>
    <row r="467" spans="1:10" x14ac:dyDescent="0.45">
      <c r="A467" s="1">
        <v>40862</v>
      </c>
      <c r="B467">
        <v>99.37</v>
      </c>
      <c r="C467">
        <v>3.1713</v>
      </c>
      <c r="D467">
        <v>2.5857000000000001</v>
      </c>
      <c r="E467" s="2">
        <f t="shared" si="474"/>
        <v>17.427800000000008</v>
      </c>
      <c r="F467" s="2">
        <f t="shared" si="476"/>
        <v>17.119199999999996</v>
      </c>
      <c r="G467" s="2">
        <f t="shared" si="478"/>
        <v>18.31880000000001</v>
      </c>
      <c r="H467" s="2">
        <f t="shared" si="479"/>
        <v>-8.6238042699591233E-3</v>
      </c>
      <c r="I467" s="2">
        <f t="shared" ref="I467:J467" si="494">LN(C466)-LN(C465)</f>
        <v>-2.9682045221992581E-3</v>
      </c>
      <c r="J467" s="2">
        <f t="shared" si="494"/>
        <v>-2.6659943244750517E-2</v>
      </c>
    </row>
    <row r="468" spans="1:10" x14ac:dyDescent="0.45">
      <c r="A468" s="1">
        <v>40863</v>
      </c>
      <c r="B468">
        <v>102.59</v>
      </c>
      <c r="C468">
        <v>3.1345999999999998</v>
      </c>
      <c r="D468">
        <v>2.6273</v>
      </c>
      <c r="E468" s="2">
        <f t="shared" si="474"/>
        <v>14.858800000000011</v>
      </c>
      <c r="F468" s="2">
        <f t="shared" si="476"/>
        <v>17.427800000000008</v>
      </c>
      <c r="G468" s="2">
        <f t="shared" si="478"/>
        <v>17.119199999999996</v>
      </c>
      <c r="H468" s="2">
        <f t="shared" si="479"/>
        <v>1.2455226581514545E-2</v>
      </c>
      <c r="I468" s="2">
        <f t="shared" ref="I468:J468" si="495">LN(C467)-LN(C466)</f>
        <v>2.8736105666824496E-3</v>
      </c>
      <c r="J468" s="2">
        <f t="shared" si="495"/>
        <v>1.9684291102917029E-2</v>
      </c>
    </row>
    <row r="469" spans="1:10" x14ac:dyDescent="0.45">
      <c r="A469" s="1">
        <v>40864</v>
      </c>
      <c r="B469">
        <v>98.93</v>
      </c>
      <c r="C469">
        <v>3.0832000000000002</v>
      </c>
      <c r="D469">
        <v>2.5156000000000001</v>
      </c>
      <c r="E469" s="2">
        <f t="shared" si="474"/>
        <v>14.671599999999993</v>
      </c>
      <c r="F469" s="2">
        <f t="shared" si="476"/>
        <v>14.858800000000011</v>
      </c>
      <c r="G469" s="2">
        <f t="shared" si="478"/>
        <v>17.427800000000008</v>
      </c>
      <c r="H469" s="2">
        <f t="shared" si="479"/>
        <v>3.1890204856349413E-2</v>
      </c>
      <c r="I469" s="2">
        <f t="shared" ref="I469:J469" si="496">LN(C468)-LN(C467)</f>
        <v>-1.1640024222759449E-2</v>
      </c>
      <c r="J469" s="2">
        <f t="shared" si="496"/>
        <v>1.5960438549648681E-2</v>
      </c>
    </row>
    <row r="470" spans="1:10" x14ac:dyDescent="0.45">
      <c r="A470" s="1">
        <v>40865</v>
      </c>
      <c r="B470">
        <v>97.67</v>
      </c>
      <c r="C470">
        <v>3.0325000000000002</v>
      </c>
      <c r="D470">
        <v>2.488</v>
      </c>
      <c r="E470" s="2">
        <f t="shared" si="474"/>
        <v>14.448999999999993</v>
      </c>
      <c r="F470" s="2">
        <f t="shared" si="476"/>
        <v>14.671599999999993</v>
      </c>
      <c r="G470" s="2">
        <f t="shared" si="478"/>
        <v>14.858800000000011</v>
      </c>
      <c r="H470" s="2">
        <f t="shared" si="479"/>
        <v>-3.6327932764489645E-2</v>
      </c>
      <c r="I470" s="2">
        <f t="shared" ref="I470:J470" si="497">LN(C469)-LN(C468)</f>
        <v>-1.6533555559865576E-2</v>
      </c>
      <c r="J470" s="2">
        <f t="shared" si="497"/>
        <v>-4.3445359201763734E-2</v>
      </c>
    </row>
    <row r="471" spans="1:10" x14ac:dyDescent="0.45">
      <c r="A471" s="1">
        <v>40868</v>
      </c>
      <c r="B471">
        <v>96.92</v>
      </c>
      <c r="C471">
        <v>3.0043000000000002</v>
      </c>
      <c r="D471">
        <v>2.4986999999999999</v>
      </c>
      <c r="E471" s="2">
        <f t="shared" si="474"/>
        <v>15.103799999999998</v>
      </c>
      <c r="F471" s="2">
        <f t="shared" si="476"/>
        <v>14.448999999999993</v>
      </c>
      <c r="G471" s="2">
        <f t="shared" si="478"/>
        <v>14.671599999999993</v>
      </c>
      <c r="H471" s="2">
        <f t="shared" si="479"/>
        <v>-1.2818079875745347E-2</v>
      </c>
      <c r="I471" s="2">
        <f t="shared" ref="I471:J471" si="498">LN(C470)-LN(C469)</f>
        <v>-1.6580656841896912E-2</v>
      </c>
      <c r="J471" s="2">
        <f t="shared" si="498"/>
        <v>-1.1032168810278242E-2</v>
      </c>
    </row>
    <row r="472" spans="1:10" x14ac:dyDescent="0.45">
      <c r="A472" s="1">
        <v>40869</v>
      </c>
      <c r="B472">
        <v>98.01</v>
      </c>
      <c r="C472">
        <v>3.0465</v>
      </c>
      <c r="D472">
        <v>2.5649999999999999</v>
      </c>
      <c r="E472" s="2">
        <f t="shared" si="474"/>
        <v>16.460999999999995</v>
      </c>
      <c r="F472" s="2">
        <f t="shared" si="476"/>
        <v>15.103799999999998</v>
      </c>
      <c r="G472" s="2">
        <f t="shared" si="478"/>
        <v>14.448999999999993</v>
      </c>
      <c r="H472" s="2">
        <f t="shared" si="479"/>
        <v>-7.7085535110610337E-3</v>
      </c>
      <c r="I472" s="2">
        <f t="shared" ref="I472:J472" si="499">LN(C471)-LN(C470)</f>
        <v>-9.3427660763332199E-3</v>
      </c>
      <c r="J472" s="2">
        <f t="shared" si="499"/>
        <v>4.2914217503344787E-3</v>
      </c>
    </row>
    <row r="473" spans="1:10" x14ac:dyDescent="0.45">
      <c r="A473" s="1">
        <v>40870</v>
      </c>
      <c r="B473">
        <v>96.17</v>
      </c>
      <c r="C473">
        <v>2.9714</v>
      </c>
      <c r="D473">
        <v>2.5205000000000002</v>
      </c>
      <c r="E473" s="2">
        <f t="shared" si="474"/>
        <v>16.003600000000006</v>
      </c>
      <c r="F473" s="2">
        <f t="shared" si="476"/>
        <v>16.460999999999995</v>
      </c>
      <c r="G473" s="2">
        <f t="shared" si="478"/>
        <v>15.103799999999998</v>
      </c>
      <c r="H473" s="2">
        <f t="shared" si="479"/>
        <v>1.1183618332763601E-2</v>
      </c>
      <c r="I473" s="2">
        <f t="shared" ref="I473:J473" si="500">LN(C472)-LN(C471)</f>
        <v>1.3948794946677001E-2</v>
      </c>
      <c r="J473" s="2">
        <f t="shared" si="500"/>
        <v>2.6187881995465401E-2</v>
      </c>
    </row>
    <row r="474" spans="1:10" x14ac:dyDescent="0.45">
      <c r="A474" s="1">
        <v>40872</v>
      </c>
      <c r="B474">
        <v>96.77</v>
      </c>
      <c r="C474">
        <v>2.9405000000000001</v>
      </c>
      <c r="D474">
        <v>2.4542000000000002</v>
      </c>
      <c r="E474" s="2">
        <f t="shared" si="474"/>
        <v>13.114600000000015</v>
      </c>
      <c r="F474" s="2">
        <f t="shared" si="476"/>
        <v>16.003600000000006</v>
      </c>
      <c r="G474" s="2">
        <f t="shared" si="478"/>
        <v>16.460999999999995</v>
      </c>
      <c r="H474" s="2">
        <f t="shared" si="479"/>
        <v>-1.8952055556698433E-2</v>
      </c>
      <c r="I474" s="2">
        <f t="shared" ref="I474:J474" si="501">LN(C473)-LN(C472)</f>
        <v>-2.4960168485296474E-2</v>
      </c>
      <c r="J474" s="2">
        <f t="shared" si="501"/>
        <v>-1.7501184082184262E-2</v>
      </c>
    </row>
    <row r="475" spans="1:10" x14ac:dyDescent="0.45">
      <c r="A475" s="1">
        <v>40875</v>
      </c>
      <c r="B475">
        <v>98.21</v>
      </c>
      <c r="C475">
        <v>2.9826999999999999</v>
      </c>
      <c r="D475">
        <v>2.5177</v>
      </c>
      <c r="E475" s="2">
        <f t="shared" si="474"/>
        <v>14.0434</v>
      </c>
      <c r="F475" s="2">
        <f t="shared" si="476"/>
        <v>13.114600000000015</v>
      </c>
      <c r="G475" s="2">
        <f t="shared" si="478"/>
        <v>16.003600000000006</v>
      </c>
      <c r="H475" s="2">
        <f t="shared" si="479"/>
        <v>6.2195701684606419E-3</v>
      </c>
      <c r="I475" s="2">
        <f t="shared" ref="I475:J475" si="502">LN(C474)-LN(C473)</f>
        <v>-1.0453587303241862E-2</v>
      </c>
      <c r="J475" s="2">
        <f t="shared" si="502"/>
        <v>-2.6656451980238138E-2</v>
      </c>
    </row>
    <row r="476" spans="1:10" x14ac:dyDescent="0.45">
      <c r="A476" s="1">
        <v>40876</v>
      </c>
      <c r="B476">
        <v>99.79</v>
      </c>
      <c r="C476">
        <v>3.0335999999999999</v>
      </c>
      <c r="D476">
        <v>2.5398000000000001</v>
      </c>
      <c r="E476" s="2">
        <f t="shared" si="474"/>
        <v>13.79479999999999</v>
      </c>
      <c r="F476" s="2">
        <f t="shared" si="476"/>
        <v>14.0434</v>
      </c>
      <c r="G476" s="2">
        <f t="shared" si="478"/>
        <v>13.114600000000015</v>
      </c>
      <c r="H476" s="2">
        <f t="shared" si="479"/>
        <v>1.4771014276831806E-2</v>
      </c>
      <c r="I476" s="2">
        <f t="shared" ref="I476:J476" si="503">LN(C475)-LN(C474)</f>
        <v>1.4249295661169059E-2</v>
      </c>
      <c r="J476" s="2">
        <f t="shared" si="503"/>
        <v>2.5544943787521701E-2</v>
      </c>
    </row>
    <row r="477" spans="1:10" x14ac:dyDescent="0.45">
      <c r="A477" s="1">
        <v>40877</v>
      </c>
      <c r="B477">
        <v>100.36</v>
      </c>
      <c r="C477">
        <v>3.0251000000000001</v>
      </c>
      <c r="D477">
        <v>2.5583999999999998</v>
      </c>
      <c r="E477" s="2">
        <f t="shared" si="474"/>
        <v>13.626599999999996</v>
      </c>
      <c r="F477" s="2">
        <f t="shared" si="476"/>
        <v>13.79479999999999</v>
      </c>
      <c r="G477" s="2">
        <f t="shared" si="478"/>
        <v>14.0434</v>
      </c>
      <c r="H477" s="2">
        <f t="shared" si="479"/>
        <v>1.5959934726538449E-2</v>
      </c>
      <c r="I477" s="2">
        <f t="shared" ref="I477:J477" si="504">LN(C476)-LN(C475)</f>
        <v>1.6921102499522833E-2</v>
      </c>
      <c r="J477" s="2">
        <f t="shared" si="504"/>
        <v>8.739551424963854E-3</v>
      </c>
    </row>
    <row r="478" spans="1:10" x14ac:dyDescent="0.45">
      <c r="A478" s="1">
        <v>40878</v>
      </c>
      <c r="B478">
        <v>100.2</v>
      </c>
      <c r="C478">
        <v>2.9695</v>
      </c>
      <c r="D478">
        <v>2.5579000000000001</v>
      </c>
      <c r="E478" s="2">
        <f t="shared" si="474"/>
        <v>12.994199999999998</v>
      </c>
      <c r="F478" s="2">
        <f t="shared" si="476"/>
        <v>13.626599999999996</v>
      </c>
      <c r="G478" s="2">
        <f t="shared" si="478"/>
        <v>13.79479999999999</v>
      </c>
      <c r="H478" s="2">
        <f t="shared" si="479"/>
        <v>5.6957436020006469E-3</v>
      </c>
      <c r="I478" s="2">
        <f t="shared" ref="I478:J478" si="505">LN(C477)-LN(C476)</f>
        <v>-2.805884290919769E-3</v>
      </c>
      <c r="J478" s="2">
        <f t="shared" si="505"/>
        <v>7.2967253247566699E-3</v>
      </c>
    </row>
    <row r="479" spans="1:10" x14ac:dyDescent="0.45">
      <c r="A479" s="1">
        <v>40879</v>
      </c>
      <c r="B479">
        <v>100.96</v>
      </c>
      <c r="C479">
        <v>2.99</v>
      </c>
      <c r="D479">
        <v>2.6162000000000001</v>
      </c>
      <c r="E479" s="2">
        <f t="shared" si="474"/>
        <v>14.15360000000002</v>
      </c>
      <c r="F479" s="2">
        <f t="shared" si="476"/>
        <v>12.994199999999998</v>
      </c>
      <c r="G479" s="2">
        <f t="shared" si="478"/>
        <v>13.626599999999996</v>
      </c>
      <c r="H479" s="2">
        <f t="shared" si="479"/>
        <v>-1.5955328474577257E-3</v>
      </c>
      <c r="I479" s="2">
        <f t="shared" ref="I479:J479" si="506">LN(C478)-LN(C477)</f>
        <v>-1.8550560313867814E-2</v>
      </c>
      <c r="J479" s="2">
        <f t="shared" si="506"/>
        <v>-1.9545374649321268E-4</v>
      </c>
    </row>
    <row r="480" spans="1:10" x14ac:dyDescent="0.45">
      <c r="A480" s="1">
        <v>40882</v>
      </c>
      <c r="B480">
        <v>100.99</v>
      </c>
      <c r="C480">
        <v>2.9923999999999999</v>
      </c>
      <c r="D480">
        <v>2.6137000000000001</v>
      </c>
      <c r="E480" s="2">
        <f t="shared" si="474"/>
        <v>14.087200000000015</v>
      </c>
      <c r="F480" s="2">
        <f t="shared" si="476"/>
        <v>14.15360000000002</v>
      </c>
      <c r="G480" s="2">
        <f t="shared" si="478"/>
        <v>12.994199999999998</v>
      </c>
      <c r="H480" s="2">
        <f t="shared" si="479"/>
        <v>7.5562101421384753E-3</v>
      </c>
      <c r="I480" s="2">
        <f t="shared" ref="I480:J480" si="507">LN(C479)-LN(C478)</f>
        <v>6.8797989288171824E-3</v>
      </c>
      <c r="J480" s="2">
        <f t="shared" si="507"/>
        <v>2.2536273920930161E-2</v>
      </c>
    </row>
    <row r="481" spans="1:10" x14ac:dyDescent="0.45">
      <c r="A481" s="1">
        <v>40883</v>
      </c>
      <c r="B481">
        <v>101.28</v>
      </c>
      <c r="C481">
        <v>3.0217000000000001</v>
      </c>
      <c r="D481">
        <v>2.6454</v>
      </c>
      <c r="E481" s="2">
        <f t="shared" si="474"/>
        <v>15.09499999999999</v>
      </c>
      <c r="F481" s="2">
        <f t="shared" si="476"/>
        <v>14.087200000000015</v>
      </c>
      <c r="G481" s="2">
        <f t="shared" si="478"/>
        <v>14.15360000000002</v>
      </c>
      <c r="H481" s="2">
        <f t="shared" si="479"/>
        <v>2.9710324556297962E-4</v>
      </c>
      <c r="I481" s="2">
        <f t="shared" ref="I481:J481" si="508">LN(C480)-LN(C479)</f>
        <v>8.0235361351777001E-4</v>
      </c>
      <c r="J481" s="2">
        <f t="shared" si="508"/>
        <v>-9.5604129731718945E-4</v>
      </c>
    </row>
    <row r="482" spans="1:10" x14ac:dyDescent="0.45">
      <c r="A482" s="1">
        <v>40884</v>
      </c>
      <c r="B482">
        <v>100.49</v>
      </c>
      <c r="C482">
        <v>2.9824000000000002</v>
      </c>
      <c r="D482">
        <v>2.5869</v>
      </c>
      <c r="E482" s="2">
        <f t="shared" si="474"/>
        <v>13.696800000000016</v>
      </c>
      <c r="F482" s="2">
        <f t="shared" si="476"/>
        <v>15.09499999999999</v>
      </c>
      <c r="G482" s="2">
        <f t="shared" si="478"/>
        <v>14.087200000000015</v>
      </c>
      <c r="H482" s="2">
        <f t="shared" si="479"/>
        <v>2.8674563574009326E-3</v>
      </c>
      <c r="I482" s="2">
        <f t="shared" ref="I482:J482" si="509">LN(C481)-LN(C480)</f>
        <v>9.7438459013488021E-3</v>
      </c>
      <c r="J482" s="2">
        <f t="shared" si="509"/>
        <v>1.2055440635137415E-2</v>
      </c>
    </row>
    <row r="483" spans="1:10" x14ac:dyDescent="0.45">
      <c r="A483" s="1">
        <v>40885</v>
      </c>
      <c r="B483">
        <v>98.34</v>
      </c>
      <c r="C483">
        <v>2.9298000000000002</v>
      </c>
      <c r="D483">
        <v>2.5666000000000002</v>
      </c>
      <c r="E483" s="2">
        <f t="shared" si="474"/>
        <v>14.54200000000001</v>
      </c>
      <c r="F483" s="2">
        <f t="shared" si="476"/>
        <v>13.696800000000016</v>
      </c>
      <c r="G483" s="2">
        <f t="shared" si="478"/>
        <v>15.09499999999999</v>
      </c>
      <c r="H483" s="2">
        <f t="shared" si="479"/>
        <v>-7.8307383349995874E-3</v>
      </c>
      <c r="I483" s="2">
        <f t="shared" ref="I483:J483" si="510">LN(C482)-LN(C481)</f>
        <v>-1.3091241408326626E-2</v>
      </c>
      <c r="J483" s="2">
        <f t="shared" si="510"/>
        <v>-2.2362034965558442E-2</v>
      </c>
    </row>
    <row r="484" spans="1:10" x14ac:dyDescent="0.45">
      <c r="A484" s="1">
        <v>40886</v>
      </c>
      <c r="B484">
        <v>99.41</v>
      </c>
      <c r="C484">
        <v>2.9125000000000001</v>
      </c>
      <c r="D484">
        <v>2.5960999999999999</v>
      </c>
      <c r="E484" s="2">
        <f t="shared" si="474"/>
        <v>14.055799999999996</v>
      </c>
      <c r="F484" s="2">
        <f t="shared" si="476"/>
        <v>14.54200000000001</v>
      </c>
      <c r="G484" s="2">
        <f t="shared" si="478"/>
        <v>13.696800000000016</v>
      </c>
      <c r="H484" s="2">
        <f t="shared" si="479"/>
        <v>-2.1627358077073389E-2</v>
      </c>
      <c r="I484" s="2">
        <f t="shared" ref="I484:J484" si="511">LN(C483)-LN(C482)</f>
        <v>-1.7794184195602414E-2</v>
      </c>
      <c r="J484" s="2">
        <f t="shared" si="511"/>
        <v>-7.8781818160277295E-3</v>
      </c>
    </row>
    <row r="485" spans="1:10" x14ac:dyDescent="0.45">
      <c r="A485" s="1">
        <v>40889</v>
      </c>
      <c r="B485">
        <v>97.77</v>
      </c>
      <c r="C485">
        <v>2.8961000000000001</v>
      </c>
      <c r="D485">
        <v>2.5636000000000001</v>
      </c>
      <c r="E485" s="2">
        <f t="shared" si="474"/>
        <v>14.556200000000009</v>
      </c>
      <c r="F485" s="2">
        <f t="shared" si="476"/>
        <v>14.055799999999996</v>
      </c>
      <c r="G485" s="2">
        <f t="shared" si="478"/>
        <v>14.54200000000001</v>
      </c>
      <c r="H485" s="2">
        <f t="shared" si="479"/>
        <v>1.0821850240260389E-2</v>
      </c>
      <c r="I485" s="2">
        <f t="shared" ref="I485:J485" si="512">LN(C484)-LN(C483)</f>
        <v>-5.9223424217136333E-3</v>
      </c>
      <c r="J485" s="2">
        <f t="shared" si="512"/>
        <v>1.1428253072945482E-2</v>
      </c>
    </row>
    <row r="486" spans="1:10" x14ac:dyDescent="0.45">
      <c r="A486" s="1">
        <v>40890</v>
      </c>
      <c r="B486">
        <v>100.14</v>
      </c>
      <c r="C486">
        <v>2.9287999999999998</v>
      </c>
      <c r="D486">
        <v>2.6254</v>
      </c>
      <c r="E486" s="2">
        <f t="shared" si="474"/>
        <v>14.3744</v>
      </c>
      <c r="F486" s="2">
        <f t="shared" si="476"/>
        <v>14.556200000000009</v>
      </c>
      <c r="G486" s="2">
        <f t="shared" si="478"/>
        <v>14.055799999999996</v>
      </c>
      <c r="H486" s="2">
        <f t="shared" si="479"/>
        <v>-1.6634930706474371E-2</v>
      </c>
      <c r="I486" s="2">
        <f t="shared" ref="I486:J486" si="513">LN(C485)-LN(C484)</f>
        <v>-5.6468145777688328E-3</v>
      </c>
      <c r="J486" s="2">
        <f t="shared" si="513"/>
        <v>-1.2597798253234371E-2</v>
      </c>
    </row>
    <row r="487" spans="1:10" x14ac:dyDescent="0.45">
      <c r="A487" s="1">
        <v>40891</v>
      </c>
      <c r="B487">
        <v>94.95</v>
      </c>
      <c r="C487">
        <v>2.8298999999999999</v>
      </c>
      <c r="D487">
        <v>2.5036999999999998</v>
      </c>
      <c r="E487" s="2">
        <f t="shared" si="474"/>
        <v>14.772199999999978</v>
      </c>
      <c r="F487" s="2">
        <f t="shared" si="476"/>
        <v>14.3744</v>
      </c>
      <c r="G487" s="2">
        <f t="shared" si="478"/>
        <v>14.556200000000009</v>
      </c>
      <c r="H487" s="2">
        <f t="shared" si="479"/>
        <v>2.3951425384218794E-2</v>
      </c>
      <c r="I487" s="2">
        <f t="shared" ref="I487:J487" si="514">LN(C486)-LN(C485)</f>
        <v>1.1227778509839137E-2</v>
      </c>
      <c r="J487" s="2">
        <f t="shared" si="514"/>
        <v>2.3820744739235233E-2</v>
      </c>
    </row>
    <row r="488" spans="1:10" x14ac:dyDescent="0.45">
      <c r="A488" s="1">
        <v>40892</v>
      </c>
      <c r="B488">
        <v>93.87</v>
      </c>
      <c r="C488">
        <v>2.8224999999999998</v>
      </c>
      <c r="D488">
        <v>2.4876999999999998</v>
      </c>
      <c r="E488" s="2">
        <f t="shared" si="474"/>
        <v>15.300599999999994</v>
      </c>
      <c r="F488" s="2">
        <f t="shared" si="476"/>
        <v>14.772199999999978</v>
      </c>
      <c r="G488" s="2">
        <f t="shared" si="478"/>
        <v>14.3744</v>
      </c>
      <c r="H488" s="2">
        <f t="shared" si="479"/>
        <v>-5.3218769643502917E-2</v>
      </c>
      <c r="I488" s="2">
        <f t="shared" ref="I488:J488" si="515">LN(C487)-LN(C486)</f>
        <v>-3.4351407482109186E-2</v>
      </c>
      <c r="J488" s="2">
        <f t="shared" si="515"/>
        <v>-4.7463627633615779E-2</v>
      </c>
    </row>
    <row r="489" spans="1:10" x14ac:dyDescent="0.45">
      <c r="A489" s="1">
        <v>40893</v>
      </c>
      <c r="B489">
        <v>93.53</v>
      </c>
      <c r="C489">
        <v>2.8005</v>
      </c>
      <c r="D489">
        <v>2.4870000000000001</v>
      </c>
      <c r="E489" s="2">
        <f t="shared" si="474"/>
        <v>15.312999999999988</v>
      </c>
      <c r="F489" s="2">
        <f t="shared" si="476"/>
        <v>15.300599999999994</v>
      </c>
      <c r="G489" s="2">
        <f t="shared" si="478"/>
        <v>14.772199999999978</v>
      </c>
      <c r="H489" s="2">
        <f t="shared" si="479"/>
        <v>-1.1439590909394504E-2</v>
      </c>
      <c r="I489" s="2">
        <f t="shared" ref="I489:J489" si="516">LN(C488)-LN(C487)</f>
        <v>-2.6183583001000432E-3</v>
      </c>
      <c r="J489" s="2">
        <f t="shared" si="516"/>
        <v>-6.4110489249616931E-3</v>
      </c>
    </row>
    <row r="490" spans="1:10" x14ac:dyDescent="0.45">
      <c r="A490" s="1">
        <v>40896</v>
      </c>
      <c r="B490">
        <v>94.05</v>
      </c>
      <c r="C490">
        <v>2.7804000000000002</v>
      </c>
      <c r="D490">
        <v>2.4971999999999999</v>
      </c>
      <c r="E490" s="2">
        <f t="shared" si="474"/>
        <v>14.797200000000013</v>
      </c>
      <c r="F490" s="2">
        <f t="shared" si="476"/>
        <v>15.312999999999988</v>
      </c>
      <c r="G490" s="2">
        <f t="shared" si="478"/>
        <v>15.300599999999994</v>
      </c>
      <c r="H490" s="2">
        <f t="shared" si="479"/>
        <v>-3.6286059024410733E-3</v>
      </c>
      <c r="I490" s="2">
        <f t="shared" ref="I490:J490" si="517">LN(C489)-LN(C488)</f>
        <v>-7.8250443739300568E-3</v>
      </c>
      <c r="J490" s="2">
        <f t="shared" si="517"/>
        <v>-2.8142400732489303E-4</v>
      </c>
    </row>
    <row r="491" spans="1:10" x14ac:dyDescent="0.45">
      <c r="A491" s="1">
        <v>40897</v>
      </c>
      <c r="B491">
        <v>97.24</v>
      </c>
      <c r="C491">
        <v>2.8592</v>
      </c>
      <c r="D491">
        <v>2.5840000000000001</v>
      </c>
      <c r="E491" s="2">
        <f t="shared" si="474"/>
        <v>15.140800000000013</v>
      </c>
      <c r="F491" s="2">
        <f t="shared" si="476"/>
        <v>14.797200000000013</v>
      </c>
      <c r="G491" s="2">
        <f t="shared" si="478"/>
        <v>15.312999999999988</v>
      </c>
      <c r="H491" s="2">
        <f t="shared" si="479"/>
        <v>5.5443153005798607E-3</v>
      </c>
      <c r="I491" s="2">
        <f t="shared" ref="I491:J491" si="518">LN(C490)-LN(C489)</f>
        <v>-7.2031704235562266E-3</v>
      </c>
      <c r="J491" s="2">
        <f t="shared" si="518"/>
        <v>4.0929393841843131E-3</v>
      </c>
    </row>
    <row r="492" spans="1:10" x14ac:dyDescent="0.45">
      <c r="A492" s="1">
        <v>40898</v>
      </c>
      <c r="B492">
        <v>98.67</v>
      </c>
      <c r="C492">
        <v>2.9176000000000002</v>
      </c>
      <c r="D492">
        <v>2.6215000000000002</v>
      </c>
      <c r="E492" s="2">
        <f t="shared" si="474"/>
        <v>15.578400000000007</v>
      </c>
      <c r="F492" s="2">
        <f t="shared" si="476"/>
        <v>15.140800000000013</v>
      </c>
      <c r="G492" s="2">
        <f t="shared" si="478"/>
        <v>14.797200000000013</v>
      </c>
      <c r="H492" s="2">
        <f t="shared" si="479"/>
        <v>3.335559370088248E-2</v>
      </c>
      <c r="I492" s="2">
        <f t="shared" ref="I492:J492" si="519">LN(C491)-LN(C490)</f>
        <v>2.7947063178832776E-2</v>
      </c>
      <c r="J492" s="2">
        <f t="shared" si="519"/>
        <v>3.4168481714903498E-2</v>
      </c>
    </row>
    <row r="493" spans="1:10" x14ac:dyDescent="0.45">
      <c r="A493" s="1">
        <v>40899</v>
      </c>
      <c r="B493">
        <v>99.53</v>
      </c>
      <c r="C493">
        <v>2.9154</v>
      </c>
      <c r="D493">
        <v>2.6368</v>
      </c>
      <c r="E493" s="2">
        <f t="shared" si="474"/>
        <v>15.115999999999985</v>
      </c>
      <c r="F493" s="2">
        <f t="shared" si="476"/>
        <v>15.578400000000007</v>
      </c>
      <c r="G493" s="2">
        <f t="shared" si="478"/>
        <v>15.140800000000013</v>
      </c>
      <c r="H493" s="2">
        <f t="shared" si="479"/>
        <v>1.4598799421153608E-2</v>
      </c>
      <c r="I493" s="2">
        <f t="shared" ref="I493:J493" si="520">LN(C492)-LN(C491)</f>
        <v>2.0219495089306871E-2</v>
      </c>
      <c r="J493" s="2">
        <f t="shared" si="520"/>
        <v>1.4408087110095003E-2</v>
      </c>
    </row>
    <row r="494" spans="1:10" x14ac:dyDescent="0.45">
      <c r="A494" s="1">
        <v>40900</v>
      </c>
      <c r="B494">
        <v>99.68</v>
      </c>
      <c r="C494">
        <v>2.8995000000000002</v>
      </c>
      <c r="D494">
        <v>2.6781000000000001</v>
      </c>
      <c r="E494" s="2">
        <f t="shared" si="474"/>
        <v>15.899800000000008</v>
      </c>
      <c r="F494" s="2">
        <f t="shared" si="476"/>
        <v>15.115999999999985</v>
      </c>
      <c r="G494" s="2">
        <f t="shared" si="478"/>
        <v>15.578400000000007</v>
      </c>
      <c r="H494" s="2">
        <f t="shared" si="479"/>
        <v>8.6781573888963237E-3</v>
      </c>
      <c r="I494" s="2">
        <f t="shared" ref="I494:J494" si="521">LN(C493)-LN(C492)</f>
        <v>-7.5432885455817278E-4</v>
      </c>
      <c r="J494" s="2">
        <f t="shared" si="521"/>
        <v>5.8193877025650709E-3</v>
      </c>
    </row>
    <row r="495" spans="1:10" x14ac:dyDescent="0.45">
      <c r="A495" s="1">
        <v>40904</v>
      </c>
      <c r="B495">
        <v>101.34</v>
      </c>
      <c r="C495">
        <v>2.9159000000000002</v>
      </c>
      <c r="D495">
        <v>2.681</v>
      </c>
      <c r="E495" s="2">
        <f t="shared" si="474"/>
        <v>14.550600000000012</v>
      </c>
      <c r="F495" s="2">
        <f t="shared" si="476"/>
        <v>15.899800000000008</v>
      </c>
      <c r="G495" s="2">
        <f t="shared" si="478"/>
        <v>15.115999999999985</v>
      </c>
      <c r="H495" s="2">
        <f t="shared" si="479"/>
        <v>1.5059487811708294E-3</v>
      </c>
      <c r="I495" s="2">
        <f t="shared" ref="I495:J495" si="522">LN(C494)-LN(C493)</f>
        <v>-5.4687233234169685E-3</v>
      </c>
      <c r="J495" s="2">
        <f t="shared" si="522"/>
        <v>1.5541527138273503E-2</v>
      </c>
    </row>
    <row r="496" spans="1:10" x14ac:dyDescent="0.45">
      <c r="A496" s="1">
        <v>40905</v>
      </c>
      <c r="B496">
        <v>99.36</v>
      </c>
      <c r="C496">
        <v>2.9011999999999998</v>
      </c>
      <c r="D496">
        <v>2.6456</v>
      </c>
      <c r="E496" s="2">
        <f t="shared" si="474"/>
        <v>15.333600000000009</v>
      </c>
      <c r="F496" s="2">
        <f t="shared" si="476"/>
        <v>14.550600000000012</v>
      </c>
      <c r="G496" s="2">
        <f t="shared" si="478"/>
        <v>15.899800000000008</v>
      </c>
      <c r="H496" s="2">
        <f t="shared" si="479"/>
        <v>1.651614500862042E-2</v>
      </c>
      <c r="I496" s="2">
        <f t="shared" ref="I496:J496" si="523">LN(C495)-LN(C494)</f>
        <v>5.6402116712042094E-3</v>
      </c>
      <c r="J496" s="2">
        <f t="shared" si="523"/>
        <v>1.0822713825332508E-3</v>
      </c>
    </row>
    <row r="497" spans="1:10" x14ac:dyDescent="0.45">
      <c r="A497" s="1">
        <v>40906</v>
      </c>
      <c r="B497">
        <v>99.65</v>
      </c>
      <c r="C497">
        <v>2.9201000000000001</v>
      </c>
      <c r="D497">
        <v>2.6694</v>
      </c>
      <c r="E497" s="2">
        <f t="shared" si="474"/>
        <v>15.97459999999999</v>
      </c>
      <c r="F497" s="2">
        <f t="shared" si="476"/>
        <v>15.333600000000009</v>
      </c>
      <c r="G497" s="2">
        <f t="shared" si="478"/>
        <v>14.550600000000012</v>
      </c>
      <c r="H497" s="2">
        <f t="shared" si="479"/>
        <v>-1.9731581862594716E-2</v>
      </c>
      <c r="I497" s="2">
        <f t="shared" ref="I497:J497" si="524">LN(C496)-LN(C495)</f>
        <v>-5.0540754984422787E-3</v>
      </c>
      <c r="J497" s="2">
        <f t="shared" si="524"/>
        <v>-1.3291976568376329E-2</v>
      </c>
    </row>
    <row r="498" spans="1:10" x14ac:dyDescent="0.45">
      <c r="A498" s="1">
        <v>40907</v>
      </c>
      <c r="B498">
        <v>98.83</v>
      </c>
      <c r="C498">
        <v>2.9142000000000001</v>
      </c>
      <c r="D498">
        <v>2.6574</v>
      </c>
      <c r="E498" s="2">
        <f t="shared" si="474"/>
        <v>16.375999999999994</v>
      </c>
      <c r="F498" s="2">
        <f t="shared" si="476"/>
        <v>15.97459999999999</v>
      </c>
      <c r="G498" s="2">
        <f t="shared" si="478"/>
        <v>15.333600000000009</v>
      </c>
      <c r="H498" s="2">
        <f t="shared" si="479"/>
        <v>2.914428473634878E-3</v>
      </c>
      <c r="I498" s="2">
        <f t="shared" ref="I498:J498" si="525">LN(C497)-LN(C496)</f>
        <v>6.4934177620121769E-3</v>
      </c>
      <c r="J498" s="2">
        <f t="shared" si="525"/>
        <v>8.9558453724680742E-3</v>
      </c>
    </row>
    <row r="499" spans="1:10" x14ac:dyDescent="0.45">
      <c r="A499" s="1">
        <v>40911</v>
      </c>
      <c r="B499">
        <v>102.96</v>
      </c>
      <c r="C499">
        <v>3.0381999999999998</v>
      </c>
      <c r="D499">
        <v>2.7486000000000002</v>
      </c>
      <c r="E499" s="2">
        <f t="shared" si="474"/>
        <v>16.535600000000006</v>
      </c>
      <c r="F499" s="2">
        <f t="shared" si="476"/>
        <v>16.375999999999994</v>
      </c>
      <c r="G499" s="2">
        <f t="shared" si="478"/>
        <v>15.97459999999999</v>
      </c>
      <c r="H499" s="2">
        <f t="shared" si="479"/>
        <v>-8.2628442707113336E-3</v>
      </c>
      <c r="I499" s="2">
        <f t="shared" ref="I499:J499" si="526">LN(C498)-LN(C497)</f>
        <v>-2.0225226715151479E-3</v>
      </c>
      <c r="J499" s="2">
        <f t="shared" si="526"/>
        <v>-4.505526882843558E-3</v>
      </c>
    </row>
    <row r="500" spans="1:10" x14ac:dyDescent="0.45">
      <c r="A500" s="1">
        <v>40912</v>
      </c>
      <c r="B500">
        <v>103.22</v>
      </c>
      <c r="C500">
        <v>3.0899000000000001</v>
      </c>
      <c r="D500">
        <v>2.7852000000000001</v>
      </c>
      <c r="E500" s="2">
        <f t="shared" si="474"/>
        <v>18.024200000000025</v>
      </c>
      <c r="F500" s="2">
        <f t="shared" si="476"/>
        <v>16.535600000000006</v>
      </c>
      <c r="G500" s="2">
        <f t="shared" si="478"/>
        <v>16.375999999999994</v>
      </c>
      <c r="H500" s="2">
        <f t="shared" si="479"/>
        <v>4.0939360899779231E-2</v>
      </c>
      <c r="I500" s="2">
        <f t="shared" ref="I500:J500" si="527">LN(C499)-LN(C498)</f>
        <v>4.1669895193807927E-2</v>
      </c>
      <c r="J500" s="2">
        <f t="shared" si="527"/>
        <v>3.3743489963544038E-2</v>
      </c>
    </row>
    <row r="501" spans="1:10" x14ac:dyDescent="0.45">
      <c r="A501" s="1">
        <v>40913</v>
      </c>
      <c r="B501">
        <v>101.81</v>
      </c>
      <c r="C501">
        <v>3.0388000000000002</v>
      </c>
      <c r="D501">
        <v>2.7364999999999999</v>
      </c>
      <c r="E501" s="2">
        <f t="shared" si="474"/>
        <v>17.355199999999986</v>
      </c>
      <c r="F501" s="2">
        <f t="shared" si="476"/>
        <v>18.024200000000025</v>
      </c>
      <c r="G501" s="2">
        <f t="shared" si="478"/>
        <v>16.535600000000006</v>
      </c>
      <c r="H501" s="2">
        <f t="shared" si="479"/>
        <v>2.5220694327101612E-3</v>
      </c>
      <c r="I501" s="2">
        <f t="shared" ref="I501:J501" si="528">LN(C500)-LN(C499)</f>
        <v>1.6873493135006301E-2</v>
      </c>
      <c r="J501" s="2">
        <f t="shared" si="528"/>
        <v>1.322799294764021E-2</v>
      </c>
    </row>
    <row r="502" spans="1:10" x14ac:dyDescent="0.45">
      <c r="A502" s="1">
        <v>40914</v>
      </c>
      <c r="B502">
        <v>101.56</v>
      </c>
      <c r="C502">
        <v>3.0701999999999998</v>
      </c>
      <c r="D502">
        <v>2.7515999999999998</v>
      </c>
      <c r="E502" s="2">
        <f t="shared" si="474"/>
        <v>18.467599999999987</v>
      </c>
      <c r="F502" s="2">
        <f t="shared" si="476"/>
        <v>17.355199999999986</v>
      </c>
      <c r="G502" s="2">
        <f t="shared" si="478"/>
        <v>18.024200000000025</v>
      </c>
      <c r="H502" s="2">
        <f t="shared" si="479"/>
        <v>-1.3754301601476726E-2</v>
      </c>
      <c r="I502" s="2">
        <f t="shared" ref="I502:J502" si="529">LN(C501)-LN(C500)</f>
        <v>-1.6676027279501904E-2</v>
      </c>
      <c r="J502" s="2">
        <f t="shared" si="529"/>
        <v>-1.7639952484419075E-2</v>
      </c>
    </row>
    <row r="503" spans="1:10" x14ac:dyDescent="0.45">
      <c r="A503" s="1">
        <v>40917</v>
      </c>
      <c r="B503">
        <v>101.31</v>
      </c>
      <c r="C503">
        <v>3.073</v>
      </c>
      <c r="D503">
        <v>2.7589999999999999</v>
      </c>
      <c r="E503" s="2">
        <f t="shared" si="474"/>
        <v>18.963999999999999</v>
      </c>
      <c r="F503" s="2">
        <f t="shared" si="476"/>
        <v>18.467599999999987</v>
      </c>
      <c r="G503" s="2">
        <f t="shared" si="478"/>
        <v>17.355199999999986</v>
      </c>
      <c r="H503" s="2">
        <f t="shared" si="479"/>
        <v>-2.4585742826275236E-3</v>
      </c>
      <c r="I503" s="2">
        <f t="shared" ref="I503:J503" si="530">LN(C502)-LN(C501)</f>
        <v>1.0280005410034487E-2</v>
      </c>
      <c r="J503" s="2">
        <f t="shared" si="530"/>
        <v>5.502829067886239E-3</v>
      </c>
    </row>
    <row r="504" spans="1:10" x14ac:dyDescent="0.45">
      <c r="A504" s="1">
        <v>40918</v>
      </c>
      <c r="B504">
        <v>102.24</v>
      </c>
      <c r="C504">
        <v>3.1013999999999999</v>
      </c>
      <c r="D504">
        <v>2.7728000000000002</v>
      </c>
      <c r="E504" s="2">
        <f t="shared" si="474"/>
        <v>18.818000000000023</v>
      </c>
      <c r="F504" s="2">
        <f t="shared" si="476"/>
        <v>18.963999999999999</v>
      </c>
      <c r="G504" s="2">
        <f t="shared" si="478"/>
        <v>18.467599999999987</v>
      </c>
      <c r="H504" s="2">
        <f t="shared" si="479"/>
        <v>-2.4646337708915667E-3</v>
      </c>
      <c r="I504" s="2">
        <f t="shared" ref="I504:J504" si="531">LN(C503)-LN(C502)</f>
        <v>9.1157709138367515E-4</v>
      </c>
      <c r="J504" s="2">
        <f t="shared" si="531"/>
        <v>2.6857345654272002E-3</v>
      </c>
    </row>
    <row r="505" spans="1:10" x14ac:dyDescent="0.45">
      <c r="A505" s="1">
        <v>40919</v>
      </c>
      <c r="B505">
        <v>100.87</v>
      </c>
      <c r="C505">
        <v>3.0646</v>
      </c>
      <c r="D505">
        <v>2.7633000000000001</v>
      </c>
      <c r="E505" s="2">
        <f t="shared" si="474"/>
        <v>19.406799999999993</v>
      </c>
      <c r="F505" s="2">
        <f t="shared" si="476"/>
        <v>18.818000000000023</v>
      </c>
      <c r="G505" s="2">
        <f t="shared" si="478"/>
        <v>18.963999999999999</v>
      </c>
      <c r="H505" s="2">
        <f t="shared" si="479"/>
        <v>9.1378675636386575E-3</v>
      </c>
      <c r="I505" s="2">
        <f t="shared" ref="I505:J505" si="532">LN(C504)-LN(C503)</f>
        <v>9.1993392995639578E-3</v>
      </c>
      <c r="J505" s="2">
        <f t="shared" si="532"/>
        <v>4.989344744055435E-3</v>
      </c>
    </row>
    <row r="506" spans="1:10" x14ac:dyDescent="0.45">
      <c r="A506" s="1">
        <v>40920</v>
      </c>
      <c r="B506">
        <v>99.1</v>
      </c>
      <c r="C506">
        <v>3.0541</v>
      </c>
      <c r="D506">
        <v>2.7313000000000001</v>
      </c>
      <c r="E506" s="2">
        <f t="shared" si="474"/>
        <v>20.133800000000026</v>
      </c>
      <c r="F506" s="2">
        <f t="shared" si="476"/>
        <v>19.406799999999993</v>
      </c>
      <c r="G506" s="2">
        <f t="shared" si="478"/>
        <v>18.818000000000023</v>
      </c>
      <c r="H506" s="2">
        <f t="shared" si="479"/>
        <v>-1.3490431562479976E-2</v>
      </c>
      <c r="I506" s="2">
        <f t="shared" ref="I506:J506" si="533">LN(C505)-LN(C504)</f>
        <v>-1.193656728597281E-2</v>
      </c>
      <c r="J506" s="2">
        <f t="shared" si="533"/>
        <v>-3.4320222990420479E-3</v>
      </c>
    </row>
    <row r="507" spans="1:10" x14ac:dyDescent="0.45">
      <c r="A507" s="1">
        <v>40921</v>
      </c>
      <c r="B507">
        <v>98.7</v>
      </c>
      <c r="C507">
        <v>3.0272000000000001</v>
      </c>
      <c r="D507">
        <v>2.7342</v>
      </c>
      <c r="E507" s="2">
        <f t="shared" si="474"/>
        <v>20.238399999999995</v>
      </c>
      <c r="F507" s="2">
        <f t="shared" si="476"/>
        <v>20.133800000000026</v>
      </c>
      <c r="G507" s="2">
        <f t="shared" si="478"/>
        <v>19.406799999999993</v>
      </c>
      <c r="H507" s="2">
        <f t="shared" si="479"/>
        <v>-1.770311773080202E-2</v>
      </c>
      <c r="I507" s="2">
        <f t="shared" ref="I507:J507" si="534">LN(C506)-LN(C505)</f>
        <v>-3.4321049591987673E-3</v>
      </c>
      <c r="J507" s="2">
        <f t="shared" si="534"/>
        <v>-1.1647931349808127E-2</v>
      </c>
    </row>
    <row r="508" spans="1:10" x14ac:dyDescent="0.45">
      <c r="A508" s="1">
        <v>40925</v>
      </c>
      <c r="B508">
        <v>100.71</v>
      </c>
      <c r="C508">
        <v>3.0371999999999999</v>
      </c>
      <c r="D508">
        <v>2.7713000000000001</v>
      </c>
      <c r="E508" s="2">
        <f t="shared" si="474"/>
        <v>19.407199999999989</v>
      </c>
      <c r="F508" s="2">
        <f t="shared" si="476"/>
        <v>20.238399999999995</v>
      </c>
      <c r="G508" s="2">
        <f t="shared" si="478"/>
        <v>20.133800000000026</v>
      </c>
      <c r="H508" s="2">
        <f t="shared" si="479"/>
        <v>-4.0444948965063787E-3</v>
      </c>
      <c r="I508" s="2">
        <f t="shared" ref="I508:J508" si="535">LN(C507)-LN(C506)</f>
        <v>-8.8468503273180232E-3</v>
      </c>
      <c r="J508" s="2">
        <f t="shared" si="535"/>
        <v>1.0612021854004006E-3</v>
      </c>
    </row>
    <row r="509" spans="1:10" x14ac:dyDescent="0.45">
      <c r="A509" s="1">
        <v>40926</v>
      </c>
      <c r="B509">
        <v>100.59</v>
      </c>
      <c r="C509">
        <v>3.0133999999999999</v>
      </c>
      <c r="D509">
        <v>2.8292000000000002</v>
      </c>
      <c r="E509" s="2">
        <f t="shared" si="474"/>
        <v>20.815200000000004</v>
      </c>
      <c r="F509" s="2">
        <f t="shared" si="476"/>
        <v>19.407199999999989</v>
      </c>
      <c r="G509" s="2">
        <f t="shared" si="478"/>
        <v>20.238399999999995</v>
      </c>
      <c r="H509" s="2">
        <f t="shared" si="479"/>
        <v>2.0160153220617261E-2</v>
      </c>
      <c r="I509" s="2">
        <f t="shared" ref="I509:J509" si="536">LN(C508)-LN(C507)</f>
        <v>3.2979384815194912E-3</v>
      </c>
      <c r="J509" s="2">
        <f t="shared" si="536"/>
        <v>1.3477635669506549E-2</v>
      </c>
    </row>
    <row r="510" spans="1:10" x14ac:dyDescent="0.45">
      <c r="A510" s="1">
        <v>40927</v>
      </c>
      <c r="B510">
        <v>100.54</v>
      </c>
      <c r="C510">
        <v>3.036</v>
      </c>
      <c r="D510">
        <v>2.8228</v>
      </c>
      <c r="E510" s="2">
        <f t="shared" si="474"/>
        <v>21.002400000000005</v>
      </c>
      <c r="F510" s="2">
        <f t="shared" si="476"/>
        <v>20.815200000000004</v>
      </c>
      <c r="G510" s="2">
        <f t="shared" si="478"/>
        <v>19.407199999999989</v>
      </c>
      <c r="H510" s="2">
        <f t="shared" si="479"/>
        <v>-1.1922505138066697E-3</v>
      </c>
      <c r="I510" s="2">
        <f t="shared" ref="I510:J510" si="537">LN(C509)-LN(C508)</f>
        <v>-7.8670289718905106E-3</v>
      </c>
      <c r="J510" s="2">
        <f t="shared" si="537"/>
        <v>2.0677461994436541E-2</v>
      </c>
    </row>
    <row r="511" spans="1:10" x14ac:dyDescent="0.45">
      <c r="A511" s="1">
        <v>40928</v>
      </c>
      <c r="B511">
        <v>98.33</v>
      </c>
      <c r="C511">
        <v>2.9847999999999999</v>
      </c>
      <c r="D511">
        <v>2.7902999999999998</v>
      </c>
      <c r="E511" s="2">
        <f t="shared" si="474"/>
        <v>21.585599999999982</v>
      </c>
      <c r="F511" s="2">
        <f t="shared" si="476"/>
        <v>21.002400000000005</v>
      </c>
      <c r="G511" s="2">
        <f t="shared" si="478"/>
        <v>20.815200000000004</v>
      </c>
      <c r="H511" s="2">
        <f t="shared" si="479"/>
        <v>-4.9719088181721105E-4</v>
      </c>
      <c r="I511" s="2">
        <f t="shared" ref="I511:J511" si="538">LN(C510)-LN(C509)</f>
        <v>7.471850148332404E-3</v>
      </c>
      <c r="J511" s="2">
        <f t="shared" si="538"/>
        <v>-2.2646860351598352E-3</v>
      </c>
    </row>
    <row r="512" spans="1:10" x14ac:dyDescent="0.45">
      <c r="A512" s="1">
        <v>40931</v>
      </c>
      <c r="B512">
        <v>99.58</v>
      </c>
      <c r="C512">
        <v>3.0034999999999998</v>
      </c>
      <c r="D512">
        <v>2.7856000000000001</v>
      </c>
      <c r="E512" s="2">
        <f t="shared" si="474"/>
        <v>20.465799999999984</v>
      </c>
      <c r="F512" s="2">
        <f t="shared" si="476"/>
        <v>21.585599999999982</v>
      </c>
      <c r="G512" s="2">
        <f t="shared" si="478"/>
        <v>21.002400000000005</v>
      </c>
      <c r="H512" s="2">
        <f t="shared" si="479"/>
        <v>-2.2226489472364719E-2</v>
      </c>
      <c r="I512" s="2">
        <f t="shared" ref="I512:J512" si="539">LN(C511)-LN(C510)</f>
        <v>-1.7008116608572488E-2</v>
      </c>
      <c r="J512" s="2">
        <f t="shared" si="539"/>
        <v>-1.158018321014409E-2</v>
      </c>
    </row>
    <row r="513" spans="1:10" x14ac:dyDescent="0.45">
      <c r="A513" s="1">
        <v>40932</v>
      </c>
      <c r="B513">
        <v>98.95</v>
      </c>
      <c r="C513">
        <v>3.0150999999999999</v>
      </c>
      <c r="D513">
        <v>2.8105000000000002</v>
      </c>
      <c r="E513" s="2">
        <f t="shared" si="474"/>
        <v>21.955399999999997</v>
      </c>
      <c r="F513" s="2">
        <f t="shared" si="476"/>
        <v>20.465799999999984</v>
      </c>
      <c r="G513" s="2">
        <f t="shared" si="478"/>
        <v>21.585599999999982</v>
      </c>
      <c r="H513" s="2">
        <f t="shared" si="479"/>
        <v>1.2632172421971788E-2</v>
      </c>
      <c r="I513" s="2">
        <f t="shared" ref="I513:J513" si="540">LN(C512)-LN(C511)</f>
        <v>6.245532383267971E-3</v>
      </c>
      <c r="J513" s="2">
        <f t="shared" si="540"/>
        <v>-1.6858269026063244E-3</v>
      </c>
    </row>
    <row r="514" spans="1:10" x14ac:dyDescent="0.45">
      <c r="A514" s="1">
        <v>40933</v>
      </c>
      <c r="B514">
        <v>99.4</v>
      </c>
      <c r="C514">
        <v>3.0104000000000002</v>
      </c>
      <c r="D514">
        <v>2.8374000000000001</v>
      </c>
      <c r="E514" s="2">
        <f t="shared" si="474"/>
        <v>22.192799999999995</v>
      </c>
      <c r="F514" s="2">
        <f t="shared" si="476"/>
        <v>21.955399999999997</v>
      </c>
      <c r="G514" s="2">
        <f t="shared" si="478"/>
        <v>20.465799999999984</v>
      </c>
      <c r="H514" s="2">
        <f t="shared" si="479"/>
        <v>-6.3466691654614493E-3</v>
      </c>
      <c r="I514" s="2">
        <f t="shared" ref="I514:J514" si="541">LN(C513)-LN(C512)</f>
        <v>3.8547218168947239E-3</v>
      </c>
      <c r="J514" s="2">
        <f t="shared" si="541"/>
        <v>8.899113428205041E-3</v>
      </c>
    </row>
    <row r="515" spans="1:10" x14ac:dyDescent="0.45">
      <c r="A515" s="1">
        <v>40934</v>
      </c>
      <c r="B515">
        <v>99.7</v>
      </c>
      <c r="C515">
        <v>3.0446</v>
      </c>
      <c r="D515">
        <v>2.8508</v>
      </c>
      <c r="E515" s="2">
        <f t="shared" ref="E515:E578" si="542">(2*D515*42+1*C515*42-3*B515)/3</f>
        <v>22.74679999999999</v>
      </c>
      <c r="F515" s="2">
        <f t="shared" si="476"/>
        <v>22.192799999999995</v>
      </c>
      <c r="G515" s="2">
        <f t="shared" si="478"/>
        <v>21.955399999999997</v>
      </c>
      <c r="H515" s="2">
        <f t="shared" si="479"/>
        <v>4.5374416139534191E-3</v>
      </c>
      <c r="I515" s="2">
        <f t="shared" ref="I515:J515" si="543">LN(C514)-LN(C513)</f>
        <v>-1.5600368278831933E-3</v>
      </c>
      <c r="J515" s="2">
        <f t="shared" si="543"/>
        <v>9.5257364357554941E-3</v>
      </c>
    </row>
    <row r="516" spans="1:10" x14ac:dyDescent="0.45">
      <c r="A516" s="1">
        <v>40935</v>
      </c>
      <c r="B516">
        <v>99.56</v>
      </c>
      <c r="C516">
        <v>3.0592999999999999</v>
      </c>
      <c r="D516">
        <v>2.9234</v>
      </c>
      <c r="E516" s="2">
        <f t="shared" si="542"/>
        <v>25.125399999999996</v>
      </c>
      <c r="F516" s="2">
        <f t="shared" ref="F516:F579" si="544">E515</f>
        <v>22.74679999999999</v>
      </c>
      <c r="G516" s="2">
        <f t="shared" si="478"/>
        <v>22.192799999999995</v>
      </c>
      <c r="H516" s="2">
        <f t="shared" si="479"/>
        <v>3.0135633052639221E-3</v>
      </c>
      <c r="I516" s="2">
        <f t="shared" ref="I516:J516" si="545">LN(C515)-LN(C514)</f>
        <v>1.1296569345926155E-2</v>
      </c>
      <c r="J516" s="2">
        <f t="shared" si="545"/>
        <v>4.7115167498303911E-3</v>
      </c>
    </row>
    <row r="517" spans="1:10" x14ac:dyDescent="0.45">
      <c r="A517" s="1">
        <v>40938</v>
      </c>
      <c r="B517">
        <v>98.78</v>
      </c>
      <c r="C517">
        <v>3.0377999999999998</v>
      </c>
      <c r="D517">
        <v>2.8727</v>
      </c>
      <c r="E517" s="2">
        <f t="shared" si="542"/>
        <v>24.184799999999996</v>
      </c>
      <c r="F517" s="2">
        <f t="shared" si="544"/>
        <v>25.125399999999996</v>
      </c>
      <c r="G517" s="2">
        <f t="shared" ref="G517:G580" si="546">E515</f>
        <v>22.74679999999999</v>
      </c>
      <c r="H517" s="2">
        <f t="shared" ref="H517:H580" si="547">LN(B516)-LN(B515)</f>
        <v>-1.4051994684010083E-3</v>
      </c>
      <c r="I517" s="2">
        <f t="shared" ref="I517:J517" si="548">LN(C516)-LN(C515)</f>
        <v>4.8166019821969108E-3</v>
      </c>
      <c r="J517" s="2">
        <f t="shared" si="548"/>
        <v>2.514766582747674E-2</v>
      </c>
    </row>
    <row r="518" spans="1:10" x14ac:dyDescent="0.45">
      <c r="A518" s="1">
        <v>40939</v>
      </c>
      <c r="B518">
        <v>98.48</v>
      </c>
      <c r="C518">
        <v>3.0508999999999999</v>
      </c>
      <c r="D518">
        <v>2.8908999999999998</v>
      </c>
      <c r="E518" s="2">
        <f t="shared" si="542"/>
        <v>25.177799999999991</v>
      </c>
      <c r="F518" s="2">
        <f t="shared" si="544"/>
        <v>24.184799999999996</v>
      </c>
      <c r="G518" s="2">
        <f t="shared" si="546"/>
        <v>25.125399999999996</v>
      </c>
      <c r="H518" s="2">
        <f t="shared" si="547"/>
        <v>-7.86532238691251E-3</v>
      </c>
      <c r="I518" s="2">
        <f t="shared" ref="I518:J518" si="549">LN(C517)-LN(C516)</f>
        <v>-7.0525624034321055E-3</v>
      </c>
      <c r="J518" s="2">
        <f t="shared" si="549"/>
        <v>-1.7494968394510702E-2</v>
      </c>
    </row>
    <row r="519" spans="1:10" x14ac:dyDescent="0.45">
      <c r="A519" s="1">
        <v>40940</v>
      </c>
      <c r="B519">
        <v>97.61</v>
      </c>
      <c r="C519">
        <v>3.0455000000000001</v>
      </c>
      <c r="D519">
        <v>2.8921999999999999</v>
      </c>
      <c r="E519" s="2">
        <f t="shared" si="542"/>
        <v>26.008600000000001</v>
      </c>
      <c r="F519" s="2">
        <f t="shared" si="544"/>
        <v>25.177799999999991</v>
      </c>
      <c r="G519" s="2">
        <f t="shared" si="546"/>
        <v>24.184799999999996</v>
      </c>
      <c r="H519" s="2">
        <f t="shared" si="547"/>
        <v>-3.0416732362805732E-3</v>
      </c>
      <c r="I519" s="2">
        <f t="shared" ref="I519:J519" si="550">LN(C518)-LN(C517)</f>
        <v>4.3030598366309292E-3</v>
      </c>
      <c r="J519" s="2">
        <f t="shared" si="550"/>
        <v>6.315518250183505E-3</v>
      </c>
    </row>
    <row r="520" spans="1:10" x14ac:dyDescent="0.45">
      <c r="A520" s="1">
        <v>40941</v>
      </c>
      <c r="B520">
        <v>96.36</v>
      </c>
      <c r="C520">
        <v>3.0529000000000002</v>
      </c>
      <c r="D520">
        <v>2.8689</v>
      </c>
      <c r="E520" s="2">
        <f t="shared" si="542"/>
        <v>26.709799999999991</v>
      </c>
      <c r="F520" s="2">
        <f t="shared" si="544"/>
        <v>26.008600000000001</v>
      </c>
      <c r="G520" s="2">
        <f t="shared" si="546"/>
        <v>25.177799999999991</v>
      </c>
      <c r="H520" s="2">
        <f t="shared" si="547"/>
        <v>-8.8735346893242806E-3</v>
      </c>
      <c r="I520" s="2">
        <f t="shared" ref="I520:J520" si="551">LN(C519)-LN(C518)</f>
        <v>-1.7715377640099561E-3</v>
      </c>
      <c r="J520" s="2">
        <f t="shared" si="551"/>
        <v>4.4958586982657422E-4</v>
      </c>
    </row>
    <row r="521" spans="1:10" x14ac:dyDescent="0.45">
      <c r="A521" s="1">
        <v>40942</v>
      </c>
      <c r="B521">
        <v>97.84</v>
      </c>
      <c r="C521">
        <v>3.1143999999999998</v>
      </c>
      <c r="D521">
        <v>2.9144000000000001</v>
      </c>
      <c r="E521" s="2">
        <f t="shared" si="542"/>
        <v>27.36480000000002</v>
      </c>
      <c r="F521" s="2">
        <f t="shared" si="544"/>
        <v>26.709799999999991</v>
      </c>
      <c r="G521" s="2">
        <f t="shared" si="546"/>
        <v>26.008600000000001</v>
      </c>
      <c r="H521" s="2">
        <f t="shared" si="547"/>
        <v>-1.288876944020334E-2</v>
      </c>
      <c r="I521" s="2">
        <f t="shared" ref="I521:J521" si="552">LN(C520)-LN(C519)</f>
        <v>2.4268672543525938E-3</v>
      </c>
      <c r="J521" s="2">
        <f t="shared" si="552"/>
        <v>-8.0887771570850031E-3</v>
      </c>
    </row>
    <row r="522" spans="1:10" x14ac:dyDescent="0.45">
      <c r="A522" s="1">
        <v>40945</v>
      </c>
      <c r="B522">
        <v>96.91</v>
      </c>
      <c r="C522">
        <v>3.1707000000000001</v>
      </c>
      <c r="D522">
        <v>2.9279000000000002</v>
      </c>
      <c r="E522" s="2">
        <f t="shared" si="542"/>
        <v>29.460999999999995</v>
      </c>
      <c r="F522" s="2">
        <f t="shared" si="544"/>
        <v>27.36480000000002</v>
      </c>
      <c r="G522" s="2">
        <f t="shared" si="546"/>
        <v>26.709799999999991</v>
      </c>
      <c r="H522" s="2">
        <f t="shared" si="547"/>
        <v>1.5242313632246152E-2</v>
      </c>
      <c r="I522" s="2">
        <f t="shared" ref="I522:J522" si="553">LN(C521)-LN(C520)</f>
        <v>1.9944558765353948E-2</v>
      </c>
      <c r="J522" s="2">
        <f t="shared" si="553"/>
        <v>1.5735285670747334E-2</v>
      </c>
    </row>
    <row r="523" spans="1:10" x14ac:dyDescent="0.45">
      <c r="A523" s="1">
        <v>40946</v>
      </c>
      <c r="B523">
        <v>98.41</v>
      </c>
      <c r="C523">
        <v>3.1909000000000001</v>
      </c>
      <c r="D523">
        <v>2.9275000000000002</v>
      </c>
      <c r="E523" s="2">
        <f t="shared" si="542"/>
        <v>28.232600000000009</v>
      </c>
      <c r="F523" s="2">
        <f t="shared" si="544"/>
        <v>29.460999999999995</v>
      </c>
      <c r="G523" s="2">
        <f t="shared" si="546"/>
        <v>27.36480000000002</v>
      </c>
      <c r="H523" s="2">
        <f t="shared" si="547"/>
        <v>-9.5507786324580124E-3</v>
      </c>
      <c r="I523" s="2">
        <f t="shared" ref="I523:J523" si="554">LN(C522)-LN(C521)</f>
        <v>1.7915866387165469E-2</v>
      </c>
      <c r="J523" s="2">
        <f t="shared" si="554"/>
        <v>4.6214757981566379E-3</v>
      </c>
    </row>
    <row r="524" spans="1:10" x14ac:dyDescent="0.45">
      <c r="A524" s="1">
        <v>40947</v>
      </c>
      <c r="B524">
        <v>98.71</v>
      </c>
      <c r="C524">
        <v>3.1894999999999998</v>
      </c>
      <c r="D524">
        <v>2.9752000000000001</v>
      </c>
      <c r="E524" s="2">
        <f t="shared" si="542"/>
        <v>29.24860000000001</v>
      </c>
      <c r="F524" s="2">
        <f t="shared" si="544"/>
        <v>28.232600000000009</v>
      </c>
      <c r="G524" s="2">
        <f t="shared" si="546"/>
        <v>29.460999999999995</v>
      </c>
      <c r="H524" s="2">
        <f t="shared" si="547"/>
        <v>1.5359712164435102E-2</v>
      </c>
      <c r="I524" s="2">
        <f t="shared" ref="I524:J524" si="555">LN(C523)-LN(C522)</f>
        <v>6.350624965267837E-3</v>
      </c>
      <c r="J524" s="2">
        <f t="shared" si="555"/>
        <v>-1.366260206381309E-4</v>
      </c>
    </row>
    <row r="525" spans="1:10" x14ac:dyDescent="0.45">
      <c r="A525" s="1">
        <v>40948</v>
      </c>
      <c r="B525">
        <v>99.84</v>
      </c>
      <c r="C525">
        <v>3.2084999999999999</v>
      </c>
      <c r="D525">
        <v>3.0127999999999999</v>
      </c>
      <c r="E525" s="2">
        <f t="shared" si="542"/>
        <v>29.437400000000007</v>
      </c>
      <c r="F525" s="2">
        <f t="shared" si="544"/>
        <v>29.24860000000001</v>
      </c>
      <c r="G525" s="2">
        <f t="shared" si="546"/>
        <v>28.232600000000009</v>
      </c>
      <c r="H525" s="2">
        <f t="shared" si="547"/>
        <v>3.0438335189026944E-3</v>
      </c>
      <c r="I525" s="2">
        <f t="shared" ref="I525:J525" si="556">LN(C524)-LN(C523)</f>
        <v>-4.3884396666937775E-4</v>
      </c>
      <c r="J525" s="2">
        <f t="shared" si="556"/>
        <v>1.6162447138987845E-2</v>
      </c>
    </row>
    <row r="526" spans="1:10" x14ac:dyDescent="0.45">
      <c r="A526" s="1">
        <v>40949</v>
      </c>
      <c r="B526">
        <v>98.67</v>
      </c>
      <c r="C526">
        <v>3.1821000000000002</v>
      </c>
      <c r="D526">
        <v>2.9748999999999999</v>
      </c>
      <c r="E526" s="2">
        <f t="shared" si="542"/>
        <v>29.176600000000008</v>
      </c>
      <c r="F526" s="2">
        <f t="shared" si="544"/>
        <v>29.437400000000007</v>
      </c>
      <c r="G526" s="2">
        <f t="shared" si="546"/>
        <v>29.24860000000001</v>
      </c>
      <c r="H526" s="2">
        <f t="shared" si="547"/>
        <v>1.1382646191321122E-2</v>
      </c>
      <c r="I526" s="2">
        <f t="shared" ref="I526:J526" si="557">LN(C525)-LN(C524)</f>
        <v>5.9393735085599975E-3</v>
      </c>
      <c r="J526" s="2">
        <f t="shared" si="557"/>
        <v>1.255861529202762E-2</v>
      </c>
    </row>
    <row r="527" spans="1:10" x14ac:dyDescent="0.45">
      <c r="A527" s="1">
        <v>40952</v>
      </c>
      <c r="B527">
        <v>100.91</v>
      </c>
      <c r="C527">
        <v>3.16</v>
      </c>
      <c r="D527">
        <v>3.0125000000000002</v>
      </c>
      <c r="E527" s="2">
        <f t="shared" si="542"/>
        <v>27.679999999999989</v>
      </c>
      <c r="F527" s="2">
        <f t="shared" si="544"/>
        <v>29.176600000000008</v>
      </c>
      <c r="G527" s="2">
        <f t="shared" si="546"/>
        <v>29.437400000000007</v>
      </c>
      <c r="H527" s="2">
        <f t="shared" si="547"/>
        <v>-1.1787955752041945E-2</v>
      </c>
      <c r="I527" s="2">
        <f t="shared" ref="I527:J527" si="558">LN(C526)-LN(C525)</f>
        <v>-8.2621820110355682E-3</v>
      </c>
      <c r="J527" s="2">
        <f t="shared" si="558"/>
        <v>-1.2659453933480558E-2</v>
      </c>
    </row>
    <row r="528" spans="1:10" x14ac:dyDescent="0.45">
      <c r="A528" s="1">
        <v>40953</v>
      </c>
      <c r="B528">
        <v>100.74</v>
      </c>
      <c r="C528">
        <v>3.1648000000000001</v>
      </c>
      <c r="D528">
        <v>2.9824999999999999</v>
      </c>
      <c r="E528" s="2">
        <f t="shared" si="542"/>
        <v>27.077200000000005</v>
      </c>
      <c r="F528" s="2">
        <f t="shared" si="544"/>
        <v>27.679999999999989</v>
      </c>
      <c r="G528" s="2">
        <f t="shared" si="546"/>
        <v>29.176600000000008</v>
      </c>
      <c r="H528" s="2">
        <f t="shared" si="547"/>
        <v>2.2448081607361559E-2</v>
      </c>
      <c r="I528" s="2">
        <f t="shared" ref="I528:J528" si="559">LN(C527)-LN(C526)</f>
        <v>-6.9693285985765741E-3</v>
      </c>
      <c r="J528" s="2">
        <f t="shared" si="559"/>
        <v>1.2559873829502965E-2</v>
      </c>
    </row>
    <row r="529" spans="1:10" x14ac:dyDescent="0.45">
      <c r="A529" s="1">
        <v>40954</v>
      </c>
      <c r="B529">
        <v>101.8</v>
      </c>
      <c r="C529">
        <v>3.1916000000000002</v>
      </c>
      <c r="D529">
        <v>3.0066999999999999</v>
      </c>
      <c r="E529" s="2">
        <f t="shared" si="542"/>
        <v>27.070000000000011</v>
      </c>
      <c r="F529" s="2">
        <f t="shared" si="544"/>
        <v>27.077200000000005</v>
      </c>
      <c r="G529" s="2">
        <f t="shared" si="546"/>
        <v>27.679999999999989</v>
      </c>
      <c r="H529" s="2">
        <f t="shared" si="547"/>
        <v>-1.6860901589330624E-3</v>
      </c>
      <c r="I529" s="2">
        <f t="shared" ref="I529:J529" si="560">LN(C528)-LN(C527)</f>
        <v>1.5178348474351733E-3</v>
      </c>
      <c r="J529" s="2">
        <f t="shared" si="560"/>
        <v>-1.0008423826839197E-2</v>
      </c>
    </row>
    <row r="530" spans="1:10" x14ac:dyDescent="0.45">
      <c r="A530" s="1">
        <v>40955</v>
      </c>
      <c r="B530">
        <v>102.31</v>
      </c>
      <c r="C530">
        <v>3.2097000000000002</v>
      </c>
      <c r="D530">
        <v>3.0470999999999999</v>
      </c>
      <c r="E530" s="2">
        <f t="shared" si="542"/>
        <v>27.944599999999998</v>
      </c>
      <c r="F530" s="2">
        <f t="shared" si="544"/>
        <v>27.070000000000011</v>
      </c>
      <c r="G530" s="2">
        <f t="shared" si="546"/>
        <v>27.077200000000005</v>
      </c>
      <c r="H530" s="2">
        <f t="shared" si="547"/>
        <v>1.0467163798917767E-2</v>
      </c>
      <c r="I530" s="2">
        <f t="shared" ref="I530:J530" si="561">LN(C529)-LN(C528)</f>
        <v>8.4324960057329257E-3</v>
      </c>
      <c r="J530" s="2">
        <f t="shared" si="561"/>
        <v>8.0812568295349774E-3</v>
      </c>
    </row>
    <row r="531" spans="1:10" x14ac:dyDescent="0.45">
      <c r="A531" s="1">
        <v>40956</v>
      </c>
      <c r="B531">
        <v>103.6</v>
      </c>
      <c r="C531">
        <v>3.1888999999999998</v>
      </c>
      <c r="D531">
        <v>3.1876000000000002</v>
      </c>
      <c r="E531" s="2">
        <f t="shared" si="542"/>
        <v>30.2974</v>
      </c>
      <c r="F531" s="2">
        <f t="shared" si="544"/>
        <v>27.944599999999998</v>
      </c>
      <c r="G531" s="2">
        <f t="shared" si="546"/>
        <v>27.070000000000011</v>
      </c>
      <c r="H531" s="2">
        <f t="shared" si="547"/>
        <v>4.9973157744265251E-3</v>
      </c>
      <c r="I531" s="2">
        <f t="shared" ref="I531:J531" si="562">LN(C530)-LN(C529)</f>
        <v>5.6551163785447667E-3</v>
      </c>
      <c r="J531" s="2">
        <f t="shared" si="562"/>
        <v>1.3347186811959011E-2</v>
      </c>
    </row>
    <row r="532" spans="1:10" x14ac:dyDescent="0.45">
      <c r="A532" s="1">
        <v>40960</v>
      </c>
      <c r="B532">
        <v>106.25</v>
      </c>
      <c r="C532">
        <v>3.2347999999999999</v>
      </c>
      <c r="D532">
        <v>3.2484999999999999</v>
      </c>
      <c r="E532" s="2">
        <f t="shared" si="542"/>
        <v>29.995200000000011</v>
      </c>
      <c r="F532" s="2">
        <f t="shared" si="544"/>
        <v>30.2974</v>
      </c>
      <c r="G532" s="2">
        <f t="shared" si="546"/>
        <v>27.944599999999998</v>
      </c>
      <c r="H532" s="2">
        <f t="shared" si="547"/>
        <v>1.2529909934533734E-2</v>
      </c>
      <c r="I532" s="2">
        <f t="shared" ref="I532:J532" si="563">LN(C531)-LN(C530)</f>
        <v>-6.5014450866902607E-3</v>
      </c>
      <c r="J532" s="2">
        <f t="shared" si="563"/>
        <v>4.507796391002783E-2</v>
      </c>
    </row>
    <row r="533" spans="1:10" x14ac:dyDescent="0.45">
      <c r="A533" s="1">
        <v>40961</v>
      </c>
      <c r="B533">
        <v>106.28</v>
      </c>
      <c r="C533">
        <v>3.2650000000000001</v>
      </c>
      <c r="D533">
        <v>3.2629999999999999</v>
      </c>
      <c r="E533" s="2">
        <f t="shared" si="542"/>
        <v>30.793999999999983</v>
      </c>
      <c r="F533" s="2">
        <f t="shared" si="544"/>
        <v>29.995200000000011</v>
      </c>
      <c r="G533" s="2">
        <f t="shared" si="546"/>
        <v>30.2974</v>
      </c>
      <c r="H533" s="2">
        <f t="shared" si="547"/>
        <v>2.5257477979144127E-2</v>
      </c>
      <c r="I533" s="2">
        <f t="shared" ref="I533:J533" si="564">LN(C532)-LN(C531)</f>
        <v>1.4291072495686619E-2</v>
      </c>
      <c r="J533" s="2">
        <f t="shared" si="564"/>
        <v>1.8925068796992628E-2</v>
      </c>
    </row>
    <row r="534" spans="1:10" x14ac:dyDescent="0.45">
      <c r="A534" s="1">
        <v>40962</v>
      </c>
      <c r="B534">
        <v>107.83</v>
      </c>
      <c r="C534">
        <v>3.29</v>
      </c>
      <c r="D534">
        <v>3.2879999999999998</v>
      </c>
      <c r="E534" s="2">
        <f t="shared" si="542"/>
        <v>30.294</v>
      </c>
      <c r="F534" s="2">
        <f t="shared" si="544"/>
        <v>30.793999999999983</v>
      </c>
      <c r="G534" s="2">
        <f t="shared" si="546"/>
        <v>29.995200000000011</v>
      </c>
      <c r="H534" s="2">
        <f t="shared" si="547"/>
        <v>2.8231308708637215E-4</v>
      </c>
      <c r="I534" s="2">
        <f t="shared" ref="I534:J534" si="565">LN(C533)-LN(C532)</f>
        <v>9.2926604888645681E-3</v>
      </c>
      <c r="J534" s="2">
        <f t="shared" si="565"/>
        <v>4.453666272735024E-3</v>
      </c>
    </row>
    <row r="535" spans="1:10" x14ac:dyDescent="0.45">
      <c r="A535" s="1">
        <v>40963</v>
      </c>
      <c r="B535">
        <v>109.77</v>
      </c>
      <c r="C535">
        <v>3.3130000000000002</v>
      </c>
      <c r="D535">
        <v>3.3247</v>
      </c>
      <c r="E535" s="2">
        <f t="shared" si="542"/>
        <v>29.703600000000012</v>
      </c>
      <c r="F535" s="2">
        <f t="shared" si="544"/>
        <v>30.294</v>
      </c>
      <c r="G535" s="2">
        <f t="shared" si="546"/>
        <v>30.793999999999983</v>
      </c>
      <c r="H535" s="2">
        <f t="shared" si="547"/>
        <v>1.4478792002368124E-2</v>
      </c>
      <c r="I535" s="2">
        <f t="shared" ref="I535:J535" si="566">LN(C534)-LN(C533)</f>
        <v>7.6278020488860232E-3</v>
      </c>
      <c r="J535" s="2">
        <f t="shared" si="566"/>
        <v>7.6324595827497177E-3</v>
      </c>
    </row>
    <row r="536" spans="1:10" x14ac:dyDescent="0.45">
      <c r="A536" s="1">
        <v>40966</v>
      </c>
      <c r="B536">
        <v>108.56</v>
      </c>
      <c r="C536">
        <v>3.2829000000000002</v>
      </c>
      <c r="D536">
        <v>3.3027000000000002</v>
      </c>
      <c r="E536" s="2">
        <f t="shared" si="542"/>
        <v>29.876200000000001</v>
      </c>
      <c r="F536" s="2">
        <f t="shared" si="544"/>
        <v>29.703600000000012</v>
      </c>
      <c r="G536" s="2">
        <f t="shared" si="546"/>
        <v>30.294</v>
      </c>
      <c r="H536" s="2">
        <f t="shared" si="547"/>
        <v>1.7831354805244004E-2</v>
      </c>
      <c r="I536" s="2">
        <f t="shared" ref="I536:J536" si="567">LN(C535)-LN(C534)</f>
        <v>6.9665585404783403E-3</v>
      </c>
      <c r="J536" s="2">
        <f t="shared" si="567"/>
        <v>1.1099967279403211E-2</v>
      </c>
    </row>
    <row r="537" spans="1:10" x14ac:dyDescent="0.45">
      <c r="A537" s="1">
        <v>40967</v>
      </c>
      <c r="B537">
        <v>106.55</v>
      </c>
      <c r="C537">
        <v>3.2201</v>
      </c>
      <c r="D537">
        <v>3.2246999999999999</v>
      </c>
      <c r="E537" s="2">
        <f t="shared" si="542"/>
        <v>28.823000000000018</v>
      </c>
      <c r="F537" s="2">
        <f t="shared" si="544"/>
        <v>29.876200000000001</v>
      </c>
      <c r="G537" s="2">
        <f t="shared" si="546"/>
        <v>29.703600000000012</v>
      </c>
      <c r="H537" s="2">
        <f t="shared" si="547"/>
        <v>-1.1084252172611109E-2</v>
      </c>
      <c r="I537" s="2">
        <f t="shared" ref="I537:J537" si="568">LN(C536)-LN(C535)</f>
        <v>-9.1269452073887702E-3</v>
      </c>
      <c r="J537" s="2">
        <f t="shared" si="568"/>
        <v>-6.639128711006359E-3</v>
      </c>
    </row>
    <row r="538" spans="1:10" x14ac:dyDescent="0.45">
      <c r="A538" s="1">
        <v>40968</v>
      </c>
      <c r="B538">
        <v>107.07</v>
      </c>
      <c r="C538">
        <v>3.2059000000000002</v>
      </c>
      <c r="D538">
        <v>3.2572000000000001</v>
      </c>
      <c r="E538" s="2">
        <f t="shared" si="542"/>
        <v>29.014200000000017</v>
      </c>
      <c r="F538" s="2">
        <f t="shared" si="544"/>
        <v>28.823000000000018</v>
      </c>
      <c r="G538" s="2">
        <f t="shared" si="546"/>
        <v>29.876200000000001</v>
      </c>
      <c r="H538" s="2">
        <f t="shared" si="547"/>
        <v>-1.8688656981987961E-2</v>
      </c>
      <c r="I538" s="2">
        <f t="shared" ref="I538:J538" si="569">LN(C537)-LN(C536)</f>
        <v>-1.9314763135656499E-2</v>
      </c>
      <c r="J538" s="2">
        <f t="shared" si="569"/>
        <v>-2.3900393097339823E-2</v>
      </c>
    </row>
    <row r="539" spans="1:10" x14ac:dyDescent="0.45">
      <c r="A539" s="1">
        <v>40969</v>
      </c>
      <c r="B539">
        <v>108.84</v>
      </c>
      <c r="C539">
        <v>3.2753000000000001</v>
      </c>
      <c r="D539">
        <v>3.3517000000000001</v>
      </c>
      <c r="E539" s="2">
        <f t="shared" si="542"/>
        <v>30.861800000000017</v>
      </c>
      <c r="F539" s="2">
        <f t="shared" si="544"/>
        <v>29.014200000000017</v>
      </c>
      <c r="G539" s="2">
        <f t="shared" si="546"/>
        <v>28.823000000000018</v>
      </c>
      <c r="H539" s="2">
        <f t="shared" si="547"/>
        <v>4.8684676255525972E-3</v>
      </c>
      <c r="I539" s="2">
        <f t="shared" ref="I539:J539" si="570">LN(C538)-LN(C537)</f>
        <v>-4.4195527897255005E-3</v>
      </c>
      <c r="J539" s="2">
        <f t="shared" si="570"/>
        <v>1.0028007945848794E-2</v>
      </c>
    </row>
    <row r="540" spans="1:10" x14ac:dyDescent="0.45">
      <c r="A540" s="1">
        <v>40970</v>
      </c>
      <c r="B540">
        <v>106.7</v>
      </c>
      <c r="C540">
        <v>3.2018</v>
      </c>
      <c r="D540">
        <v>3.2721</v>
      </c>
      <c r="E540" s="2">
        <f t="shared" si="542"/>
        <v>29.743999999999989</v>
      </c>
      <c r="F540" s="2">
        <f t="shared" si="544"/>
        <v>30.861800000000017</v>
      </c>
      <c r="G540" s="2">
        <f t="shared" si="546"/>
        <v>29.014200000000017</v>
      </c>
      <c r="H540" s="2">
        <f t="shared" si="547"/>
        <v>1.6396087744866783E-2</v>
      </c>
      <c r="I540" s="2">
        <f t="shared" ref="I540:J540" si="571">LN(C539)-LN(C538)</f>
        <v>2.1416605760358864E-2</v>
      </c>
      <c r="J540" s="2">
        <f t="shared" si="571"/>
        <v>2.8599749197057767E-2</v>
      </c>
    </row>
    <row r="541" spans="1:10" x14ac:dyDescent="0.45">
      <c r="A541" s="1">
        <v>40973</v>
      </c>
      <c r="B541">
        <v>106.72</v>
      </c>
      <c r="C541">
        <v>3.2174</v>
      </c>
      <c r="D541">
        <v>3.258</v>
      </c>
      <c r="E541" s="2">
        <f t="shared" si="542"/>
        <v>29.547600000000028</v>
      </c>
      <c r="F541" s="2">
        <f t="shared" si="544"/>
        <v>29.743999999999989</v>
      </c>
      <c r="G541" s="2">
        <f t="shared" si="546"/>
        <v>30.861800000000017</v>
      </c>
      <c r="H541" s="2">
        <f t="shared" si="547"/>
        <v>-1.9857755607337602E-2</v>
      </c>
      <c r="I541" s="2">
        <f t="shared" ref="I541:J541" si="572">LN(C540)-LN(C539)</f>
        <v>-2.2696316283489892E-2</v>
      </c>
      <c r="J541" s="2">
        <f t="shared" si="572"/>
        <v>-2.4035699187227033E-2</v>
      </c>
    </row>
    <row r="542" spans="1:10" x14ac:dyDescent="0.45">
      <c r="A542" s="1">
        <v>40974</v>
      </c>
      <c r="B542">
        <v>104.7</v>
      </c>
      <c r="C542">
        <v>3.1882000000000001</v>
      </c>
      <c r="D542">
        <v>3.2299000000000002</v>
      </c>
      <c r="E542" s="2">
        <f t="shared" si="542"/>
        <v>30.371999999999996</v>
      </c>
      <c r="F542" s="2">
        <f t="shared" si="544"/>
        <v>29.547600000000028</v>
      </c>
      <c r="G542" s="2">
        <f t="shared" si="546"/>
        <v>29.743999999999989</v>
      </c>
      <c r="H542" s="2">
        <f t="shared" si="547"/>
        <v>1.8742385960557328E-4</v>
      </c>
      <c r="I542" s="2">
        <f t="shared" ref="I542:J542" si="573">LN(C541)-LN(C540)</f>
        <v>4.8604283122133385E-3</v>
      </c>
      <c r="J542" s="2">
        <f t="shared" si="573"/>
        <v>-4.3184704408165686E-3</v>
      </c>
    </row>
    <row r="543" spans="1:10" x14ac:dyDescent="0.45">
      <c r="A543" s="1">
        <v>40975</v>
      </c>
      <c r="B543">
        <v>106.16</v>
      </c>
      <c r="C543">
        <v>3.2193999999999998</v>
      </c>
      <c r="D543">
        <v>3.2873999999999999</v>
      </c>
      <c r="E543" s="2">
        <f t="shared" si="542"/>
        <v>30.958799999999997</v>
      </c>
      <c r="F543" s="2">
        <f t="shared" si="544"/>
        <v>30.371999999999996</v>
      </c>
      <c r="G543" s="2">
        <f t="shared" si="546"/>
        <v>29.547600000000028</v>
      </c>
      <c r="H543" s="2">
        <f t="shared" si="547"/>
        <v>-1.9109464290822054E-2</v>
      </c>
      <c r="I543" s="2">
        <f t="shared" ref="I543:J543" si="574">LN(C542)-LN(C541)</f>
        <v>-9.1170857566611474E-3</v>
      </c>
      <c r="J543" s="2">
        <f t="shared" si="574"/>
        <v>-8.6623331768731493E-3</v>
      </c>
    </row>
    <row r="544" spans="1:10" x14ac:dyDescent="0.45">
      <c r="A544" s="1">
        <v>40976</v>
      </c>
      <c r="B544">
        <v>106.58</v>
      </c>
      <c r="C544">
        <v>3.2694999999999999</v>
      </c>
      <c r="D544">
        <v>3.3140000000000001</v>
      </c>
      <c r="E544" s="2">
        <f t="shared" si="542"/>
        <v>31.984999999999975</v>
      </c>
      <c r="F544" s="2">
        <f t="shared" si="544"/>
        <v>30.958799999999997</v>
      </c>
      <c r="G544" s="2">
        <f t="shared" si="546"/>
        <v>30.371999999999996</v>
      </c>
      <c r="H544" s="2">
        <f t="shared" si="547"/>
        <v>1.3848272147461316E-2</v>
      </c>
      <c r="I544" s="2">
        <f t="shared" ref="I544:J544" si="575">LN(C543)-LN(C542)</f>
        <v>9.7385125725826249E-3</v>
      </c>
      <c r="J544" s="2">
        <f t="shared" si="575"/>
        <v>1.7645801787307791E-2</v>
      </c>
    </row>
    <row r="545" spans="1:10" x14ac:dyDescent="0.45">
      <c r="A545" s="1">
        <v>40977</v>
      </c>
      <c r="B545">
        <v>107.4</v>
      </c>
      <c r="C545">
        <v>3.2637999999999998</v>
      </c>
      <c r="D545">
        <v>3.3323999999999998</v>
      </c>
      <c r="E545" s="2">
        <f t="shared" si="542"/>
        <v>31.600399999999997</v>
      </c>
      <c r="F545" s="2">
        <f t="shared" si="544"/>
        <v>31.984999999999975</v>
      </c>
      <c r="G545" s="2">
        <f t="shared" si="546"/>
        <v>30.958799999999997</v>
      </c>
      <c r="H545" s="2">
        <f t="shared" si="547"/>
        <v>3.9484868446839627E-3</v>
      </c>
      <c r="I545" s="2">
        <f t="shared" ref="I545:J545" si="576">LN(C544)-LN(C543)</f>
        <v>1.5442061229201665E-2</v>
      </c>
      <c r="J545" s="2">
        <f t="shared" si="576"/>
        <v>8.0589402140831545E-3</v>
      </c>
    </row>
    <row r="546" spans="1:10" x14ac:dyDescent="0.45">
      <c r="A546" s="1">
        <v>40980</v>
      </c>
      <c r="B546">
        <v>106.34</v>
      </c>
      <c r="C546">
        <v>3.2429000000000001</v>
      </c>
      <c r="D546">
        <f>(D545+D547)/2</f>
        <v>3.3434999999999997</v>
      </c>
      <c r="E546" s="2">
        <f t="shared" si="542"/>
        <v>32.678599999999996</v>
      </c>
      <c r="F546" s="2">
        <f t="shared" si="544"/>
        <v>31.600399999999997</v>
      </c>
      <c r="G546" s="2">
        <f t="shared" si="546"/>
        <v>31.984999999999975</v>
      </c>
      <c r="H546" s="2">
        <f t="shared" si="547"/>
        <v>7.6643052061280414E-3</v>
      </c>
      <c r="I546" s="2">
        <f t="shared" ref="I546:J546" si="577">LN(C545)-LN(C544)</f>
        <v>-1.7449073044963903E-3</v>
      </c>
      <c r="J546" s="2">
        <f t="shared" si="577"/>
        <v>5.5368461142459857E-3</v>
      </c>
    </row>
    <row r="547" spans="1:10" x14ac:dyDescent="0.45">
      <c r="A547" s="1">
        <v>40981</v>
      </c>
      <c r="B547">
        <v>106.71</v>
      </c>
      <c r="C547">
        <v>3.2711999999999999</v>
      </c>
      <c r="D547">
        <v>3.3546</v>
      </c>
      <c r="E547" s="2">
        <f t="shared" si="542"/>
        <v>33.015600000000006</v>
      </c>
      <c r="F547" s="2">
        <f t="shared" si="544"/>
        <v>32.678599999999996</v>
      </c>
      <c r="G547" s="2">
        <f t="shared" si="546"/>
        <v>31.600399999999997</v>
      </c>
      <c r="H547" s="2">
        <f t="shared" si="547"/>
        <v>-9.9186739985723804E-3</v>
      </c>
      <c r="I547" s="2">
        <f t="shared" ref="I547:J547" si="578">LN(C546)-LN(C545)</f>
        <v>-6.4241695109512609E-3</v>
      </c>
      <c r="J547" s="2">
        <f>LN(D546)-LN(D545)</f>
        <v>3.3253973932789727E-3</v>
      </c>
    </row>
    <row r="548" spans="1:10" x14ac:dyDescent="0.45">
      <c r="A548" s="1">
        <v>40982</v>
      </c>
      <c r="B548">
        <v>105.43</v>
      </c>
      <c r="C548">
        <v>3.2618</v>
      </c>
      <c r="D548">
        <v>3.347</v>
      </c>
      <c r="E548" s="2">
        <f t="shared" si="542"/>
        <v>33.951199999999993</v>
      </c>
      <c r="F548" s="2">
        <f t="shared" si="544"/>
        <v>33.015600000000006</v>
      </c>
      <c r="G548" s="2">
        <f t="shared" si="546"/>
        <v>32.678599999999996</v>
      </c>
      <c r="H548" s="2">
        <f t="shared" si="547"/>
        <v>3.4733665522814761E-3</v>
      </c>
      <c r="I548" s="2">
        <f t="shared" ref="I548:J548" si="579">LN(C547)-LN(C546)</f>
        <v>8.688898864549488E-3</v>
      </c>
      <c r="J548" s="2">
        <f t="shared" si="579"/>
        <v>3.3143757666214135E-3</v>
      </c>
    </row>
    <row r="549" spans="1:10" x14ac:dyDescent="0.45">
      <c r="A549" s="1">
        <v>40983</v>
      </c>
      <c r="B549">
        <v>105.11</v>
      </c>
      <c r="C549">
        <v>3.2225000000000001</v>
      </c>
      <c r="D549">
        <v>3.2885</v>
      </c>
      <c r="E549" s="2">
        <f t="shared" si="542"/>
        <v>32.082999999999991</v>
      </c>
      <c r="F549" s="2">
        <f t="shared" si="544"/>
        <v>33.951199999999993</v>
      </c>
      <c r="G549" s="2">
        <f t="shared" si="546"/>
        <v>33.015600000000006</v>
      </c>
      <c r="H549" s="2">
        <f t="shared" si="547"/>
        <v>-1.2067649039614992E-2</v>
      </c>
      <c r="I549" s="2">
        <f t="shared" ref="I549:J549" si="580">LN(C548)-LN(C547)</f>
        <v>-2.8776998276149879E-3</v>
      </c>
      <c r="J549" s="2">
        <f t="shared" si="580"/>
        <v>-2.2681160493278618E-3</v>
      </c>
    </row>
    <row r="550" spans="1:10" x14ac:dyDescent="0.45">
      <c r="A550" s="1">
        <v>40984</v>
      </c>
      <c r="B550">
        <v>107.06</v>
      </c>
      <c r="C550">
        <v>3.2818999999999998</v>
      </c>
      <c r="D550">
        <v>3.3569</v>
      </c>
      <c r="E550" s="2">
        <f t="shared" si="542"/>
        <v>32.879799999999989</v>
      </c>
      <c r="F550" s="2">
        <f t="shared" si="544"/>
        <v>32.082999999999991</v>
      </c>
      <c r="G550" s="2">
        <f t="shared" si="546"/>
        <v>33.951199999999993</v>
      </c>
      <c r="H550" s="2">
        <f t="shared" si="547"/>
        <v>-3.0398047535955541E-3</v>
      </c>
      <c r="I550" s="2">
        <f t="shared" ref="I550:J550" si="581">LN(C549)-LN(C548)</f>
        <v>-1.212173440947506E-2</v>
      </c>
      <c r="J550" s="2">
        <f t="shared" si="581"/>
        <v>-1.763288846992106E-2</v>
      </c>
    </row>
    <row r="551" spans="1:10" x14ac:dyDescent="0.45">
      <c r="A551" s="1">
        <v>40987</v>
      </c>
      <c r="B551">
        <v>108.56</v>
      </c>
      <c r="C551">
        <v>3.2612999999999999</v>
      </c>
      <c r="D551">
        <v>3.3677999999999999</v>
      </c>
      <c r="E551" s="2">
        <f t="shared" si="542"/>
        <v>31.396599999999978</v>
      </c>
      <c r="F551" s="2">
        <f t="shared" si="544"/>
        <v>32.879799999999989</v>
      </c>
      <c r="G551" s="2">
        <f t="shared" si="546"/>
        <v>32.082999999999991</v>
      </c>
      <c r="H551" s="2">
        <f t="shared" si="547"/>
        <v>1.8382004129972707E-2</v>
      </c>
      <c r="I551" s="2">
        <f t="shared" ref="I551:J551" si="582">LN(C550)-LN(C549)</f>
        <v>1.8265067146415737E-2</v>
      </c>
      <c r="J551" s="2">
        <f t="shared" si="582"/>
        <v>2.0586395293304749E-2</v>
      </c>
    </row>
    <row r="552" spans="1:10" x14ac:dyDescent="0.45">
      <c r="A552" s="1">
        <v>40988</v>
      </c>
      <c r="B552">
        <v>106.07</v>
      </c>
      <c r="C552">
        <v>3.2366999999999999</v>
      </c>
      <c r="D552">
        <v>3.3513000000000002</v>
      </c>
      <c r="E552" s="2">
        <f t="shared" si="542"/>
        <v>33.080200000000012</v>
      </c>
      <c r="F552" s="2">
        <f t="shared" si="544"/>
        <v>31.396599999999978</v>
      </c>
      <c r="G552" s="2">
        <f t="shared" si="546"/>
        <v>32.879799999999989</v>
      </c>
      <c r="H552" s="2">
        <f t="shared" si="547"/>
        <v>1.3913590561378086E-2</v>
      </c>
      <c r="I552" s="2">
        <f t="shared" ref="I552:J552" si="583">LN(C551)-LN(C550)</f>
        <v>-6.296634081693897E-3</v>
      </c>
      <c r="J552" s="2">
        <f t="shared" si="583"/>
        <v>3.2417831414981446E-3</v>
      </c>
    </row>
    <row r="553" spans="1:10" x14ac:dyDescent="0.45">
      <c r="A553" s="1">
        <v>40989</v>
      </c>
      <c r="B553">
        <v>107.27</v>
      </c>
      <c r="C553">
        <v>3.2309999999999999</v>
      </c>
      <c r="D553">
        <v>3.3452000000000002</v>
      </c>
      <c r="E553" s="2">
        <f t="shared" si="542"/>
        <v>31.6296</v>
      </c>
      <c r="F553" s="2">
        <f t="shared" si="544"/>
        <v>33.080200000000012</v>
      </c>
      <c r="G553" s="2">
        <f t="shared" si="546"/>
        <v>31.396599999999978</v>
      </c>
      <c r="H553" s="2">
        <f t="shared" si="547"/>
        <v>-2.3203762009234907E-2</v>
      </c>
      <c r="I553" s="2">
        <f t="shared" ref="I553:J553" si="584">LN(C552)-LN(C551)</f>
        <v>-7.5715966526601619E-3</v>
      </c>
      <c r="J553" s="2">
        <f t="shared" si="584"/>
        <v>-4.9113819312960327E-3</v>
      </c>
    </row>
    <row r="554" spans="1:10" x14ac:dyDescent="0.45">
      <c r="A554" s="1">
        <v>40990</v>
      </c>
      <c r="B554">
        <v>105.35</v>
      </c>
      <c r="C554">
        <v>3.1928000000000001</v>
      </c>
      <c r="D554">
        <v>3.3256999999999999</v>
      </c>
      <c r="E554" s="2">
        <f t="shared" si="542"/>
        <v>32.468800000000009</v>
      </c>
      <c r="F554" s="2">
        <f t="shared" si="544"/>
        <v>31.6296</v>
      </c>
      <c r="G554" s="2">
        <f t="shared" si="546"/>
        <v>33.080200000000012</v>
      </c>
      <c r="H554" s="2">
        <f t="shared" si="547"/>
        <v>1.1249767091959129E-2</v>
      </c>
      <c r="I554" s="2">
        <f t="shared" ref="I554:J554" si="585">LN(C553)-LN(C552)</f>
        <v>-1.7626054009058922E-3</v>
      </c>
      <c r="J554" s="2">
        <f t="shared" si="585"/>
        <v>-1.821847737541793E-3</v>
      </c>
    </row>
    <row r="555" spans="1:10" x14ac:dyDescent="0.45">
      <c r="A555" s="1">
        <v>40991</v>
      </c>
      <c r="B555">
        <v>106.87</v>
      </c>
      <c r="C555">
        <v>3.2246999999999999</v>
      </c>
      <c r="D555">
        <v>3.3689</v>
      </c>
      <c r="E555" s="2">
        <f t="shared" si="542"/>
        <v>32.604999999999983</v>
      </c>
      <c r="F555" s="2">
        <f t="shared" si="544"/>
        <v>32.468800000000009</v>
      </c>
      <c r="G555" s="2">
        <f t="shared" si="546"/>
        <v>31.6296</v>
      </c>
      <c r="H555" s="2">
        <f t="shared" si="547"/>
        <v>-1.8060880359140441E-2</v>
      </c>
      <c r="I555" s="2">
        <f t="shared" ref="I555:J555" si="586">LN(C554)-LN(C553)</f>
        <v>-1.1893412089974076E-2</v>
      </c>
      <c r="J555" s="2">
        <f t="shared" si="586"/>
        <v>-5.846304259181867E-3</v>
      </c>
    </row>
    <row r="556" spans="1:10" x14ac:dyDescent="0.45">
      <c r="A556" s="1">
        <v>40994</v>
      </c>
      <c r="B556">
        <v>107.03</v>
      </c>
      <c r="C556">
        <v>3.2465000000000002</v>
      </c>
      <c r="D556">
        <v>3.3986999999999998</v>
      </c>
      <c r="E556" s="2">
        <f t="shared" si="542"/>
        <v>33.584599999999988</v>
      </c>
      <c r="F556" s="2">
        <f t="shared" si="544"/>
        <v>32.604999999999983</v>
      </c>
      <c r="G556" s="2">
        <f t="shared" si="546"/>
        <v>32.468800000000009</v>
      </c>
      <c r="H556" s="2">
        <f t="shared" si="547"/>
        <v>1.4325002286607713E-2</v>
      </c>
      <c r="I556" s="2">
        <f t="shared" ref="I556:J556" si="587">LN(C555)-LN(C554)</f>
        <v>9.9416479126033241E-3</v>
      </c>
      <c r="J556" s="2">
        <f t="shared" si="587"/>
        <v>1.2906103319495044E-2</v>
      </c>
    </row>
    <row r="557" spans="1:10" x14ac:dyDescent="0.45">
      <c r="A557" s="1">
        <v>40995</v>
      </c>
      <c r="B557">
        <v>107.33</v>
      </c>
      <c r="C557">
        <v>3.2360000000000002</v>
      </c>
      <c r="D557">
        <v>3.3864000000000001</v>
      </c>
      <c r="E557" s="2">
        <f t="shared" si="542"/>
        <v>32.793199999999992</v>
      </c>
      <c r="F557" s="2">
        <f t="shared" si="544"/>
        <v>33.584599999999988</v>
      </c>
      <c r="G557" s="2">
        <f t="shared" si="546"/>
        <v>32.604999999999983</v>
      </c>
      <c r="H557" s="2">
        <f t="shared" si="547"/>
        <v>1.49602645947855E-3</v>
      </c>
      <c r="I557" s="2">
        <f t="shared" ref="I557:J557" si="588">LN(C556)-LN(C555)</f>
        <v>6.7375703014140864E-3</v>
      </c>
      <c r="J557" s="2">
        <f t="shared" si="588"/>
        <v>8.8067239798685915E-3</v>
      </c>
    </row>
    <row r="558" spans="1:10" x14ac:dyDescent="0.45">
      <c r="A558" s="1">
        <v>40996</v>
      </c>
      <c r="B558">
        <v>105.41</v>
      </c>
      <c r="C558">
        <v>3.2222</v>
      </c>
      <c r="D558">
        <v>3.3620999999999999</v>
      </c>
      <c r="E558" s="2">
        <f t="shared" si="542"/>
        <v>33.839599999999997</v>
      </c>
      <c r="F558" s="2">
        <f t="shared" si="544"/>
        <v>32.793199999999992</v>
      </c>
      <c r="G558" s="2">
        <f t="shared" si="546"/>
        <v>33.584599999999988</v>
      </c>
      <c r="H558" s="2">
        <f t="shared" si="547"/>
        <v>2.7990314971493291E-3</v>
      </c>
      <c r="I558" s="2">
        <f t="shared" ref="I558:J558" si="589">LN(C557)-LN(C556)</f>
        <v>-3.2394937701591964E-3</v>
      </c>
      <c r="J558" s="2">
        <f t="shared" si="589"/>
        <v>-3.6255953408383945E-3</v>
      </c>
    </row>
    <row r="559" spans="1:10" x14ac:dyDescent="0.45">
      <c r="A559" s="1">
        <v>40997</v>
      </c>
      <c r="B559">
        <v>102.78</v>
      </c>
      <c r="C559">
        <v>3.1698</v>
      </c>
      <c r="D559">
        <v>3.3397000000000001</v>
      </c>
      <c r="E559" s="2">
        <f t="shared" si="542"/>
        <v>35.108799999999995</v>
      </c>
      <c r="F559" s="2">
        <f t="shared" si="544"/>
        <v>33.839599999999997</v>
      </c>
      <c r="G559" s="2">
        <f t="shared" si="546"/>
        <v>32.793199999999992</v>
      </c>
      <c r="H559" s="2">
        <f t="shared" si="547"/>
        <v>-1.8050692226335485E-2</v>
      </c>
      <c r="I559" s="2">
        <f t="shared" ref="I559:J559" si="590">LN(C558)-LN(C557)</f>
        <v>-4.2736431214960291E-3</v>
      </c>
      <c r="J559" s="2">
        <f t="shared" si="590"/>
        <v>-7.2016314806220283E-3</v>
      </c>
    </row>
    <row r="560" spans="1:10" x14ac:dyDescent="0.45">
      <c r="A560" s="1">
        <v>40998</v>
      </c>
      <c r="B560">
        <v>103.02</v>
      </c>
      <c r="C560">
        <v>3.1701000000000001</v>
      </c>
      <c r="D560">
        <v>3.3081</v>
      </c>
      <c r="E560" s="2">
        <f t="shared" si="542"/>
        <v>33.988200000000006</v>
      </c>
      <c r="F560" s="2">
        <f t="shared" si="544"/>
        <v>35.108799999999995</v>
      </c>
      <c r="G560" s="2">
        <f t="shared" si="546"/>
        <v>33.839599999999997</v>
      </c>
      <c r="H560" s="2">
        <f t="shared" si="547"/>
        <v>-2.5266726703014442E-2</v>
      </c>
      <c r="I560" s="2">
        <f t="shared" ref="I560:J560" si="591">LN(C559)-LN(C558)</f>
        <v>-1.6395861658561106E-2</v>
      </c>
      <c r="J560" s="2">
        <f t="shared" si="591"/>
        <v>-6.6847961487173091E-3</v>
      </c>
    </row>
    <row r="561" spans="1:10" x14ac:dyDescent="0.45">
      <c r="A561" s="1">
        <v>41001</v>
      </c>
      <c r="B561">
        <v>105.23</v>
      </c>
      <c r="C561">
        <v>3.2496</v>
      </c>
      <c r="D561">
        <v>3.3822000000000001</v>
      </c>
      <c r="E561" s="2">
        <f t="shared" si="542"/>
        <v>34.966000000000008</v>
      </c>
      <c r="F561" s="2">
        <f t="shared" si="544"/>
        <v>33.988200000000006</v>
      </c>
      <c r="G561" s="2">
        <f t="shared" si="546"/>
        <v>35.108799999999995</v>
      </c>
      <c r="H561" s="2">
        <f t="shared" si="547"/>
        <v>2.3323625733562281E-3</v>
      </c>
      <c r="I561" s="2">
        <f t="shared" ref="I561:J561" si="592">LN(C560)-LN(C559)</f>
        <v>9.4638716769734899E-5</v>
      </c>
      <c r="J561" s="2">
        <f t="shared" si="592"/>
        <v>-9.5069761446322509E-3</v>
      </c>
    </row>
    <row r="562" spans="1:10" x14ac:dyDescent="0.45">
      <c r="A562" s="1">
        <v>41002</v>
      </c>
      <c r="B562">
        <v>104.01</v>
      </c>
      <c r="C562">
        <v>3.2275</v>
      </c>
      <c r="D562">
        <v>3.3954</v>
      </c>
      <c r="E562" s="2">
        <f t="shared" si="542"/>
        <v>36.246199999999988</v>
      </c>
      <c r="F562" s="2">
        <f t="shared" si="544"/>
        <v>34.966000000000008</v>
      </c>
      <c r="G562" s="2">
        <f t="shared" si="546"/>
        <v>33.988200000000006</v>
      </c>
      <c r="H562" s="2">
        <f t="shared" si="547"/>
        <v>2.1225286615281114E-2</v>
      </c>
      <c r="I562" s="2">
        <f t="shared" ref="I562:J562" si="593">LN(C561)-LN(C560)</f>
        <v>2.4768778711025341E-2</v>
      </c>
      <c r="J562" s="2">
        <f t="shared" si="593"/>
        <v>2.2152378882841939E-2</v>
      </c>
    </row>
    <row r="563" spans="1:10" x14ac:dyDescent="0.45">
      <c r="A563" s="1">
        <v>41003</v>
      </c>
      <c r="B563">
        <v>101.47</v>
      </c>
      <c r="C563">
        <v>3.1608999999999998</v>
      </c>
      <c r="D563">
        <v>3.3336000000000001</v>
      </c>
      <c r="E563" s="2">
        <f t="shared" si="542"/>
        <v>36.123400000000025</v>
      </c>
      <c r="F563" s="2">
        <f t="shared" si="544"/>
        <v>36.246199999999988</v>
      </c>
      <c r="G563" s="2">
        <f t="shared" si="546"/>
        <v>34.966000000000008</v>
      </c>
      <c r="H563" s="2">
        <f t="shared" si="547"/>
        <v>-1.1661382387678998E-2</v>
      </c>
      <c r="I563" s="2">
        <f t="shared" ref="I563:J563" si="594">LN(C562)-LN(C561)</f>
        <v>-6.824068105322656E-3</v>
      </c>
      <c r="J563" s="2">
        <f t="shared" si="594"/>
        <v>3.8951890609486561E-3</v>
      </c>
    </row>
    <row r="564" spans="1:10" x14ac:dyDescent="0.45">
      <c r="A564" s="1">
        <v>41004</v>
      </c>
      <c r="B564">
        <v>103.31</v>
      </c>
      <c r="C564">
        <v>3.1692</v>
      </c>
      <c r="D564">
        <v>3.3405</v>
      </c>
      <c r="E564" s="2">
        <f t="shared" si="542"/>
        <v>34.59279999999999</v>
      </c>
      <c r="F564" s="2">
        <f t="shared" si="544"/>
        <v>36.123400000000025</v>
      </c>
      <c r="G564" s="2">
        <f t="shared" si="546"/>
        <v>36.246199999999988</v>
      </c>
      <c r="H564" s="2">
        <f t="shared" si="547"/>
        <v>-2.472386007405003E-2</v>
      </c>
      <c r="I564" s="2">
        <f t="shared" ref="I564:J564" si="595">LN(C563)-LN(C562)</f>
        <v>-2.0851046563962417E-2</v>
      </c>
      <c r="J564" s="2">
        <f t="shared" si="595"/>
        <v>-1.836877326828934E-2</v>
      </c>
    </row>
    <row r="565" spans="1:10" x14ac:dyDescent="0.45">
      <c r="A565" s="1">
        <v>41008</v>
      </c>
      <c r="B565">
        <v>102.46</v>
      </c>
      <c r="C565">
        <v>3.1459000000000001</v>
      </c>
      <c r="D565">
        <v>3.2967</v>
      </c>
      <c r="E565" s="2">
        <f t="shared" si="542"/>
        <v>33.890200000000014</v>
      </c>
      <c r="F565" s="2">
        <f t="shared" si="544"/>
        <v>34.59279999999999</v>
      </c>
      <c r="G565" s="2">
        <f t="shared" si="546"/>
        <v>36.123400000000025</v>
      </c>
      <c r="H565" s="2">
        <f t="shared" si="547"/>
        <v>1.7970988570362501E-2</v>
      </c>
      <c r="I565" s="2">
        <f t="shared" ref="I565:J565" si="596">LN(C564)-LN(C563)</f>
        <v>2.6223929342517049E-3</v>
      </c>
      <c r="J565" s="2">
        <f t="shared" si="596"/>
        <v>2.0676952572882268E-3</v>
      </c>
    </row>
    <row r="566" spans="1:10" x14ac:dyDescent="0.45">
      <c r="A566" s="1">
        <v>41009</v>
      </c>
      <c r="B566">
        <v>101.02</v>
      </c>
      <c r="C566">
        <v>3.0956999999999999</v>
      </c>
      <c r="D566">
        <v>3.2496</v>
      </c>
      <c r="E566" s="2">
        <f t="shared" si="542"/>
        <v>33.308600000000013</v>
      </c>
      <c r="F566" s="2">
        <f t="shared" si="544"/>
        <v>33.890200000000014</v>
      </c>
      <c r="G566" s="2">
        <f t="shared" si="546"/>
        <v>34.59279999999999</v>
      </c>
      <c r="H566" s="2">
        <f t="shared" si="547"/>
        <v>-8.2616983502976638E-3</v>
      </c>
      <c r="I566" s="2">
        <f t="shared" ref="I566:J566" si="597">LN(C565)-LN(C564)</f>
        <v>-7.3791723734846215E-3</v>
      </c>
      <c r="J566" s="2">
        <f t="shared" si="597"/>
        <v>-1.3198528244543928E-2</v>
      </c>
    </row>
    <row r="567" spans="1:10" x14ac:dyDescent="0.45">
      <c r="A567" s="1">
        <v>41010</v>
      </c>
      <c r="B567">
        <v>102.7</v>
      </c>
      <c r="C567">
        <v>3.1149</v>
      </c>
      <c r="D567">
        <v>3.2955000000000001</v>
      </c>
      <c r="E567" s="2">
        <f t="shared" si="542"/>
        <v>33.182599999999979</v>
      </c>
      <c r="F567" s="2">
        <f t="shared" si="544"/>
        <v>33.308600000000013</v>
      </c>
      <c r="G567" s="2">
        <f t="shared" si="546"/>
        <v>33.890200000000014</v>
      </c>
      <c r="H567" s="2">
        <f t="shared" si="547"/>
        <v>-1.4153961471150112E-2</v>
      </c>
      <c r="I567" s="2">
        <f t="shared" ref="I567:J567" si="598">LN(C566)-LN(C565)</f>
        <v>-1.6085965927823853E-2</v>
      </c>
      <c r="J567" s="2">
        <f t="shared" si="598"/>
        <v>-1.4390056294867781E-2</v>
      </c>
    </row>
    <row r="568" spans="1:10" x14ac:dyDescent="0.45">
      <c r="A568" s="1">
        <v>41011</v>
      </c>
      <c r="B568">
        <v>103.64</v>
      </c>
      <c r="C568">
        <v>3.1663000000000001</v>
      </c>
      <c r="D568">
        <v>3.3567</v>
      </c>
      <c r="E568" s="2">
        <f t="shared" si="542"/>
        <v>34.675800000000002</v>
      </c>
      <c r="F568" s="2">
        <f t="shared" si="544"/>
        <v>33.182599999999979</v>
      </c>
      <c r="G568" s="2">
        <f t="shared" si="546"/>
        <v>33.308600000000013</v>
      </c>
      <c r="H568" s="2">
        <f t="shared" si="547"/>
        <v>1.6493599894606525E-2</v>
      </c>
      <c r="I568" s="2">
        <f t="shared" ref="I568:J568" si="599">LN(C567)-LN(C566)</f>
        <v>6.182997187739625E-3</v>
      </c>
      <c r="J568" s="2">
        <f t="shared" si="599"/>
        <v>1.4025989666654359E-2</v>
      </c>
    </row>
    <row r="569" spans="1:10" x14ac:dyDescent="0.45">
      <c r="A569" s="1">
        <v>41012</v>
      </c>
      <c r="B569">
        <v>102.83</v>
      </c>
      <c r="C569">
        <v>3.1745999999999999</v>
      </c>
      <c r="D569">
        <v>3.3460999999999999</v>
      </c>
      <c r="E569" s="2">
        <f t="shared" si="542"/>
        <v>35.305200000000013</v>
      </c>
      <c r="F569" s="2">
        <f t="shared" si="544"/>
        <v>34.675800000000002</v>
      </c>
      <c r="G569" s="2">
        <f t="shared" si="546"/>
        <v>33.182599999999979</v>
      </c>
      <c r="H569" s="2">
        <f t="shared" si="547"/>
        <v>9.111238759396123E-3</v>
      </c>
      <c r="I569" s="2">
        <f t="shared" ref="I569:J569" si="600">LN(C568)-LN(C567)</f>
        <v>1.6366664765201655E-2</v>
      </c>
      <c r="J569" s="2">
        <f t="shared" si="600"/>
        <v>1.8400446989010666E-2</v>
      </c>
    </row>
    <row r="570" spans="1:10" x14ac:dyDescent="0.45">
      <c r="A570" s="1">
        <v>41015</v>
      </c>
      <c r="B570">
        <v>102.93</v>
      </c>
      <c r="C570">
        <v>3.1166</v>
      </c>
      <c r="D570">
        <v>3.2669999999999999</v>
      </c>
      <c r="E570" s="2">
        <f t="shared" si="542"/>
        <v>32.178399999999989</v>
      </c>
      <c r="F570" s="2">
        <f t="shared" si="544"/>
        <v>35.305200000000013</v>
      </c>
      <c r="G570" s="2">
        <f t="shared" si="546"/>
        <v>34.675800000000002</v>
      </c>
      <c r="H570" s="2">
        <f t="shared" si="547"/>
        <v>-7.8462164528092515E-3</v>
      </c>
      <c r="I570" s="2">
        <f t="shared" ref="I570:J570" si="601">LN(C569)-LN(C568)</f>
        <v>2.617926395421355E-3</v>
      </c>
      <c r="J570" s="2">
        <f t="shared" si="601"/>
        <v>-3.1628599500463928E-3</v>
      </c>
    </row>
    <row r="571" spans="1:10" x14ac:dyDescent="0.45">
      <c r="A571" s="1">
        <v>41016</v>
      </c>
      <c r="B571">
        <v>104.2</v>
      </c>
      <c r="C571">
        <v>3.1265999999999998</v>
      </c>
      <c r="D571">
        <v>3.234</v>
      </c>
      <c r="E571" s="2">
        <f t="shared" si="542"/>
        <v>30.124399999999998</v>
      </c>
      <c r="F571" s="2">
        <f t="shared" si="544"/>
        <v>32.178399999999989</v>
      </c>
      <c r="G571" s="2">
        <f t="shared" si="546"/>
        <v>35.305200000000013</v>
      </c>
      <c r="H571" s="2">
        <f t="shared" si="547"/>
        <v>9.7200629736882149E-4</v>
      </c>
      <c r="I571" s="2">
        <f t="shared" ref="I571:J571" si="602">LN(C570)-LN(C569)</f>
        <v>-1.8438976126626816E-2</v>
      </c>
      <c r="J571" s="2">
        <f t="shared" si="602"/>
        <v>-2.3923355930668855E-2</v>
      </c>
    </row>
    <row r="572" spans="1:10" x14ac:dyDescent="0.45">
      <c r="A572" s="1">
        <v>41017</v>
      </c>
      <c r="B572">
        <v>102.67</v>
      </c>
      <c r="C572">
        <v>3.1181999999999999</v>
      </c>
      <c r="D572">
        <v>3.1488999999999998</v>
      </c>
      <c r="E572" s="2">
        <f t="shared" si="542"/>
        <v>29.153999999999996</v>
      </c>
      <c r="F572" s="2">
        <f t="shared" si="544"/>
        <v>30.124399999999998</v>
      </c>
      <c r="G572" s="2">
        <f t="shared" si="546"/>
        <v>32.178399999999989</v>
      </c>
      <c r="H572" s="2">
        <f t="shared" si="547"/>
        <v>1.2262983780797931E-2</v>
      </c>
      <c r="I572" s="2">
        <f t="shared" ref="I572:J572" si="603">LN(C571)-LN(C570)</f>
        <v>3.2034881317095643E-3</v>
      </c>
      <c r="J572" s="2">
        <f t="shared" si="603"/>
        <v>-1.0152371464017929E-2</v>
      </c>
    </row>
    <row r="573" spans="1:10" x14ac:dyDescent="0.45">
      <c r="A573" s="1">
        <v>41018</v>
      </c>
      <c r="B573">
        <v>102.72</v>
      </c>
      <c r="C573">
        <v>3.1284000000000001</v>
      </c>
      <c r="D573">
        <v>3.1158000000000001</v>
      </c>
      <c r="E573" s="2">
        <f t="shared" si="542"/>
        <v>28.320000000000011</v>
      </c>
      <c r="F573" s="2">
        <f t="shared" si="544"/>
        <v>29.153999999999996</v>
      </c>
      <c r="G573" s="2">
        <f t="shared" si="546"/>
        <v>30.124399999999998</v>
      </c>
      <c r="H573" s="2">
        <f t="shared" si="547"/>
        <v>-1.4792168008392892E-2</v>
      </c>
      <c r="I573" s="2">
        <f t="shared" ref="I573:J573" si="604">LN(C572)-LN(C571)</f>
        <v>-2.6902399007726618E-3</v>
      </c>
      <c r="J573" s="2">
        <f t="shared" si="604"/>
        <v>-2.6666575653315316E-2</v>
      </c>
    </row>
    <row r="574" spans="1:10" x14ac:dyDescent="0.45">
      <c r="A574" s="1">
        <v>41019</v>
      </c>
      <c r="B574">
        <v>103.88</v>
      </c>
      <c r="C574">
        <v>3.1408</v>
      </c>
      <c r="D574">
        <v>3.11</v>
      </c>
      <c r="E574" s="2">
        <f t="shared" si="542"/>
        <v>27.171199999999999</v>
      </c>
      <c r="F574" s="2">
        <f t="shared" si="544"/>
        <v>28.320000000000011</v>
      </c>
      <c r="G574" s="2">
        <f t="shared" si="546"/>
        <v>29.153999999999996</v>
      </c>
      <c r="H574" s="2">
        <f t="shared" si="547"/>
        <v>4.8687863077745419E-4</v>
      </c>
      <c r="I574" s="2">
        <f t="shared" ref="I574:J574" si="605">LN(C573)-LN(C572)</f>
        <v>3.2657794850052824E-3</v>
      </c>
      <c r="J574" s="2">
        <f t="shared" si="605"/>
        <v>-1.0567244405408571E-2</v>
      </c>
    </row>
    <row r="575" spans="1:10" x14ac:dyDescent="0.45">
      <c r="A575" s="1">
        <v>41022</v>
      </c>
      <c r="B575">
        <v>103.11</v>
      </c>
      <c r="C575">
        <v>3.1429</v>
      </c>
      <c r="D575">
        <v>3.1476000000000002</v>
      </c>
      <c r="E575" s="2">
        <f t="shared" si="542"/>
        <v>29.02340000000002</v>
      </c>
      <c r="F575" s="2">
        <f t="shared" si="544"/>
        <v>27.171199999999999</v>
      </c>
      <c r="G575" s="2">
        <f t="shared" si="546"/>
        <v>28.320000000000011</v>
      </c>
      <c r="H575" s="2">
        <f t="shared" si="547"/>
        <v>1.1229546852896455E-2</v>
      </c>
      <c r="I575" s="2">
        <f t="shared" ref="I575:J575" si="606">LN(C574)-LN(C573)</f>
        <v>3.955852794740311E-3</v>
      </c>
      <c r="J575" s="2">
        <f t="shared" si="606"/>
        <v>-1.8632149050483715E-3</v>
      </c>
    </row>
    <row r="576" spans="1:10" x14ac:dyDescent="0.45">
      <c r="A576" s="1">
        <v>41023</v>
      </c>
      <c r="B576">
        <v>103.55</v>
      </c>
      <c r="C576">
        <v>3.1345999999999998</v>
      </c>
      <c r="D576">
        <v>3.1240999999999999</v>
      </c>
      <c r="E576" s="2">
        <f t="shared" si="542"/>
        <v>27.809199999999993</v>
      </c>
      <c r="F576" s="2">
        <f t="shared" si="544"/>
        <v>29.02340000000002</v>
      </c>
      <c r="G576" s="2">
        <f t="shared" si="546"/>
        <v>27.171199999999999</v>
      </c>
      <c r="H576" s="2">
        <f t="shared" si="547"/>
        <v>-7.440007264695403E-3</v>
      </c>
      <c r="I576" s="2">
        <f t="shared" ref="I576:J576" si="607">LN(C575)-LN(C574)</f>
        <v>6.6839603360491218E-4</v>
      </c>
      <c r="J576" s="2">
        <f t="shared" si="607"/>
        <v>1.2017531487548583E-2</v>
      </c>
    </row>
    <row r="577" spans="1:10" x14ac:dyDescent="0.45">
      <c r="A577" s="1">
        <v>41024</v>
      </c>
      <c r="B577">
        <v>104.12</v>
      </c>
      <c r="C577">
        <v>3.1669</v>
      </c>
      <c r="D577">
        <v>3.1191</v>
      </c>
      <c r="E577" s="2">
        <f t="shared" si="542"/>
        <v>27.551399999999983</v>
      </c>
      <c r="F577" s="2">
        <f t="shared" si="544"/>
        <v>27.809199999999993</v>
      </c>
      <c r="G577" s="2">
        <f t="shared" si="546"/>
        <v>29.02340000000002</v>
      </c>
      <c r="H577" s="2">
        <f t="shared" si="547"/>
        <v>4.258208311741285E-3</v>
      </c>
      <c r="I577" s="2">
        <f t="shared" ref="I577:J577" si="608">LN(C576)-LN(C575)</f>
        <v>-2.6443663358339808E-3</v>
      </c>
      <c r="J577" s="2">
        <f t="shared" si="608"/>
        <v>-7.4940159702909792E-3</v>
      </c>
    </row>
    <row r="578" spans="1:10" x14ac:dyDescent="0.45">
      <c r="A578" s="1">
        <v>41025</v>
      </c>
      <c r="B578">
        <v>104.55</v>
      </c>
      <c r="C578">
        <v>3.1983999999999999</v>
      </c>
      <c r="D578">
        <v>3.1328</v>
      </c>
      <c r="E578" s="2">
        <f t="shared" si="542"/>
        <v>27.945999999999987</v>
      </c>
      <c r="F578" s="2">
        <f t="shared" si="544"/>
        <v>27.551399999999983</v>
      </c>
      <c r="G578" s="2">
        <f t="shared" si="546"/>
        <v>27.809199999999993</v>
      </c>
      <c r="H578" s="2">
        <f t="shared" si="547"/>
        <v>5.4894922847710248E-3</v>
      </c>
      <c r="I578" s="2">
        <f t="shared" ref="I578:J578" si="609">LN(C577)-LN(C576)</f>
        <v>1.0251617196533003E-2</v>
      </c>
      <c r="J578" s="2">
        <f t="shared" si="609"/>
        <v>-1.6017430385031339E-3</v>
      </c>
    </row>
    <row r="579" spans="1:10" x14ac:dyDescent="0.45">
      <c r="A579" s="1">
        <v>41026</v>
      </c>
      <c r="B579">
        <v>104.93</v>
      </c>
      <c r="C579">
        <v>3.1835</v>
      </c>
      <c r="D579">
        <v>3.1444999999999999</v>
      </c>
      <c r="E579" s="2">
        <f t="shared" ref="E579:E642" si="610">(2*D579*42+1*C579*42-3*B579)/3</f>
        <v>27.684999999999985</v>
      </c>
      <c r="F579" s="2">
        <f t="shared" si="544"/>
        <v>27.945999999999987</v>
      </c>
      <c r="G579" s="2">
        <f t="shared" si="546"/>
        <v>27.551399999999983</v>
      </c>
      <c r="H579" s="2">
        <f t="shared" si="547"/>
        <v>4.1213457482784932E-3</v>
      </c>
      <c r="I579" s="2">
        <f t="shared" ref="I579:J579" si="611">LN(C578)-LN(C577)</f>
        <v>9.8974933296349654E-3</v>
      </c>
      <c r="J579" s="2">
        <f t="shared" si="611"/>
        <v>4.3826746841568731E-3</v>
      </c>
    </row>
    <row r="580" spans="1:10" x14ac:dyDescent="0.45">
      <c r="A580" s="1">
        <v>41029</v>
      </c>
      <c r="B580">
        <v>104.87</v>
      </c>
      <c r="C580">
        <v>3.1842000000000001</v>
      </c>
      <c r="D580">
        <v>3.1246</v>
      </c>
      <c r="E580" s="2">
        <f t="shared" si="610"/>
        <v>27.197600000000005</v>
      </c>
      <c r="F580" s="2">
        <f t="shared" ref="F580:F643" si="612">E579</f>
        <v>27.684999999999985</v>
      </c>
      <c r="G580" s="2">
        <f t="shared" si="546"/>
        <v>27.945999999999987</v>
      </c>
      <c r="H580" s="2">
        <f t="shared" si="547"/>
        <v>3.6280352951765238E-3</v>
      </c>
      <c r="I580" s="2">
        <f t="shared" ref="I580:J580" si="613">LN(C579)-LN(C578)</f>
        <v>-4.6694642890556803E-3</v>
      </c>
      <c r="J580" s="2">
        <f t="shared" si="613"/>
        <v>3.7277216473667885E-3</v>
      </c>
    </row>
    <row r="581" spans="1:10" x14ac:dyDescent="0.45">
      <c r="A581" s="1">
        <v>41030</v>
      </c>
      <c r="B581">
        <v>106.16</v>
      </c>
      <c r="C581">
        <v>3.1770999999999998</v>
      </c>
      <c r="D581">
        <v>3.0971000000000002</v>
      </c>
      <c r="E581" s="2">
        <f t="shared" si="610"/>
        <v>25.0382</v>
      </c>
      <c r="F581" s="2">
        <f t="shared" si="612"/>
        <v>27.197600000000005</v>
      </c>
      <c r="G581" s="2">
        <f t="shared" ref="G581:G644" si="614">E579</f>
        <v>27.684999999999985</v>
      </c>
      <c r="H581" s="2">
        <f t="shared" ref="H581:H644" si="615">LN(B580)-LN(B579)</f>
        <v>-5.7197332350522601E-4</v>
      </c>
      <c r="I581" s="2">
        <f t="shared" ref="I581:J581" si="616">LN(C580)-LN(C579)</f>
        <v>2.198596048244017E-4</v>
      </c>
      <c r="J581" s="2">
        <f t="shared" si="616"/>
        <v>-6.3486200057552011E-3</v>
      </c>
    </row>
    <row r="582" spans="1:10" x14ac:dyDescent="0.45">
      <c r="A582" s="1">
        <v>41031</v>
      </c>
      <c r="B582">
        <v>105.22</v>
      </c>
      <c r="C582">
        <v>3.1425000000000001</v>
      </c>
      <c r="D582">
        <v>3.0756999999999999</v>
      </c>
      <c r="E582" s="2">
        <f t="shared" si="610"/>
        <v>24.894600000000008</v>
      </c>
      <c r="F582" s="2">
        <f t="shared" si="612"/>
        <v>25.0382</v>
      </c>
      <c r="G582" s="2">
        <f t="shared" si="614"/>
        <v>27.197600000000005</v>
      </c>
      <c r="H582" s="2">
        <f t="shared" si="615"/>
        <v>1.2225902177638304E-2</v>
      </c>
      <c r="I582" s="2">
        <f t="shared" ref="I582:J582" si="617">LN(C581)-LN(C580)</f>
        <v>-2.2322490523123406E-3</v>
      </c>
      <c r="J582" s="2">
        <f t="shared" si="617"/>
        <v>-8.8400852136509833E-3</v>
      </c>
    </row>
    <row r="583" spans="1:10" x14ac:dyDescent="0.45">
      <c r="A583" s="1">
        <v>41032</v>
      </c>
      <c r="B583">
        <v>102.54</v>
      </c>
      <c r="C583">
        <v>3.0869</v>
      </c>
      <c r="D583">
        <v>3.05</v>
      </c>
      <c r="E583" s="2">
        <f t="shared" si="610"/>
        <v>26.076599999999985</v>
      </c>
      <c r="F583" s="2">
        <f t="shared" si="612"/>
        <v>24.894600000000008</v>
      </c>
      <c r="G583" s="2">
        <f t="shared" si="614"/>
        <v>25.0382</v>
      </c>
      <c r="H583" s="2">
        <f t="shared" si="615"/>
        <v>-8.8939937212915154E-3</v>
      </c>
      <c r="I583" s="2">
        <f t="shared" ref="I583:J583" si="618">LN(C582)-LN(C581)</f>
        <v>-1.0950169545189459E-2</v>
      </c>
      <c r="J583" s="2">
        <f t="shared" si="618"/>
        <v>-6.9336721536823465E-3</v>
      </c>
    </row>
    <row r="584" spans="1:10" x14ac:dyDescent="0.45">
      <c r="A584" s="1">
        <v>41033</v>
      </c>
      <c r="B584">
        <v>98.49</v>
      </c>
      <c r="C584">
        <v>3.0087999999999999</v>
      </c>
      <c r="D584">
        <v>2.9758</v>
      </c>
      <c r="E584" s="2">
        <f t="shared" si="610"/>
        <v>26.955600000000004</v>
      </c>
      <c r="F584" s="2">
        <f t="shared" si="612"/>
        <v>26.076599999999985</v>
      </c>
      <c r="G584" s="2">
        <f t="shared" si="614"/>
        <v>24.894600000000008</v>
      </c>
      <c r="H584" s="2">
        <f t="shared" si="615"/>
        <v>-2.5800429947106629E-2</v>
      </c>
      <c r="I584" s="2">
        <f t="shared" ref="I584:J584" si="619">LN(C583)-LN(C582)</f>
        <v>-1.7851310396882258E-2</v>
      </c>
      <c r="J584" s="2">
        <f t="shared" si="619"/>
        <v>-8.3909270090121169E-3</v>
      </c>
    </row>
    <row r="585" spans="1:10" x14ac:dyDescent="0.45">
      <c r="A585" s="1">
        <v>41036</v>
      </c>
      <c r="B585">
        <v>97.94</v>
      </c>
      <c r="C585">
        <v>2.9813999999999998</v>
      </c>
      <c r="D585">
        <v>2.9741</v>
      </c>
      <c r="E585" s="2">
        <f t="shared" si="610"/>
        <v>27.074399999999986</v>
      </c>
      <c r="F585" s="2">
        <f t="shared" si="612"/>
        <v>26.955600000000004</v>
      </c>
      <c r="G585" s="2">
        <f t="shared" si="614"/>
        <v>26.076599999999985</v>
      </c>
      <c r="H585" s="2">
        <f t="shared" si="615"/>
        <v>-4.0297946173943444E-2</v>
      </c>
      <c r="I585" s="2">
        <f t="shared" ref="I585:J585" si="620">LN(C584)-LN(C583)</f>
        <v>-2.5626022911393598E-2</v>
      </c>
      <c r="J585" s="2">
        <f t="shared" si="620"/>
        <v>-2.4628680207860354E-2</v>
      </c>
    </row>
    <row r="586" spans="1:10" x14ac:dyDescent="0.45">
      <c r="A586" s="1">
        <v>41037</v>
      </c>
      <c r="B586">
        <v>97.01</v>
      </c>
      <c r="C586">
        <v>2.9901</v>
      </c>
      <c r="D586">
        <v>2.9944000000000002</v>
      </c>
      <c r="E586" s="2">
        <f t="shared" si="610"/>
        <v>28.694599999999998</v>
      </c>
      <c r="F586" s="2">
        <f t="shared" si="612"/>
        <v>27.074399999999986</v>
      </c>
      <c r="G586" s="2">
        <f t="shared" si="614"/>
        <v>26.955600000000004</v>
      </c>
      <c r="H586" s="2">
        <f t="shared" si="615"/>
        <v>-5.5999739074392707E-3</v>
      </c>
      <c r="I586" s="2">
        <f t="shared" ref="I586:J586" si="621">LN(C585)-LN(C584)</f>
        <v>-9.148339319796861E-3</v>
      </c>
      <c r="J586" s="2">
        <f t="shared" si="621"/>
        <v>-5.7143819098137705E-4</v>
      </c>
    </row>
    <row r="587" spans="1:10" x14ac:dyDescent="0.45">
      <c r="A587" s="1">
        <v>41038</v>
      </c>
      <c r="B587">
        <v>96.81</v>
      </c>
      <c r="C587">
        <v>2.9990999999999999</v>
      </c>
      <c r="D587">
        <v>3.0240999999999998</v>
      </c>
      <c r="E587" s="2">
        <f t="shared" si="610"/>
        <v>29.852199999999982</v>
      </c>
      <c r="F587" s="2">
        <f t="shared" si="612"/>
        <v>28.694599999999998</v>
      </c>
      <c r="G587" s="2">
        <f t="shared" si="614"/>
        <v>27.074399999999986</v>
      </c>
      <c r="H587" s="2">
        <f t="shared" si="615"/>
        <v>-9.5409803009793848E-3</v>
      </c>
      <c r="I587" s="2">
        <f t="shared" ref="I587:J587" si="622">LN(C586)-LN(C585)</f>
        <v>2.9138428051904697E-3</v>
      </c>
      <c r="J587" s="2">
        <f t="shared" si="622"/>
        <v>6.8024053876036827E-3</v>
      </c>
    </row>
    <row r="588" spans="1:10" x14ac:dyDescent="0.45">
      <c r="A588" s="1">
        <v>41039</v>
      </c>
      <c r="B588">
        <v>97.08</v>
      </c>
      <c r="C588">
        <v>2.9834000000000001</v>
      </c>
      <c r="D588">
        <v>3.0102000000000002</v>
      </c>
      <c r="E588" s="2">
        <f t="shared" si="610"/>
        <v>28.973200000000002</v>
      </c>
      <c r="F588" s="2">
        <f t="shared" si="612"/>
        <v>29.852199999999982</v>
      </c>
      <c r="G588" s="2">
        <f t="shared" si="614"/>
        <v>28.694599999999998</v>
      </c>
      <c r="H588" s="2">
        <f t="shared" si="615"/>
        <v>-2.0637712412119313E-3</v>
      </c>
      <c r="I588" s="2">
        <f t="shared" ref="I588:J588" si="623">LN(C587)-LN(C586)</f>
        <v>3.0054119997244833E-3</v>
      </c>
      <c r="J588" s="2">
        <f t="shared" si="623"/>
        <v>9.8696489455127878E-3</v>
      </c>
    </row>
    <row r="589" spans="1:10" x14ac:dyDescent="0.45">
      <c r="A589" s="1">
        <v>41040</v>
      </c>
      <c r="B589">
        <v>96.13</v>
      </c>
      <c r="C589">
        <v>2.9636</v>
      </c>
      <c r="D589">
        <v>3.0007999999999999</v>
      </c>
      <c r="E589" s="2">
        <f t="shared" si="610"/>
        <v>29.382799999999992</v>
      </c>
      <c r="F589" s="2">
        <f t="shared" si="612"/>
        <v>28.973200000000002</v>
      </c>
      <c r="G589" s="2">
        <f t="shared" si="614"/>
        <v>29.852199999999982</v>
      </c>
      <c r="H589" s="2">
        <f t="shared" si="615"/>
        <v>2.7850861264200333E-3</v>
      </c>
      <c r="I589" s="2">
        <f t="shared" ref="I589:J589" si="624">LN(C588)-LN(C587)</f>
        <v>-5.2486539214147143E-3</v>
      </c>
      <c r="J589" s="2">
        <f t="shared" si="624"/>
        <v>-4.6070048174697842E-3</v>
      </c>
    </row>
    <row r="590" spans="1:10" x14ac:dyDescent="0.45">
      <c r="A590" s="1">
        <v>41043</v>
      </c>
      <c r="B590">
        <v>94.78</v>
      </c>
      <c r="C590">
        <v>2.9295</v>
      </c>
      <c r="D590">
        <v>2.9590000000000001</v>
      </c>
      <c r="E590" s="2">
        <f t="shared" si="610"/>
        <v>29.084999999999997</v>
      </c>
      <c r="F590" s="2">
        <f t="shared" si="612"/>
        <v>29.382799999999992</v>
      </c>
      <c r="G590" s="2">
        <f t="shared" si="614"/>
        <v>28.973200000000002</v>
      </c>
      <c r="H590" s="2">
        <f t="shared" si="615"/>
        <v>-9.8339387806758438E-3</v>
      </c>
      <c r="I590" s="2">
        <f t="shared" ref="I590:J590" si="625">LN(C589)-LN(C588)</f>
        <v>-6.6588441773283158E-3</v>
      </c>
      <c r="J590" s="2">
        <f t="shared" si="625"/>
        <v>-3.1276019505848129E-3</v>
      </c>
    </row>
    <row r="591" spans="1:10" x14ac:dyDescent="0.45">
      <c r="A591" s="1">
        <v>41044</v>
      </c>
      <c r="B591">
        <v>93.98</v>
      </c>
      <c r="C591">
        <v>2.9329999999999998</v>
      </c>
      <c r="D591">
        <v>2.9441000000000002</v>
      </c>
      <c r="E591" s="2">
        <f t="shared" si="610"/>
        <v>29.516800000000007</v>
      </c>
      <c r="F591" s="2">
        <f t="shared" si="612"/>
        <v>29.084999999999997</v>
      </c>
      <c r="G591" s="2">
        <f t="shared" si="614"/>
        <v>29.382799999999992</v>
      </c>
      <c r="H591" s="2">
        <f t="shared" si="615"/>
        <v>-1.4143025538282394E-2</v>
      </c>
      <c r="I591" s="2">
        <f t="shared" ref="I591:J591" si="626">LN(C590)-LN(C589)</f>
        <v>-1.1572985557658511E-2</v>
      </c>
      <c r="J591" s="2">
        <f t="shared" si="626"/>
        <v>-1.4027546367467725E-2</v>
      </c>
    </row>
    <row r="592" spans="1:10" x14ac:dyDescent="0.45">
      <c r="A592" s="1">
        <v>41045</v>
      </c>
      <c r="B592">
        <v>92.81</v>
      </c>
      <c r="C592">
        <v>2.8976000000000002</v>
      </c>
      <c r="D592">
        <v>2.9209000000000001</v>
      </c>
      <c r="E592" s="2">
        <f t="shared" si="610"/>
        <v>29.541599999999999</v>
      </c>
      <c r="F592" s="2">
        <f t="shared" si="612"/>
        <v>29.516800000000007</v>
      </c>
      <c r="G592" s="2">
        <f t="shared" si="614"/>
        <v>29.084999999999997</v>
      </c>
      <c r="H592" s="2">
        <f t="shared" si="615"/>
        <v>-8.4764228647724593E-3</v>
      </c>
      <c r="I592" s="2">
        <f t="shared" ref="I592:J592" si="627">LN(C591)-LN(C590)</f>
        <v>1.1940299926076481E-3</v>
      </c>
      <c r="J592" s="2">
        <f t="shared" si="627"/>
        <v>-5.0482057370173639E-3</v>
      </c>
    </row>
    <row r="593" spans="1:10" x14ac:dyDescent="0.45">
      <c r="A593" s="1">
        <v>41046</v>
      </c>
      <c r="B593">
        <v>92.56</v>
      </c>
      <c r="C593">
        <v>2.8490000000000002</v>
      </c>
      <c r="D593">
        <v>2.8782000000000001</v>
      </c>
      <c r="E593" s="2">
        <f t="shared" si="610"/>
        <v>27.915600000000001</v>
      </c>
      <c r="F593" s="2">
        <f t="shared" si="612"/>
        <v>29.541599999999999</v>
      </c>
      <c r="G593" s="2">
        <f t="shared" si="614"/>
        <v>29.516800000000007</v>
      </c>
      <c r="H593" s="2">
        <f t="shared" si="615"/>
        <v>-1.2527601067367833E-2</v>
      </c>
      <c r="I593" s="2">
        <f t="shared" ref="I593:J593" si="628">LN(C592)-LN(C591)</f>
        <v>-1.214298184830187E-2</v>
      </c>
      <c r="J593" s="2">
        <f t="shared" si="628"/>
        <v>-7.9113797125556218E-3</v>
      </c>
    </row>
    <row r="594" spans="1:10" x14ac:dyDescent="0.45">
      <c r="A594" s="1">
        <v>41047</v>
      </c>
      <c r="B594">
        <v>91.48</v>
      </c>
      <c r="C594">
        <v>2.83</v>
      </c>
      <c r="D594">
        <v>2.8895</v>
      </c>
      <c r="E594" s="2">
        <f t="shared" si="610"/>
        <v>29.045999999999992</v>
      </c>
      <c r="F594" s="2">
        <f t="shared" si="612"/>
        <v>27.915600000000001</v>
      </c>
      <c r="G594" s="2">
        <f t="shared" si="614"/>
        <v>29.541599999999999</v>
      </c>
      <c r="H594" s="2">
        <f t="shared" si="615"/>
        <v>-2.6973097218805364E-3</v>
      </c>
      <c r="I594" s="2">
        <f t="shared" ref="I594:J594" si="629">LN(C593)-LN(C592)</f>
        <v>-1.6914752631240759E-2</v>
      </c>
      <c r="J594" s="2">
        <f t="shared" si="629"/>
        <v>-1.4726689214563438E-2</v>
      </c>
    </row>
    <row r="595" spans="1:10" x14ac:dyDescent="0.45">
      <c r="A595" s="1">
        <v>41050</v>
      </c>
      <c r="B595">
        <v>92.86</v>
      </c>
      <c r="C595">
        <v>2.8603000000000001</v>
      </c>
      <c r="D595">
        <v>2.8645999999999998</v>
      </c>
      <c r="E595" s="2">
        <f t="shared" si="610"/>
        <v>27.393000000000011</v>
      </c>
      <c r="F595" s="2">
        <f t="shared" si="612"/>
        <v>29.045999999999992</v>
      </c>
      <c r="G595" s="2">
        <f t="shared" si="614"/>
        <v>27.915600000000001</v>
      </c>
      <c r="H595" s="2">
        <f t="shared" si="615"/>
        <v>-1.173671373084062E-2</v>
      </c>
      <c r="I595" s="2">
        <f t="shared" ref="I595:J595" si="630">LN(C594)-LN(C593)</f>
        <v>-6.6913438606248654E-3</v>
      </c>
      <c r="J595" s="2">
        <f t="shared" si="630"/>
        <v>3.9183780217593167E-3</v>
      </c>
    </row>
    <row r="596" spans="1:10" x14ac:dyDescent="0.45">
      <c r="A596" s="1">
        <v>41051</v>
      </c>
      <c r="B596">
        <v>91.85</v>
      </c>
      <c r="C596">
        <v>2.8654999999999999</v>
      </c>
      <c r="D596">
        <v>2.8592</v>
      </c>
      <c r="E596" s="2">
        <f t="shared" si="610"/>
        <v>28.324600000000014</v>
      </c>
      <c r="F596" s="2">
        <f t="shared" si="612"/>
        <v>27.393000000000011</v>
      </c>
      <c r="G596" s="2">
        <f t="shared" si="614"/>
        <v>29.045999999999992</v>
      </c>
      <c r="H596" s="2">
        <f t="shared" si="615"/>
        <v>1.497261343719547E-2</v>
      </c>
      <c r="I596" s="2">
        <f t="shared" ref="I596:J596" si="631">LN(C595)-LN(C594)</f>
        <v>1.0649802780403173E-2</v>
      </c>
      <c r="J596" s="2">
        <f t="shared" si="631"/>
        <v>-8.6547524120679231E-3</v>
      </c>
    </row>
    <row r="597" spans="1:10" x14ac:dyDescent="0.45">
      <c r="A597" s="1">
        <v>41052</v>
      </c>
      <c r="B597">
        <v>89.9</v>
      </c>
      <c r="C597">
        <v>2.8155000000000001</v>
      </c>
      <c r="D597">
        <v>2.8014999999999999</v>
      </c>
      <c r="E597" s="2">
        <f t="shared" si="610"/>
        <v>27.958999999999985</v>
      </c>
      <c r="F597" s="2">
        <f t="shared" si="612"/>
        <v>28.324600000000014</v>
      </c>
      <c r="G597" s="2">
        <f t="shared" si="614"/>
        <v>27.393000000000011</v>
      </c>
      <c r="H597" s="2">
        <f t="shared" si="615"/>
        <v>-1.0936170930641254E-2</v>
      </c>
      <c r="I597" s="2">
        <f t="shared" ref="I597:J597" si="632">LN(C596)-LN(C595)</f>
        <v>1.8163405741056238E-3</v>
      </c>
      <c r="J597" s="2">
        <f t="shared" si="632"/>
        <v>-1.8868589406011438E-3</v>
      </c>
    </row>
    <row r="598" spans="1:10" x14ac:dyDescent="0.45">
      <c r="A598" s="1">
        <v>41053</v>
      </c>
      <c r="B598">
        <v>90.66</v>
      </c>
      <c r="C598">
        <v>2.8256999999999999</v>
      </c>
      <c r="D598">
        <v>2.8193000000000001</v>
      </c>
      <c r="E598" s="2">
        <f t="shared" si="610"/>
        <v>27.840199999999999</v>
      </c>
      <c r="F598" s="2">
        <f t="shared" si="612"/>
        <v>27.958999999999985</v>
      </c>
      <c r="G598" s="2">
        <f t="shared" si="614"/>
        <v>28.324600000000014</v>
      </c>
      <c r="H598" s="2">
        <f t="shared" si="615"/>
        <v>-2.1458870183559853E-2</v>
      </c>
      <c r="I598" s="2">
        <f t="shared" ref="I598:J598" si="633">LN(C597)-LN(C596)</f>
        <v>-1.7602989297119009E-2</v>
      </c>
      <c r="J598" s="2">
        <f t="shared" si="633"/>
        <v>-2.0386877399824366E-2</v>
      </c>
    </row>
    <row r="599" spans="1:10" x14ac:dyDescent="0.45">
      <c r="A599" s="1">
        <v>41054</v>
      </c>
      <c r="B599">
        <v>90.86</v>
      </c>
      <c r="C599">
        <v>2.8329</v>
      </c>
      <c r="D599">
        <v>2.8317000000000001</v>
      </c>
      <c r="E599" s="2">
        <f t="shared" si="610"/>
        <v>28.088200000000011</v>
      </c>
      <c r="F599" s="2">
        <f t="shared" si="612"/>
        <v>27.840199999999999</v>
      </c>
      <c r="G599" s="2">
        <f t="shared" si="614"/>
        <v>27.958999999999985</v>
      </c>
      <c r="H599" s="2">
        <f t="shared" si="615"/>
        <v>8.4183040351284433E-3</v>
      </c>
      <c r="I599" s="2">
        <f t="shared" ref="I599:J599" si="634">LN(C598)-LN(C597)</f>
        <v>3.6162558022079239E-3</v>
      </c>
      <c r="J599" s="2">
        <f t="shared" si="634"/>
        <v>6.3336391630568478E-3</v>
      </c>
    </row>
    <row r="600" spans="1:10" x14ac:dyDescent="0.45">
      <c r="A600" s="1">
        <v>41058</v>
      </c>
      <c r="B600">
        <v>90.76</v>
      </c>
      <c r="C600">
        <v>2.8132000000000001</v>
      </c>
      <c r="D600">
        <v>2.8334999999999999</v>
      </c>
      <c r="E600" s="2">
        <f t="shared" si="610"/>
        <v>27.962799999999998</v>
      </c>
      <c r="F600" s="2">
        <f t="shared" si="612"/>
        <v>28.088200000000011</v>
      </c>
      <c r="G600" s="2">
        <f t="shared" si="614"/>
        <v>27.840199999999999</v>
      </c>
      <c r="H600" s="2">
        <f t="shared" si="615"/>
        <v>2.2036148185540227E-3</v>
      </c>
      <c r="I600" s="2">
        <f t="shared" ref="I600:J600" si="635">LN(C599)-LN(C598)</f>
        <v>2.5448004402521818E-3</v>
      </c>
      <c r="J600" s="2">
        <f t="shared" si="635"/>
        <v>4.3886108306123717E-3</v>
      </c>
    </row>
    <row r="601" spans="1:10" x14ac:dyDescent="0.45">
      <c r="A601" s="1">
        <v>41059</v>
      </c>
      <c r="B601">
        <v>87.82</v>
      </c>
      <c r="C601">
        <v>2.7437999999999998</v>
      </c>
      <c r="D601">
        <v>2.7738999999999998</v>
      </c>
      <c r="E601" s="2">
        <f t="shared" si="610"/>
        <v>28.262400000000014</v>
      </c>
      <c r="F601" s="2">
        <f t="shared" si="612"/>
        <v>27.962799999999998</v>
      </c>
      <c r="G601" s="2">
        <f t="shared" si="614"/>
        <v>28.088200000000011</v>
      </c>
      <c r="H601" s="2">
        <f t="shared" si="615"/>
        <v>-1.101200419616255E-3</v>
      </c>
      <c r="I601" s="2">
        <f t="shared" ref="I601:J601" si="636">LN(C600)-LN(C599)</f>
        <v>-6.9782965032700872E-3</v>
      </c>
      <c r="J601" s="2">
        <f t="shared" si="636"/>
        <v>6.3545861066538478E-4</v>
      </c>
    </row>
    <row r="602" spans="1:10" x14ac:dyDescent="0.45">
      <c r="A602" s="1">
        <v>41060</v>
      </c>
      <c r="B602">
        <v>86.53</v>
      </c>
      <c r="C602">
        <v>2.7031999999999998</v>
      </c>
      <c r="D602">
        <v>2.7227000000000001</v>
      </c>
      <c r="E602" s="2">
        <f t="shared" si="610"/>
        <v>27.550399999999986</v>
      </c>
      <c r="F602" s="2">
        <f t="shared" si="612"/>
        <v>28.262400000000014</v>
      </c>
      <c r="G602" s="2">
        <f t="shared" si="614"/>
        <v>27.962799999999998</v>
      </c>
      <c r="H602" s="2">
        <f t="shared" si="615"/>
        <v>-3.2929394778069998E-2</v>
      </c>
      <c r="I602" s="2">
        <f t="shared" ref="I602:J602" si="637">LN(C601)-LN(C600)</f>
        <v>-2.4978804541798683E-2</v>
      </c>
      <c r="J602" s="2">
        <f t="shared" si="637"/>
        <v>-2.1258424411354948E-2</v>
      </c>
    </row>
    <row r="603" spans="1:10" x14ac:dyDescent="0.45">
      <c r="A603" s="1">
        <v>41061</v>
      </c>
      <c r="B603">
        <v>83.23</v>
      </c>
      <c r="C603">
        <v>2.6278999999999999</v>
      </c>
      <c r="D603">
        <v>2.6568000000000001</v>
      </c>
      <c r="E603" s="2">
        <f t="shared" si="610"/>
        <v>27.951000000000004</v>
      </c>
      <c r="F603" s="2">
        <f t="shared" si="612"/>
        <v>27.550399999999986</v>
      </c>
      <c r="G603" s="2">
        <f t="shared" si="614"/>
        <v>28.262400000000014</v>
      </c>
      <c r="H603" s="2">
        <f t="shared" si="615"/>
        <v>-1.4798090514923423E-2</v>
      </c>
      <c r="I603" s="2">
        <f t="shared" ref="I603:J603" si="638">LN(C602)-LN(C601)</f>
        <v>-1.4907564491984382E-2</v>
      </c>
      <c r="J603" s="2">
        <f t="shared" si="638"/>
        <v>-1.8630237197752253E-2</v>
      </c>
    </row>
    <row r="604" spans="1:10" x14ac:dyDescent="0.45">
      <c r="A604" s="1">
        <v>41064</v>
      </c>
      <c r="B604">
        <v>83.98</v>
      </c>
      <c r="C604">
        <v>2.6269</v>
      </c>
      <c r="D604">
        <v>2.6707000000000001</v>
      </c>
      <c r="E604" s="2">
        <f t="shared" si="610"/>
        <v>27.576199999999989</v>
      </c>
      <c r="F604" s="2">
        <f t="shared" si="612"/>
        <v>27.951000000000004</v>
      </c>
      <c r="G604" s="2">
        <f t="shared" si="614"/>
        <v>27.550399999999986</v>
      </c>
      <c r="H604" s="2">
        <f t="shared" si="615"/>
        <v>-3.8883314860643559E-2</v>
      </c>
      <c r="I604" s="2">
        <f t="shared" ref="I604:J604" si="639">LN(C603)-LN(C602)</f>
        <v>-2.825120826994576E-2</v>
      </c>
      <c r="J604" s="2">
        <f t="shared" si="639"/>
        <v>-2.4501643938029782E-2</v>
      </c>
    </row>
    <row r="605" spans="1:10" x14ac:dyDescent="0.45">
      <c r="A605" s="1">
        <v>41065</v>
      </c>
      <c r="B605">
        <v>84.29</v>
      </c>
      <c r="C605">
        <v>2.6335999999999999</v>
      </c>
      <c r="D605">
        <v>2.6846999999999999</v>
      </c>
      <c r="E605" s="2">
        <f t="shared" si="610"/>
        <v>27.751999999999992</v>
      </c>
      <c r="F605" s="2">
        <f t="shared" si="612"/>
        <v>27.576199999999989</v>
      </c>
      <c r="G605" s="2">
        <f t="shared" si="614"/>
        <v>27.951000000000004</v>
      </c>
      <c r="H605" s="2">
        <f t="shared" si="615"/>
        <v>8.9708154980430166E-3</v>
      </c>
      <c r="I605" s="2">
        <f t="shared" ref="I605:J605" si="640">LN(C604)-LN(C603)</f>
        <v>-3.8060440438136833E-4</v>
      </c>
      <c r="J605" s="2">
        <f t="shared" si="640"/>
        <v>5.2182192552547857E-3</v>
      </c>
    </row>
    <row r="606" spans="1:10" x14ac:dyDescent="0.45">
      <c r="A606" s="1">
        <v>41066</v>
      </c>
      <c r="B606">
        <v>85.02</v>
      </c>
      <c r="C606">
        <v>2.6717</v>
      </c>
      <c r="D606">
        <v>2.6903000000000001</v>
      </c>
      <c r="E606" s="2">
        <f t="shared" si="610"/>
        <v>27.712199999999996</v>
      </c>
      <c r="F606" s="2">
        <f t="shared" si="612"/>
        <v>27.751999999999992</v>
      </c>
      <c r="G606" s="2">
        <f t="shared" si="614"/>
        <v>27.576199999999989</v>
      </c>
      <c r="H606" s="2">
        <f t="shared" si="615"/>
        <v>3.6845587533438362E-3</v>
      </c>
      <c r="I606" s="2">
        <f t="shared" ref="I606:J606" si="641">LN(C605)-LN(C604)</f>
        <v>2.5472877569976404E-3</v>
      </c>
      <c r="J606" s="2">
        <f t="shared" si="641"/>
        <v>5.2283795391305787E-3</v>
      </c>
    </row>
    <row r="607" spans="1:10" x14ac:dyDescent="0.45">
      <c r="A607" s="1">
        <v>41067</v>
      </c>
      <c r="B607">
        <v>84.82</v>
      </c>
      <c r="C607">
        <v>2.6671</v>
      </c>
      <c r="D607">
        <v>2.6850000000000001</v>
      </c>
      <c r="E607" s="2">
        <f t="shared" si="610"/>
        <v>27.699400000000008</v>
      </c>
      <c r="F607" s="2">
        <f t="shared" si="612"/>
        <v>27.712199999999996</v>
      </c>
      <c r="G607" s="2">
        <f t="shared" si="614"/>
        <v>27.751999999999992</v>
      </c>
      <c r="H607" s="2">
        <f t="shared" si="615"/>
        <v>8.6232889212531916E-3</v>
      </c>
      <c r="I607" s="2">
        <f t="shared" ref="I607:J607" si="642">LN(C606)-LN(C605)</f>
        <v>1.4363242421323807E-2</v>
      </c>
      <c r="J607" s="2">
        <f t="shared" si="642"/>
        <v>2.0837216841742556E-3</v>
      </c>
    </row>
    <row r="608" spans="1:10" x14ac:dyDescent="0.45">
      <c r="A608" s="1">
        <v>41068</v>
      </c>
      <c r="B608">
        <v>84.1</v>
      </c>
      <c r="C608">
        <v>2.6720999999999999</v>
      </c>
      <c r="D608">
        <v>2.6852</v>
      </c>
      <c r="E608" s="2">
        <f t="shared" si="610"/>
        <v>28.495000000000015</v>
      </c>
      <c r="F608" s="2">
        <f t="shared" si="612"/>
        <v>27.699400000000008</v>
      </c>
      <c r="G608" s="2">
        <f t="shared" si="614"/>
        <v>27.712199999999996</v>
      </c>
      <c r="H608" s="2">
        <f t="shared" si="615"/>
        <v>-2.3551588841996818E-3</v>
      </c>
      <c r="I608" s="2">
        <f t="shared" ref="I608:J608" si="643">LN(C607)-LN(C606)</f>
        <v>-1.7232341119060024E-3</v>
      </c>
      <c r="J608" s="2">
        <f t="shared" si="643"/>
        <v>-1.9719835981313327E-3</v>
      </c>
    </row>
    <row r="609" spans="1:10" x14ac:dyDescent="0.45">
      <c r="A609" s="1">
        <v>41071</v>
      </c>
      <c r="B609">
        <v>82.7</v>
      </c>
      <c r="C609">
        <v>2.6356999999999999</v>
      </c>
      <c r="D609">
        <v>2.6566000000000001</v>
      </c>
      <c r="E609" s="2">
        <f t="shared" si="610"/>
        <v>28.584599999999984</v>
      </c>
      <c r="F609" s="2">
        <f t="shared" si="612"/>
        <v>28.495000000000015</v>
      </c>
      <c r="G609" s="2">
        <f t="shared" si="614"/>
        <v>27.699400000000008</v>
      </c>
      <c r="H609" s="2">
        <f t="shared" si="615"/>
        <v>-8.5247970675421669E-3</v>
      </c>
      <c r="I609" s="2">
        <f t="shared" ref="I609:J609" si="644">LN(C608)-LN(C607)</f>
        <v>1.8729403137650591E-3</v>
      </c>
      <c r="J609" s="2">
        <f t="shared" si="644"/>
        <v>7.4485121631329143E-5</v>
      </c>
    </row>
    <row r="610" spans="1:10" x14ac:dyDescent="0.45">
      <c r="A610" s="1">
        <v>41072</v>
      </c>
      <c r="B610">
        <v>83.32</v>
      </c>
      <c r="C610">
        <v>2.6215000000000002</v>
      </c>
      <c r="D610">
        <v>2.6501999999999999</v>
      </c>
      <c r="E610" s="2">
        <f t="shared" si="610"/>
        <v>27.586599999999994</v>
      </c>
      <c r="F610" s="2">
        <f t="shared" si="612"/>
        <v>28.584599999999984</v>
      </c>
      <c r="G610" s="2">
        <f t="shared" si="614"/>
        <v>28.495000000000015</v>
      </c>
      <c r="H610" s="2">
        <f t="shared" si="615"/>
        <v>-1.6786964949257133E-2</v>
      </c>
      <c r="I610" s="2">
        <f t="shared" ref="I610:J610" si="645">LN(C609)-LN(C608)</f>
        <v>-1.3715878761462741E-2</v>
      </c>
      <c r="J610" s="2">
        <f t="shared" si="645"/>
        <v>-1.0708103366193433E-2</v>
      </c>
    </row>
    <row r="611" spans="1:10" x14ac:dyDescent="0.45">
      <c r="A611" s="1">
        <v>41073</v>
      </c>
      <c r="B611">
        <v>82.62</v>
      </c>
      <c r="C611">
        <v>2.6109</v>
      </c>
      <c r="D611">
        <v>2.6554000000000002</v>
      </c>
      <c r="E611" s="2">
        <f t="shared" si="610"/>
        <v>28.283800000000003</v>
      </c>
      <c r="F611" s="2">
        <f t="shared" si="612"/>
        <v>27.586599999999994</v>
      </c>
      <c r="G611" s="2">
        <f t="shared" si="614"/>
        <v>28.584599999999984</v>
      </c>
      <c r="H611" s="2">
        <f t="shared" si="615"/>
        <v>7.4690143631261918E-3</v>
      </c>
      <c r="I611" s="2">
        <f t="shared" ref="I611:J611" si="646">LN(C610)-LN(C609)</f>
        <v>-5.4021283318832491E-3</v>
      </c>
      <c r="J611" s="2">
        <f t="shared" si="646"/>
        <v>-2.4120008678673033E-3</v>
      </c>
    </row>
    <row r="612" spans="1:10" x14ac:dyDescent="0.45">
      <c r="A612" s="1">
        <v>41074</v>
      </c>
      <c r="B612">
        <v>83.91</v>
      </c>
      <c r="C612">
        <v>2.6278000000000001</v>
      </c>
      <c r="D612">
        <v>2.6764000000000001</v>
      </c>
      <c r="E612" s="2">
        <f t="shared" si="610"/>
        <v>27.818400000000008</v>
      </c>
      <c r="F612" s="2">
        <f t="shared" si="612"/>
        <v>28.283800000000003</v>
      </c>
      <c r="G612" s="2">
        <f t="shared" si="614"/>
        <v>27.586599999999994</v>
      </c>
      <c r="H612" s="2">
        <f t="shared" si="615"/>
        <v>-8.4368344241525506E-3</v>
      </c>
      <c r="I612" s="2">
        <f t="shared" ref="I612:J612" si="647">LN(C611)-LN(C610)</f>
        <v>-4.0516835490098657E-3</v>
      </c>
      <c r="J612" s="2">
        <f t="shared" si="647"/>
        <v>1.9601936312660939E-3</v>
      </c>
    </row>
    <row r="613" spans="1:10" x14ac:dyDescent="0.45">
      <c r="A613" s="1">
        <v>41075</v>
      </c>
      <c r="B613">
        <v>84.03</v>
      </c>
      <c r="C613">
        <v>2.6465000000000001</v>
      </c>
      <c r="D613">
        <v>2.7017000000000002</v>
      </c>
      <c r="E613" s="2">
        <f t="shared" si="610"/>
        <v>28.668599999999998</v>
      </c>
      <c r="F613" s="2">
        <f t="shared" si="612"/>
        <v>27.818400000000008</v>
      </c>
      <c r="G613" s="2">
        <f t="shared" si="614"/>
        <v>28.283800000000003</v>
      </c>
      <c r="H613" s="2">
        <f t="shared" si="615"/>
        <v>1.5493013913359555E-2</v>
      </c>
      <c r="I613" s="2">
        <f t="shared" ref="I613:J613" si="648">LN(C612)-LN(C611)</f>
        <v>6.4520047441440909E-3</v>
      </c>
      <c r="J613" s="2">
        <f t="shared" si="648"/>
        <v>7.8773054468601611E-3</v>
      </c>
    </row>
    <row r="614" spans="1:10" x14ac:dyDescent="0.45">
      <c r="A614" s="1">
        <v>41078</v>
      </c>
      <c r="B614">
        <v>83.27</v>
      </c>
      <c r="C614">
        <v>2.6177000000000001</v>
      </c>
      <c r="D614">
        <v>2.6608999999999998</v>
      </c>
      <c r="E614" s="2">
        <f t="shared" si="610"/>
        <v>27.882999999999999</v>
      </c>
      <c r="F614" s="2">
        <f t="shared" si="612"/>
        <v>28.668599999999998</v>
      </c>
      <c r="G614" s="2">
        <f t="shared" si="614"/>
        <v>27.818400000000008</v>
      </c>
      <c r="H614" s="2">
        <f t="shared" si="615"/>
        <v>1.429082058148623E-3</v>
      </c>
      <c r="I614" s="2">
        <f t="shared" ref="I614:J614" si="649">LN(C613)-LN(C612)</f>
        <v>7.0910180903205333E-3</v>
      </c>
      <c r="J614" s="2">
        <f t="shared" si="649"/>
        <v>9.4085965798157423E-3</v>
      </c>
    </row>
    <row r="615" spans="1:10" x14ac:dyDescent="0.45">
      <c r="A615" s="1">
        <v>41079</v>
      </c>
      <c r="B615">
        <v>84.35</v>
      </c>
      <c r="C615">
        <v>2.6351</v>
      </c>
      <c r="D615">
        <v>2.6415000000000002</v>
      </c>
      <c r="E615" s="2">
        <f t="shared" si="610"/>
        <v>26.50340000000001</v>
      </c>
      <c r="F615" s="2">
        <f t="shared" si="612"/>
        <v>27.882999999999999</v>
      </c>
      <c r="G615" s="2">
        <f t="shared" si="614"/>
        <v>28.668599999999998</v>
      </c>
      <c r="H615" s="2">
        <f t="shared" si="615"/>
        <v>-9.0855376923988374E-3</v>
      </c>
      <c r="I615" s="2">
        <f t="shared" ref="I615:J615" si="650">LN(C614)-LN(C613)</f>
        <v>-1.0941942685342432E-2</v>
      </c>
      <c r="J615" s="2">
        <f t="shared" si="650"/>
        <v>-1.5216793074125712E-2</v>
      </c>
    </row>
    <row r="616" spans="1:10" x14ac:dyDescent="0.45">
      <c r="A616" s="1">
        <v>41080</v>
      </c>
      <c r="B616">
        <v>81.45</v>
      </c>
      <c r="C616">
        <v>2.5846</v>
      </c>
      <c r="D616">
        <v>2.5072999999999999</v>
      </c>
      <c r="E616" s="2">
        <f t="shared" si="610"/>
        <v>24.938799999999976</v>
      </c>
      <c r="F616" s="2">
        <f t="shared" si="612"/>
        <v>26.50340000000001</v>
      </c>
      <c r="G616" s="2">
        <f t="shared" si="614"/>
        <v>27.882999999999999</v>
      </c>
      <c r="H616" s="2">
        <f t="shared" si="615"/>
        <v>1.2886468744248702E-2</v>
      </c>
      <c r="I616" s="2">
        <f t="shared" ref="I616:J616" si="651">LN(C615)-LN(C614)</f>
        <v>6.6250623067912739E-3</v>
      </c>
      <c r="J616" s="2">
        <f t="shared" si="651"/>
        <v>-7.3174738099813785E-3</v>
      </c>
    </row>
    <row r="617" spans="1:10" x14ac:dyDescent="0.45">
      <c r="A617" s="1">
        <v>41081</v>
      </c>
      <c r="B617">
        <v>78.2</v>
      </c>
      <c r="C617">
        <v>2.5230999999999999</v>
      </c>
      <c r="D617">
        <v>2.452</v>
      </c>
      <c r="E617" s="2">
        <f t="shared" si="610"/>
        <v>25.779399999999992</v>
      </c>
      <c r="F617" s="2">
        <f t="shared" si="612"/>
        <v>24.938799999999976</v>
      </c>
      <c r="G617" s="2">
        <f t="shared" si="614"/>
        <v>26.50340000000001</v>
      </c>
      <c r="H617" s="2">
        <f t="shared" si="615"/>
        <v>-3.498547394392304E-2</v>
      </c>
      <c r="I617" s="2">
        <f t="shared" ref="I617:J617" si="652">LN(C616)-LN(C615)</f>
        <v>-1.9350374828400074E-2</v>
      </c>
      <c r="J617" s="2">
        <f t="shared" si="652"/>
        <v>-5.2140460667181698E-2</v>
      </c>
    </row>
    <row r="618" spans="1:10" x14ac:dyDescent="0.45">
      <c r="A618" s="1">
        <v>41082</v>
      </c>
      <c r="B618">
        <v>79.760000000000005</v>
      </c>
      <c r="C618">
        <v>2.532</v>
      </c>
      <c r="D618">
        <v>2.4676</v>
      </c>
      <c r="E618" s="2">
        <f t="shared" si="610"/>
        <v>24.780799999999982</v>
      </c>
      <c r="F618" s="2">
        <f t="shared" si="612"/>
        <v>25.779399999999992</v>
      </c>
      <c r="G618" s="2">
        <f t="shared" si="614"/>
        <v>24.938799999999976</v>
      </c>
      <c r="H618" s="2">
        <f t="shared" si="615"/>
        <v>-4.0719687496788559E-2</v>
      </c>
      <c r="I618" s="2">
        <f t="shared" ref="I618:J618" si="653">LN(C617)-LN(C616)</f>
        <v>-2.4082452880756833E-2</v>
      </c>
      <c r="J618" s="2">
        <f t="shared" si="653"/>
        <v>-2.2302458881086951E-2</v>
      </c>
    </row>
    <row r="619" spans="1:10" x14ac:dyDescent="0.45">
      <c r="A619" s="1">
        <v>41085</v>
      </c>
      <c r="B619">
        <v>79.209999999999994</v>
      </c>
      <c r="C619">
        <v>2.5348000000000002</v>
      </c>
      <c r="D619">
        <v>2.4982000000000002</v>
      </c>
      <c r="E619" s="2">
        <f t="shared" si="610"/>
        <v>26.226800000000008</v>
      </c>
      <c r="F619" s="2">
        <f t="shared" si="612"/>
        <v>24.780799999999982</v>
      </c>
      <c r="G619" s="2">
        <f t="shared" si="614"/>
        <v>25.779399999999992</v>
      </c>
      <c r="H619" s="2">
        <f t="shared" si="615"/>
        <v>1.9752478102317284E-2</v>
      </c>
      <c r="I619" s="2">
        <f t="shared" ref="I619:J619" si="654">LN(C618)-LN(C617)</f>
        <v>3.5212000537325761E-3</v>
      </c>
      <c r="J619" s="2">
        <f t="shared" si="654"/>
        <v>6.3420002793815877E-3</v>
      </c>
    </row>
    <row r="620" spans="1:10" x14ac:dyDescent="0.45">
      <c r="A620" s="1">
        <v>41086</v>
      </c>
      <c r="B620">
        <v>79.36</v>
      </c>
      <c r="C620">
        <v>2.5731999999999999</v>
      </c>
      <c r="D620">
        <v>2.5228999999999999</v>
      </c>
      <c r="E620" s="2">
        <f t="shared" si="610"/>
        <v>27.306000000000001</v>
      </c>
      <c r="F620" s="2">
        <f t="shared" si="612"/>
        <v>26.226800000000008</v>
      </c>
      <c r="G620" s="2">
        <f t="shared" si="614"/>
        <v>24.780799999999982</v>
      </c>
      <c r="H620" s="2">
        <f t="shared" si="615"/>
        <v>-6.9195721773942509E-3</v>
      </c>
      <c r="I620" s="2">
        <f t="shared" ref="I620:J620" si="655">LN(C619)-LN(C618)</f>
        <v>1.1052341852951786E-3</v>
      </c>
      <c r="J620" s="2">
        <f t="shared" si="655"/>
        <v>1.2324454196325441E-2</v>
      </c>
    </row>
    <row r="621" spans="1:10" x14ac:dyDescent="0.45">
      <c r="A621" s="1">
        <v>41087</v>
      </c>
      <c r="B621">
        <v>80.209999999999994</v>
      </c>
      <c r="C621">
        <v>2.5901999999999998</v>
      </c>
      <c r="D621">
        <v>2.4988999999999999</v>
      </c>
      <c r="E621" s="2">
        <f t="shared" si="610"/>
        <v>26.022000000000009</v>
      </c>
      <c r="F621" s="2">
        <f t="shared" si="612"/>
        <v>27.306000000000001</v>
      </c>
      <c r="G621" s="2">
        <f t="shared" si="614"/>
        <v>26.226800000000008</v>
      </c>
      <c r="H621" s="2">
        <f t="shared" si="615"/>
        <v>1.8919095004292785E-3</v>
      </c>
      <c r="I621" s="2">
        <f t="shared" ref="I621:J621" si="656">LN(C620)-LN(C619)</f>
        <v>1.5035522087483266E-2</v>
      </c>
      <c r="J621" s="2">
        <f t="shared" si="656"/>
        <v>9.8385609690108122E-3</v>
      </c>
    </row>
    <row r="622" spans="1:10" x14ac:dyDescent="0.45">
      <c r="A622" s="1">
        <v>41088</v>
      </c>
      <c r="B622">
        <v>77.69</v>
      </c>
      <c r="C622">
        <v>2.5472000000000001</v>
      </c>
      <c r="D622">
        <v>2.4773000000000001</v>
      </c>
      <c r="E622" s="2">
        <f t="shared" si="610"/>
        <v>27.335200000000004</v>
      </c>
      <c r="F622" s="2">
        <f t="shared" si="612"/>
        <v>26.022000000000009</v>
      </c>
      <c r="G622" s="2">
        <f t="shared" si="614"/>
        <v>27.306000000000001</v>
      </c>
      <c r="H622" s="2">
        <f t="shared" si="615"/>
        <v>1.0653732402215788E-2</v>
      </c>
      <c r="I622" s="2">
        <f t="shared" ref="I622:J622" si="657">LN(C621)-LN(C620)</f>
        <v>6.5848322526415037E-3</v>
      </c>
      <c r="J622" s="2">
        <f t="shared" si="657"/>
        <v>-9.5583984729317173E-3</v>
      </c>
    </row>
    <row r="623" spans="1:10" x14ac:dyDescent="0.45">
      <c r="A623" s="1">
        <v>41089</v>
      </c>
      <c r="B623">
        <v>84.96</v>
      </c>
      <c r="C623">
        <v>2.7099000000000002</v>
      </c>
      <c r="D623">
        <v>2.6318000000000001</v>
      </c>
      <c r="E623" s="2">
        <f t="shared" si="610"/>
        <v>26.669</v>
      </c>
      <c r="F623" s="2">
        <f t="shared" si="612"/>
        <v>27.335200000000004</v>
      </c>
      <c r="G623" s="2">
        <f t="shared" si="614"/>
        <v>26.022000000000009</v>
      </c>
      <c r="H623" s="2">
        <f t="shared" si="615"/>
        <v>-3.1921646416503968E-2</v>
      </c>
      <c r="I623" s="2">
        <f t="shared" ref="I623:J623" si="658">LN(C622)-LN(C621)</f>
        <v>-1.6740376139422808E-2</v>
      </c>
      <c r="J623" s="2">
        <f t="shared" si="658"/>
        <v>-8.6813776211570604E-3</v>
      </c>
    </row>
    <row r="624" spans="1:10" x14ac:dyDescent="0.45">
      <c r="A624" s="1">
        <v>41092</v>
      </c>
      <c r="B624">
        <v>83.75</v>
      </c>
      <c r="C624">
        <v>2.6758999999999999</v>
      </c>
      <c r="D624">
        <v>2.6238999999999999</v>
      </c>
      <c r="E624" s="2">
        <f t="shared" si="610"/>
        <v>27.181799999999992</v>
      </c>
      <c r="F624" s="2">
        <f t="shared" si="612"/>
        <v>26.669</v>
      </c>
      <c r="G624" s="2">
        <f t="shared" si="614"/>
        <v>27.335200000000004</v>
      </c>
      <c r="H624" s="2">
        <f t="shared" si="615"/>
        <v>8.9454008531299145E-2</v>
      </c>
      <c r="I624" s="2">
        <f t="shared" ref="I624:J624" si="659">LN(C623)-LN(C622)</f>
        <v>6.191701717384368E-2</v>
      </c>
      <c r="J624" s="2">
        <f t="shared" si="659"/>
        <v>6.0498765309309199E-2</v>
      </c>
    </row>
    <row r="625" spans="1:10" x14ac:dyDescent="0.45">
      <c r="A625" s="1">
        <v>41093</v>
      </c>
      <c r="B625">
        <v>87.66</v>
      </c>
      <c r="C625">
        <v>2.7585000000000002</v>
      </c>
      <c r="D625">
        <v>2.7229000000000001</v>
      </c>
      <c r="E625" s="2">
        <f t="shared" si="610"/>
        <v>27.200199999999995</v>
      </c>
      <c r="F625" s="2">
        <f t="shared" si="612"/>
        <v>27.181799999999992</v>
      </c>
      <c r="G625" s="2">
        <f t="shared" si="614"/>
        <v>26.669</v>
      </c>
      <c r="H625" s="2">
        <f t="shared" si="615"/>
        <v>-1.4344386788453178E-2</v>
      </c>
      <c r="I625" s="2">
        <f t="shared" ref="I625:J625" si="660">LN(C624)-LN(C623)</f>
        <v>-1.2625961481807613E-2</v>
      </c>
      <c r="J625" s="2">
        <f t="shared" si="660"/>
        <v>-3.0062621343533991E-3</v>
      </c>
    </row>
    <row r="626" spans="1:10" x14ac:dyDescent="0.45">
      <c r="A626" s="1">
        <v>41095</v>
      </c>
      <c r="B626">
        <v>87.22</v>
      </c>
      <c r="C626">
        <v>2.7684000000000002</v>
      </c>
      <c r="D626">
        <v>2.7648000000000001</v>
      </c>
      <c r="E626" s="2">
        <f t="shared" si="610"/>
        <v>28.952000000000016</v>
      </c>
      <c r="F626" s="2">
        <f t="shared" si="612"/>
        <v>27.200199999999995</v>
      </c>
      <c r="G626" s="2">
        <f t="shared" si="614"/>
        <v>27.181799999999992</v>
      </c>
      <c r="H626" s="2">
        <f t="shared" si="615"/>
        <v>4.5629524285487832E-2</v>
      </c>
      <c r="I626" s="2">
        <f t="shared" ref="I626:J626" si="661">LN(C625)-LN(C624)</f>
        <v>3.0401281370385558E-2</v>
      </c>
      <c r="J626" s="2">
        <f t="shared" si="661"/>
        <v>3.7035728216474162E-2</v>
      </c>
    </row>
    <row r="627" spans="1:10" x14ac:dyDescent="0.45">
      <c r="A627" s="1">
        <v>41096</v>
      </c>
      <c r="B627">
        <v>84.45</v>
      </c>
      <c r="C627">
        <v>2.7099000000000002</v>
      </c>
      <c r="D627">
        <v>2.7160000000000002</v>
      </c>
      <c r="E627" s="2">
        <f t="shared" si="610"/>
        <v>29.536600000000004</v>
      </c>
      <c r="F627" s="2">
        <f t="shared" si="612"/>
        <v>28.952000000000016</v>
      </c>
      <c r="G627" s="2">
        <f t="shared" si="614"/>
        <v>27.200199999999995</v>
      </c>
      <c r="H627" s="2">
        <f t="shared" si="615"/>
        <v>-5.0320325760431217E-3</v>
      </c>
      <c r="I627" s="2">
        <f t="shared" ref="I627:J627" si="662">LN(C626)-LN(C625)</f>
        <v>3.5824822552228408E-3</v>
      </c>
      <c r="J627" s="2">
        <f t="shared" si="662"/>
        <v>1.5270810811575553E-2</v>
      </c>
    </row>
    <row r="628" spans="1:10" x14ac:dyDescent="0.45">
      <c r="A628" s="1">
        <v>41099</v>
      </c>
      <c r="B628">
        <v>85.99</v>
      </c>
      <c r="C628">
        <v>2.7490000000000001</v>
      </c>
      <c r="D628">
        <v>2.7593999999999999</v>
      </c>
      <c r="E628" s="2">
        <f t="shared" si="610"/>
        <v>29.759200000000003</v>
      </c>
      <c r="F628" s="2">
        <f t="shared" si="612"/>
        <v>29.536600000000004</v>
      </c>
      <c r="G628" s="2">
        <f t="shared" si="614"/>
        <v>28.952000000000016</v>
      </c>
      <c r="H628" s="2">
        <f t="shared" si="615"/>
        <v>-3.2274019160810852E-2</v>
      </c>
      <c r="I628" s="2">
        <f t="shared" ref="I628:J628" si="663">LN(C627)-LN(C626)</f>
        <v>-2.1357802143800786E-2</v>
      </c>
      <c r="J628" s="2">
        <f t="shared" si="663"/>
        <v>-1.7808089931149684E-2</v>
      </c>
    </row>
    <row r="629" spans="1:10" x14ac:dyDescent="0.45">
      <c r="A629" s="1">
        <v>41100</v>
      </c>
      <c r="B629">
        <v>83.91</v>
      </c>
      <c r="C629">
        <v>2.7195</v>
      </c>
      <c r="D629">
        <v>2.7469000000000001</v>
      </c>
      <c r="E629" s="2">
        <f t="shared" si="610"/>
        <v>31.0762</v>
      </c>
      <c r="F629" s="2">
        <f t="shared" si="612"/>
        <v>29.759200000000003</v>
      </c>
      <c r="G629" s="2">
        <f t="shared" si="614"/>
        <v>29.536600000000004</v>
      </c>
      <c r="H629" s="2">
        <f t="shared" si="615"/>
        <v>1.80713671689956E-2</v>
      </c>
      <c r="I629" s="2">
        <f t="shared" ref="I629:J629" si="664">LN(C628)-LN(C627)</f>
        <v>1.4325475341338212E-2</v>
      </c>
      <c r="J629" s="2">
        <f t="shared" si="664"/>
        <v>1.585305509534618E-2</v>
      </c>
    </row>
    <row r="630" spans="1:10" x14ac:dyDescent="0.45">
      <c r="A630" s="1">
        <v>41101</v>
      </c>
      <c r="B630">
        <v>85.81</v>
      </c>
      <c r="C630">
        <v>2.7618</v>
      </c>
      <c r="D630">
        <v>2.7688999999999999</v>
      </c>
      <c r="E630" s="2">
        <f t="shared" si="610"/>
        <v>30.384399999999989</v>
      </c>
      <c r="F630" s="2">
        <f t="shared" si="612"/>
        <v>31.0762</v>
      </c>
      <c r="G630" s="2">
        <f t="shared" si="614"/>
        <v>29.759200000000003</v>
      </c>
      <c r="H630" s="2">
        <f t="shared" si="615"/>
        <v>-2.4486214540826445E-2</v>
      </c>
      <c r="I630" s="2">
        <f t="shared" ref="I630:J630" si="665">LN(C629)-LN(C628)</f>
        <v>-1.0789169302230395E-2</v>
      </c>
      <c r="J630" s="2">
        <f t="shared" si="665"/>
        <v>-4.5402616903853499E-3</v>
      </c>
    </row>
    <row r="631" spans="1:10" x14ac:dyDescent="0.45">
      <c r="A631" s="1">
        <v>41102</v>
      </c>
      <c r="B631">
        <v>86.08</v>
      </c>
      <c r="C631">
        <v>2.7732999999999999</v>
      </c>
      <c r="D631">
        <v>2.8062</v>
      </c>
      <c r="E631" s="2">
        <f t="shared" si="610"/>
        <v>31.319799999999987</v>
      </c>
      <c r="F631" s="2">
        <f t="shared" si="612"/>
        <v>30.384399999999989</v>
      </c>
      <c r="G631" s="2">
        <f t="shared" si="614"/>
        <v>31.0762</v>
      </c>
      <c r="H631" s="2">
        <f t="shared" si="615"/>
        <v>2.2390753937051144E-2</v>
      </c>
      <c r="I631" s="2">
        <f t="shared" ref="I631:J631" si="666">LN(C630)-LN(C629)</f>
        <v>1.5434601188235364E-2</v>
      </c>
      <c r="J631" s="2">
        <f t="shared" si="666"/>
        <v>7.9771263146624083E-3</v>
      </c>
    </row>
    <row r="632" spans="1:10" x14ac:dyDescent="0.45">
      <c r="A632" s="1">
        <v>41103</v>
      </c>
      <c r="B632">
        <v>87.1</v>
      </c>
      <c r="C632">
        <v>2.7881999999999998</v>
      </c>
      <c r="D632">
        <v>2.8161</v>
      </c>
      <c r="E632" s="2">
        <f t="shared" si="610"/>
        <v>30.785600000000006</v>
      </c>
      <c r="F632" s="2">
        <f t="shared" si="612"/>
        <v>31.319799999999987</v>
      </c>
      <c r="G632" s="2">
        <f t="shared" si="614"/>
        <v>30.384399999999989</v>
      </c>
      <c r="H632" s="2">
        <f t="shared" si="615"/>
        <v>3.1415465944446552E-3</v>
      </c>
      <c r="I632" s="2">
        <f t="shared" ref="I632:J632" si="667">LN(C631)-LN(C630)</f>
        <v>4.155305792892916E-3</v>
      </c>
      <c r="J632" s="2">
        <f t="shared" si="667"/>
        <v>1.3381125561685359E-2</v>
      </c>
    </row>
    <row r="633" spans="1:10" x14ac:dyDescent="0.45">
      <c r="A633" s="1">
        <v>41106</v>
      </c>
      <c r="B633">
        <v>88.43</v>
      </c>
      <c r="C633">
        <v>2.8277000000000001</v>
      </c>
      <c r="D633">
        <v>2.8546999999999998</v>
      </c>
      <c r="E633" s="2">
        <f t="shared" si="610"/>
        <v>31.089399999999994</v>
      </c>
      <c r="F633" s="2">
        <f t="shared" si="612"/>
        <v>30.785600000000006</v>
      </c>
      <c r="G633" s="2">
        <f t="shared" si="614"/>
        <v>31.319799999999987</v>
      </c>
      <c r="H633" s="2">
        <f t="shared" si="615"/>
        <v>1.1779787444982759E-2</v>
      </c>
      <c r="I633" s="2">
        <f t="shared" ref="I633:J633" si="668">LN(C632)-LN(C631)</f>
        <v>5.3582794748439078E-3</v>
      </c>
      <c r="J633" s="2">
        <f t="shared" si="668"/>
        <v>3.5216940511604289E-3</v>
      </c>
    </row>
    <row r="634" spans="1:10" x14ac:dyDescent="0.45">
      <c r="A634" s="1">
        <v>41107</v>
      </c>
      <c r="B634">
        <v>89.22</v>
      </c>
      <c r="C634">
        <v>2.8422000000000001</v>
      </c>
      <c r="D634">
        <v>2.8450000000000002</v>
      </c>
      <c r="E634" s="2">
        <f t="shared" si="610"/>
        <v>30.230800000000006</v>
      </c>
      <c r="F634" s="2">
        <f t="shared" si="612"/>
        <v>31.089399999999994</v>
      </c>
      <c r="G634" s="2">
        <f t="shared" si="614"/>
        <v>30.785600000000006</v>
      </c>
      <c r="H634" s="2">
        <f t="shared" si="615"/>
        <v>1.5154394729187004E-2</v>
      </c>
      <c r="I634" s="2">
        <f t="shared" ref="I634:J634" si="669">LN(C633)-LN(C632)</f>
        <v>1.4067434033603554E-2</v>
      </c>
      <c r="J634" s="2">
        <f t="shared" si="669"/>
        <v>1.3613809748783012E-2</v>
      </c>
    </row>
    <row r="635" spans="1:10" x14ac:dyDescent="0.45">
      <c r="A635" s="1">
        <v>41108</v>
      </c>
      <c r="B635">
        <v>89.87</v>
      </c>
      <c r="C635">
        <v>2.8776000000000002</v>
      </c>
      <c r="D635">
        <v>2.8834</v>
      </c>
      <c r="E635" s="2">
        <f t="shared" si="610"/>
        <v>31.151599999999991</v>
      </c>
      <c r="F635" s="2">
        <f t="shared" si="612"/>
        <v>30.230800000000006</v>
      </c>
      <c r="G635" s="2">
        <f t="shared" si="614"/>
        <v>31.089399999999994</v>
      </c>
      <c r="H635" s="2">
        <f t="shared" si="615"/>
        <v>8.8939511124745962E-3</v>
      </c>
      <c r="I635" s="2">
        <f t="shared" ref="I635:J635" si="670">LN(C634)-LN(C633)</f>
        <v>5.1147398051698545E-3</v>
      </c>
      <c r="J635" s="2">
        <f t="shared" si="670"/>
        <v>-3.4036911994075325E-3</v>
      </c>
    </row>
    <row r="636" spans="1:10" x14ac:dyDescent="0.45">
      <c r="A636" s="1">
        <v>41109</v>
      </c>
      <c r="B636">
        <v>92.97</v>
      </c>
      <c r="C636">
        <v>2.9470000000000001</v>
      </c>
      <c r="D636">
        <v>2.9388999999999998</v>
      </c>
      <c r="E636" s="2">
        <f t="shared" si="610"/>
        <v>30.577200000000005</v>
      </c>
      <c r="F636" s="2">
        <f t="shared" si="612"/>
        <v>31.151599999999991</v>
      </c>
      <c r="G636" s="2">
        <f t="shared" si="614"/>
        <v>30.230800000000006</v>
      </c>
      <c r="H636" s="2">
        <f t="shared" si="615"/>
        <v>7.258951970163352E-3</v>
      </c>
      <c r="I636" s="2">
        <f t="shared" ref="I636:J636" si="671">LN(C635)-LN(C634)</f>
        <v>1.2378213223653178E-2</v>
      </c>
      <c r="J636" s="2">
        <f t="shared" si="671"/>
        <v>1.3407085817372044E-2</v>
      </c>
    </row>
    <row r="637" spans="1:10" x14ac:dyDescent="0.45">
      <c r="A637" s="1">
        <v>41110</v>
      </c>
      <c r="B637">
        <v>91.83</v>
      </c>
      <c r="C637">
        <v>2.9238</v>
      </c>
      <c r="D637">
        <v>2.8445</v>
      </c>
      <c r="E637" s="2">
        <f t="shared" si="610"/>
        <v>28.749199999999991</v>
      </c>
      <c r="F637" s="2">
        <f t="shared" si="612"/>
        <v>30.577200000000005</v>
      </c>
      <c r="G637" s="2">
        <f t="shared" si="614"/>
        <v>31.151599999999991</v>
      </c>
      <c r="H637" s="2">
        <f t="shared" si="615"/>
        <v>3.391267879748483E-2</v>
      </c>
      <c r="I637" s="2">
        <f t="shared" ref="I637:J637" si="672">LN(C636)-LN(C635)</f>
        <v>2.3831090356280615E-2</v>
      </c>
      <c r="J637" s="2">
        <f t="shared" si="672"/>
        <v>1.9065208283612245E-2</v>
      </c>
    </row>
    <row r="638" spans="1:10" x14ac:dyDescent="0.45">
      <c r="A638" s="1">
        <v>41113</v>
      </c>
      <c r="B638">
        <v>88.14</v>
      </c>
      <c r="C638">
        <v>2.8206000000000002</v>
      </c>
      <c r="D638">
        <v>2.7637999999999998</v>
      </c>
      <c r="E638" s="2">
        <f t="shared" si="610"/>
        <v>28.734800000000007</v>
      </c>
      <c r="F638" s="2">
        <f t="shared" si="612"/>
        <v>28.749199999999991</v>
      </c>
      <c r="G638" s="2">
        <f t="shared" si="614"/>
        <v>30.577200000000005</v>
      </c>
      <c r="H638" s="2">
        <f t="shared" si="615"/>
        <v>-1.2337818842335757E-2</v>
      </c>
      <c r="I638" s="2">
        <f t="shared" ref="I638:J638" si="673">LN(C637)-LN(C636)</f>
        <v>-7.9035636601794135E-3</v>
      </c>
      <c r="J638" s="2">
        <f t="shared" si="673"/>
        <v>-3.2648056470713671E-2</v>
      </c>
    </row>
    <row r="639" spans="1:10" x14ac:dyDescent="0.45">
      <c r="A639" s="1">
        <v>41114</v>
      </c>
      <c r="B639">
        <v>88.5</v>
      </c>
      <c r="C639">
        <v>2.8262999999999998</v>
      </c>
      <c r="D639">
        <v>2.7258</v>
      </c>
      <c r="E639" s="2">
        <f t="shared" si="610"/>
        <v>27.390599999999989</v>
      </c>
      <c r="F639" s="2">
        <f t="shared" si="612"/>
        <v>28.734800000000007</v>
      </c>
      <c r="G639" s="2">
        <f t="shared" si="614"/>
        <v>28.749199999999991</v>
      </c>
      <c r="H639" s="2">
        <f t="shared" si="615"/>
        <v>-4.101258221159032E-2</v>
      </c>
      <c r="I639" s="2">
        <f t="shared" ref="I639:J639" si="674">LN(C638)-LN(C637)</f>
        <v>-3.5934511819375459E-2</v>
      </c>
      <c r="J639" s="2">
        <f t="shared" si="674"/>
        <v>-2.8780760821317752E-2</v>
      </c>
    </row>
    <row r="640" spans="1:10" x14ac:dyDescent="0.45">
      <c r="A640" s="1">
        <v>41115</v>
      </c>
      <c r="B640">
        <v>88.97</v>
      </c>
      <c r="C640">
        <v>2.8466999999999998</v>
      </c>
      <c r="D640">
        <v>2.7162000000000002</v>
      </c>
      <c r="E640" s="2">
        <f t="shared" si="610"/>
        <v>26.937400000000025</v>
      </c>
      <c r="F640" s="2">
        <f t="shared" si="612"/>
        <v>27.390599999999989</v>
      </c>
      <c r="G640" s="2">
        <f t="shared" si="614"/>
        <v>28.734800000000007</v>
      </c>
      <c r="H640" s="2">
        <f t="shared" si="615"/>
        <v>4.0760926000427133E-3</v>
      </c>
      <c r="I640" s="2">
        <f t="shared" ref="I640:J640" si="675">LN(C639)-LN(C638)</f>
        <v>2.0188074645917098E-3</v>
      </c>
      <c r="J640" s="2">
        <f t="shared" si="675"/>
        <v>-1.3844581375971554E-2</v>
      </c>
    </row>
    <row r="641" spans="1:10" x14ac:dyDescent="0.45">
      <c r="A641" s="1">
        <v>41116</v>
      </c>
      <c r="B641">
        <v>89.39</v>
      </c>
      <c r="C641">
        <v>2.8694000000000002</v>
      </c>
      <c r="D641">
        <v>2.7370000000000001</v>
      </c>
      <c r="E641" s="2">
        <f t="shared" si="610"/>
        <v>27.417600000000011</v>
      </c>
      <c r="F641" s="2">
        <f t="shared" si="612"/>
        <v>26.937400000000025</v>
      </c>
      <c r="G641" s="2">
        <f t="shared" si="614"/>
        <v>27.390599999999989</v>
      </c>
      <c r="H641" s="2">
        <f t="shared" si="615"/>
        <v>5.2966822427924498E-3</v>
      </c>
      <c r="I641" s="2">
        <f t="shared" ref="I641:J641" si="676">LN(C640)-LN(C639)</f>
        <v>7.1919929250907622E-3</v>
      </c>
      <c r="J641" s="2">
        <f t="shared" si="676"/>
        <v>-3.5281183234446845E-3</v>
      </c>
    </row>
    <row r="642" spans="1:10" x14ac:dyDescent="0.45">
      <c r="A642" s="1">
        <v>41117</v>
      </c>
      <c r="B642">
        <v>90.13</v>
      </c>
      <c r="C642">
        <v>2.8904999999999998</v>
      </c>
      <c r="D642">
        <v>2.7967</v>
      </c>
      <c r="E642" s="2">
        <f t="shared" si="610"/>
        <v>28.644600000000008</v>
      </c>
      <c r="F642" s="2">
        <f t="shared" si="612"/>
        <v>27.417600000000011</v>
      </c>
      <c r="G642" s="2">
        <f t="shared" si="614"/>
        <v>26.937400000000025</v>
      </c>
      <c r="H642" s="2">
        <f t="shared" si="615"/>
        <v>4.7095848430851461E-3</v>
      </c>
      <c r="I642" s="2">
        <f t="shared" ref="I642:J642" si="677">LN(C641)-LN(C640)</f>
        <v>7.942520016467336E-3</v>
      </c>
      <c r="J642" s="2">
        <f t="shared" si="677"/>
        <v>7.628585370711094E-3</v>
      </c>
    </row>
    <row r="643" spans="1:10" x14ac:dyDescent="0.45">
      <c r="A643" s="1">
        <v>41120</v>
      </c>
      <c r="B643">
        <v>89.78</v>
      </c>
      <c r="C643">
        <v>2.8814000000000002</v>
      </c>
      <c r="D643">
        <v>2.8184</v>
      </c>
      <c r="E643" s="2">
        <f t="shared" ref="E643:E706" si="678">(2*D643*42+1*C643*42-3*B643)/3</f>
        <v>29.474799999999998</v>
      </c>
      <c r="F643" s="2">
        <f t="shared" si="612"/>
        <v>28.644600000000008</v>
      </c>
      <c r="G643" s="2">
        <f t="shared" si="614"/>
        <v>27.417600000000011</v>
      </c>
      <c r="H643" s="2">
        <f t="shared" si="615"/>
        <v>8.2442534685576163E-3</v>
      </c>
      <c r="I643" s="2">
        <f t="shared" ref="I643:J643" si="679">LN(C642)-LN(C641)</f>
        <v>7.3265488582410221E-3</v>
      </c>
      <c r="J643" s="2">
        <f t="shared" si="679"/>
        <v>2.1577720632565134E-2</v>
      </c>
    </row>
    <row r="644" spans="1:10" x14ac:dyDescent="0.45">
      <c r="A644" s="1">
        <v>41121</v>
      </c>
      <c r="B644">
        <v>88.06</v>
      </c>
      <c r="C644">
        <v>2.8479999999999999</v>
      </c>
      <c r="D644">
        <v>2.7743000000000002</v>
      </c>
      <c r="E644" s="2">
        <f t="shared" si="678"/>
        <v>29.492399999999993</v>
      </c>
      <c r="F644" s="2">
        <f t="shared" ref="F644:F707" si="680">E643</f>
        <v>29.474799999999998</v>
      </c>
      <c r="G644" s="2">
        <f t="shared" si="614"/>
        <v>28.644600000000008</v>
      </c>
      <c r="H644" s="2">
        <f t="shared" si="615"/>
        <v>-3.8908392145327042E-3</v>
      </c>
      <c r="I644" s="2">
        <f t="shared" ref="I644:J644" si="681">LN(C643)-LN(C642)</f>
        <v>-3.1532103951581458E-3</v>
      </c>
      <c r="J644" s="2">
        <f t="shared" si="681"/>
        <v>7.7291973537836345E-3</v>
      </c>
    </row>
    <row r="645" spans="1:10" x14ac:dyDescent="0.45">
      <c r="A645" s="1">
        <v>41122</v>
      </c>
      <c r="B645">
        <v>88.91</v>
      </c>
      <c r="C645">
        <v>2.8588</v>
      </c>
      <c r="D645">
        <v>2.8342000000000001</v>
      </c>
      <c r="E645" s="2">
        <f t="shared" si="678"/>
        <v>30.470799999999997</v>
      </c>
      <c r="F645" s="2">
        <f t="shared" si="680"/>
        <v>29.492399999999993</v>
      </c>
      <c r="G645" s="2">
        <f t="shared" ref="G645:G708" si="682">E643</f>
        <v>29.474799999999998</v>
      </c>
      <c r="H645" s="2">
        <f t="shared" ref="H645:H708" si="683">LN(B644)-LN(B643)</f>
        <v>-1.9343833026177926E-2</v>
      </c>
      <c r="I645" s="2">
        <f t="shared" ref="I645:J645" si="684">LN(C644)-LN(C643)</f>
        <v>-1.1659293595506215E-2</v>
      </c>
      <c r="J645" s="2">
        <f t="shared" si="684"/>
        <v>-1.5770884919695805E-2</v>
      </c>
    </row>
    <row r="646" spans="1:10" x14ac:dyDescent="0.45">
      <c r="A646" s="1">
        <v>41123</v>
      </c>
      <c r="B646">
        <v>87.13</v>
      </c>
      <c r="C646">
        <v>2.8422999999999998</v>
      </c>
      <c r="D646">
        <v>2.8696000000000002</v>
      </c>
      <c r="E646" s="2">
        <f t="shared" si="678"/>
        <v>33.011000000000003</v>
      </c>
      <c r="F646" s="2">
        <f t="shared" si="680"/>
        <v>30.470799999999997</v>
      </c>
      <c r="G646" s="2">
        <f t="shared" si="682"/>
        <v>29.492399999999993</v>
      </c>
      <c r="H646" s="2">
        <f t="shared" si="683"/>
        <v>9.6062218054395743E-3</v>
      </c>
      <c r="I646" s="2">
        <f t="shared" ref="I646:J646" si="685">LN(C645)-LN(C644)</f>
        <v>3.7849628139574598E-3</v>
      </c>
      <c r="J646" s="2">
        <f t="shared" si="685"/>
        <v>2.1361247283438134E-2</v>
      </c>
    </row>
    <row r="647" spans="1:10" x14ac:dyDescent="0.45">
      <c r="A647" s="1">
        <v>41124</v>
      </c>
      <c r="B647">
        <v>91.4</v>
      </c>
      <c r="C647">
        <v>2.9260999999999999</v>
      </c>
      <c r="D647">
        <v>2.931</v>
      </c>
      <c r="E647" s="2">
        <f t="shared" si="678"/>
        <v>31.633399999999977</v>
      </c>
      <c r="F647" s="2">
        <f t="shared" si="680"/>
        <v>33.011000000000003</v>
      </c>
      <c r="G647" s="2">
        <f t="shared" si="682"/>
        <v>30.470799999999997</v>
      </c>
      <c r="H647" s="2">
        <f t="shared" si="683"/>
        <v>-2.0223365889852296E-2</v>
      </c>
      <c r="I647" s="2">
        <f t="shared" ref="I647:J647" si="686">LN(C646)-LN(C645)</f>
        <v>-5.7883727946208552E-3</v>
      </c>
      <c r="J647" s="2">
        <f t="shared" si="686"/>
        <v>1.2412936827302712E-2</v>
      </c>
    </row>
    <row r="648" spans="1:10" x14ac:dyDescent="0.45">
      <c r="A648" s="1">
        <v>41127</v>
      </c>
      <c r="B648">
        <v>92.2</v>
      </c>
      <c r="C648">
        <v>2.9409000000000001</v>
      </c>
      <c r="D648">
        <v>2.9222000000000001</v>
      </c>
      <c r="E648" s="2">
        <f t="shared" si="678"/>
        <v>30.794200000000007</v>
      </c>
      <c r="F648" s="2">
        <f t="shared" si="680"/>
        <v>31.633399999999977</v>
      </c>
      <c r="G648" s="2">
        <f t="shared" si="682"/>
        <v>33.011000000000003</v>
      </c>
      <c r="H648" s="2">
        <f t="shared" si="683"/>
        <v>4.7844222216909316E-2</v>
      </c>
      <c r="I648" s="2">
        <f t="shared" ref="I648:J648" si="687">LN(C647)-LN(C646)</f>
        <v>2.9056894794834198E-2</v>
      </c>
      <c r="J648" s="2">
        <f t="shared" si="687"/>
        <v>2.1171014492819662E-2</v>
      </c>
    </row>
    <row r="649" spans="1:10" x14ac:dyDescent="0.45">
      <c r="A649" s="1">
        <v>41128</v>
      </c>
      <c r="B649">
        <v>93.67</v>
      </c>
      <c r="C649">
        <v>2.9980000000000002</v>
      </c>
      <c r="D649">
        <v>2.9912999999999998</v>
      </c>
      <c r="E649" s="2">
        <f t="shared" si="678"/>
        <v>32.058400000000006</v>
      </c>
      <c r="F649" s="2">
        <f t="shared" si="680"/>
        <v>30.794200000000007</v>
      </c>
      <c r="G649" s="2">
        <f t="shared" si="682"/>
        <v>31.633399999999977</v>
      </c>
      <c r="H649" s="2">
        <f t="shared" si="683"/>
        <v>8.7146521024434875E-3</v>
      </c>
      <c r="I649" s="2">
        <f t="shared" ref="I649:J649" si="688">LN(C648)-LN(C647)</f>
        <v>5.0451785897529522E-3</v>
      </c>
      <c r="J649" s="2">
        <f t="shared" si="688"/>
        <v>-3.0069044729084116E-3</v>
      </c>
    </row>
    <row r="650" spans="1:10" x14ac:dyDescent="0.45">
      <c r="A650" s="1">
        <v>41129</v>
      </c>
      <c r="B650">
        <v>93.35</v>
      </c>
      <c r="C650">
        <v>3.0158999999999998</v>
      </c>
      <c r="D650">
        <v>2.9803999999999999</v>
      </c>
      <c r="E650" s="2">
        <f t="shared" si="678"/>
        <v>32.323800000000006</v>
      </c>
      <c r="F650" s="2">
        <f t="shared" si="680"/>
        <v>32.058400000000006</v>
      </c>
      <c r="G650" s="2">
        <f t="shared" si="682"/>
        <v>30.794200000000007</v>
      </c>
      <c r="H650" s="2">
        <f t="shared" si="683"/>
        <v>1.5817836658491125E-2</v>
      </c>
      <c r="I650" s="2">
        <f t="shared" ref="I650:J650" si="689">LN(C649)-LN(C648)</f>
        <v>1.922974272675293E-2</v>
      </c>
      <c r="J650" s="2">
        <f t="shared" si="689"/>
        <v>2.3371318264872709E-2</v>
      </c>
    </row>
    <row r="651" spans="1:10" x14ac:dyDescent="0.45">
      <c r="A651" s="1">
        <v>41130</v>
      </c>
      <c r="B651">
        <v>93.36</v>
      </c>
      <c r="C651">
        <v>3.0449999999999999</v>
      </c>
      <c r="D651">
        <v>3.0007999999999999</v>
      </c>
      <c r="E651" s="2">
        <f t="shared" si="678"/>
        <v>33.292400000000008</v>
      </c>
      <c r="F651" s="2">
        <f t="shared" si="680"/>
        <v>32.323800000000006</v>
      </c>
      <c r="G651" s="2">
        <f t="shared" si="682"/>
        <v>32.058400000000006</v>
      </c>
      <c r="H651" s="2">
        <f t="shared" si="683"/>
        <v>-3.4220972333072197E-3</v>
      </c>
      <c r="I651" s="2">
        <f t="shared" ref="I651:J651" si="690">LN(C650)-LN(C649)</f>
        <v>5.9528934169408299E-3</v>
      </c>
      <c r="J651" s="2">
        <f t="shared" si="690"/>
        <v>-3.6505558232844404E-3</v>
      </c>
    </row>
    <row r="652" spans="1:10" x14ac:dyDescent="0.45">
      <c r="A652" s="1">
        <v>41131</v>
      </c>
      <c r="B652">
        <v>92.87</v>
      </c>
      <c r="C652">
        <v>3.0205000000000002</v>
      </c>
      <c r="D652">
        <v>3.0038999999999998</v>
      </c>
      <c r="E652" s="2">
        <f t="shared" si="678"/>
        <v>33.526199999999996</v>
      </c>
      <c r="F652" s="2">
        <f t="shared" si="680"/>
        <v>33.292400000000008</v>
      </c>
      <c r="G652" s="2">
        <f t="shared" si="682"/>
        <v>32.323800000000006</v>
      </c>
      <c r="H652" s="2">
        <f t="shared" si="683"/>
        <v>1.0711799056828397E-4</v>
      </c>
      <c r="I652" s="2">
        <f t="shared" ref="I652:J652" si="691">LN(C651)-LN(C650)</f>
        <v>9.6026080645135181E-3</v>
      </c>
      <c r="J652" s="2">
        <f t="shared" si="691"/>
        <v>6.8214000881050563E-3</v>
      </c>
    </row>
    <row r="653" spans="1:10" x14ac:dyDescent="0.45">
      <c r="A653" s="1">
        <v>41134</v>
      </c>
      <c r="B653">
        <v>92.73</v>
      </c>
      <c r="C653">
        <v>3.0183</v>
      </c>
      <c r="D653">
        <v>2.9906999999999999</v>
      </c>
      <c r="E653" s="2">
        <f t="shared" si="678"/>
        <v>33.265799999999992</v>
      </c>
      <c r="F653" s="2">
        <f t="shared" si="680"/>
        <v>33.526199999999996</v>
      </c>
      <c r="G653" s="2">
        <f t="shared" si="682"/>
        <v>33.292400000000008</v>
      </c>
      <c r="H653" s="2">
        <f t="shared" si="683"/>
        <v>-5.2623221903829176E-3</v>
      </c>
      <c r="I653" s="2">
        <f t="shared" ref="I653:J653" si="692">LN(C652)-LN(C651)</f>
        <v>-8.0785205652014191E-3</v>
      </c>
      <c r="J653" s="2">
        <f t="shared" si="692"/>
        <v>1.0325246141893452E-3</v>
      </c>
    </row>
    <row r="654" spans="1:10" x14ac:dyDescent="0.45">
      <c r="A654" s="1">
        <v>41135</v>
      </c>
      <c r="B654">
        <v>93.43</v>
      </c>
      <c r="C654">
        <v>3.0346000000000002</v>
      </c>
      <c r="D654">
        <v>3.0013999999999998</v>
      </c>
      <c r="E654" s="2">
        <f t="shared" si="678"/>
        <v>33.093599999999981</v>
      </c>
      <c r="F654" s="2">
        <f t="shared" si="680"/>
        <v>33.265799999999992</v>
      </c>
      <c r="G654" s="2">
        <f t="shared" si="682"/>
        <v>33.526199999999996</v>
      </c>
      <c r="H654" s="2">
        <f t="shared" si="683"/>
        <v>-1.5086209757830815E-3</v>
      </c>
      <c r="I654" s="2">
        <f t="shared" ref="I654:J654" si="693">LN(C653)-LN(C652)</f>
        <v>-7.2862161268139047E-4</v>
      </c>
      <c r="J654" s="2">
        <f t="shared" si="693"/>
        <v>-4.4039706850989013E-3</v>
      </c>
    </row>
    <row r="655" spans="1:10" x14ac:dyDescent="0.45">
      <c r="A655" s="1">
        <v>41136</v>
      </c>
      <c r="B655">
        <v>94.33</v>
      </c>
      <c r="C655">
        <v>3.0851999999999999</v>
      </c>
      <c r="D655">
        <v>3.0840000000000001</v>
      </c>
      <c r="E655" s="2">
        <f t="shared" si="678"/>
        <v>35.21479999999999</v>
      </c>
      <c r="F655" s="2">
        <f t="shared" si="680"/>
        <v>33.093599999999981</v>
      </c>
      <c r="G655" s="2">
        <f t="shared" si="682"/>
        <v>33.265799999999992</v>
      </c>
      <c r="H655" s="2">
        <f t="shared" si="683"/>
        <v>7.5204479927304391E-3</v>
      </c>
      <c r="I655" s="2">
        <f t="shared" ref="I655:J655" si="694">LN(C654)-LN(C653)</f>
        <v>5.3858611250261479E-3</v>
      </c>
      <c r="J655" s="2">
        <f t="shared" si="694"/>
        <v>3.5713727651212057E-3</v>
      </c>
    </row>
    <row r="656" spans="1:10" x14ac:dyDescent="0.45">
      <c r="A656" s="1">
        <v>41137</v>
      </c>
      <c r="B656">
        <v>95.6</v>
      </c>
      <c r="C656">
        <v>3.1229</v>
      </c>
      <c r="D656">
        <v>3.0832000000000002</v>
      </c>
      <c r="E656" s="2">
        <f t="shared" si="678"/>
        <v>34.450200000000031</v>
      </c>
      <c r="F656" s="2">
        <f t="shared" si="680"/>
        <v>35.21479999999999</v>
      </c>
      <c r="G656" s="2">
        <f t="shared" si="682"/>
        <v>33.093599999999981</v>
      </c>
      <c r="H656" s="2">
        <f t="shared" si="683"/>
        <v>9.586779856896932E-3</v>
      </c>
      <c r="I656" s="2">
        <f t="shared" ref="I656:J656" si="695">LN(C655)-LN(C654)</f>
        <v>1.6536864968703213E-2</v>
      </c>
      <c r="J656" s="2">
        <f t="shared" si="695"/>
        <v>2.714860922133111E-2</v>
      </c>
    </row>
    <row r="657" spans="1:10" x14ac:dyDescent="0.45">
      <c r="A657" s="1">
        <v>41138</v>
      </c>
      <c r="B657">
        <v>96.01</v>
      </c>
      <c r="C657">
        <v>3.0926</v>
      </c>
      <c r="D657">
        <v>3.0274999999999999</v>
      </c>
      <c r="E657" s="2">
        <f t="shared" si="678"/>
        <v>32.056399999999996</v>
      </c>
      <c r="F657" s="2">
        <f t="shared" si="680"/>
        <v>34.450200000000031</v>
      </c>
      <c r="G657" s="2">
        <f t="shared" si="682"/>
        <v>35.21479999999999</v>
      </c>
      <c r="H657" s="2">
        <f t="shared" si="683"/>
        <v>1.3373547395594265E-2</v>
      </c>
      <c r="I657" s="2">
        <f t="shared" ref="I657:J657" si="696">LN(C656)-LN(C655)</f>
        <v>1.2145572217451939E-2</v>
      </c>
      <c r="J657" s="2">
        <f t="shared" si="696"/>
        <v>-2.5943702311814754E-4</v>
      </c>
    </row>
    <row r="658" spans="1:10" x14ac:dyDescent="0.45">
      <c r="A658" s="1">
        <v>41141</v>
      </c>
      <c r="B658">
        <v>96.26</v>
      </c>
      <c r="C658">
        <v>3.0931000000000002</v>
      </c>
      <c r="D658">
        <v>3.0308000000000002</v>
      </c>
      <c r="E658" s="2">
        <f t="shared" si="678"/>
        <v>31.905799999999999</v>
      </c>
      <c r="F658" s="2">
        <f t="shared" si="680"/>
        <v>32.056399999999996</v>
      </c>
      <c r="G658" s="2">
        <f t="shared" si="682"/>
        <v>34.450200000000031</v>
      </c>
      <c r="H658" s="2">
        <f t="shared" si="683"/>
        <v>4.2795326521769539E-3</v>
      </c>
      <c r="I658" s="2">
        <f t="shared" ref="I658:J658" si="697">LN(C657)-LN(C656)</f>
        <v>-9.7498962359658936E-3</v>
      </c>
      <c r="J658" s="2">
        <f t="shared" si="697"/>
        <v>-1.8230822232854882E-2</v>
      </c>
    </row>
    <row r="659" spans="1:10" x14ac:dyDescent="0.45">
      <c r="A659" s="1">
        <v>41142</v>
      </c>
      <c r="B659">
        <v>96.84</v>
      </c>
      <c r="C659">
        <v>3.1242999999999999</v>
      </c>
      <c r="D659">
        <v>3.0651999999999999</v>
      </c>
      <c r="E659" s="2">
        <f t="shared" si="678"/>
        <v>32.725799999999992</v>
      </c>
      <c r="F659" s="2">
        <f t="shared" si="680"/>
        <v>31.905799999999999</v>
      </c>
      <c r="G659" s="2">
        <f t="shared" si="682"/>
        <v>32.056399999999996</v>
      </c>
      <c r="H659" s="2">
        <f t="shared" si="683"/>
        <v>2.6005111654301416E-3</v>
      </c>
      <c r="I659" s="2">
        <f t="shared" ref="I659:J659" si="698">LN(C658)-LN(C657)</f>
        <v>1.6166319126020845E-4</v>
      </c>
      <c r="J659" s="2">
        <f t="shared" si="698"/>
        <v>1.0894146299711416E-3</v>
      </c>
    </row>
    <row r="660" spans="1:10" x14ac:dyDescent="0.45">
      <c r="A660" s="1">
        <v>41143</v>
      </c>
      <c r="B660">
        <v>97.26</v>
      </c>
      <c r="C660">
        <v>3.1286999999999998</v>
      </c>
      <c r="D660">
        <v>2.9382000000000001</v>
      </c>
      <c r="E660" s="2">
        <f t="shared" si="678"/>
        <v>28.811399999999992</v>
      </c>
      <c r="F660" s="2">
        <f t="shared" si="680"/>
        <v>32.725799999999992</v>
      </c>
      <c r="G660" s="2">
        <f t="shared" si="682"/>
        <v>31.905799999999999</v>
      </c>
      <c r="H660" s="2">
        <f t="shared" si="683"/>
        <v>6.0072681948950546E-3</v>
      </c>
      <c r="I660" s="2">
        <f t="shared" ref="I660:J660" si="699">LN(C659)-LN(C658)</f>
        <v>1.0036433846164483E-2</v>
      </c>
      <c r="J660" s="2">
        <f t="shared" si="699"/>
        <v>1.1286209039030881E-2</v>
      </c>
    </row>
    <row r="661" spans="1:10" x14ac:dyDescent="0.45">
      <c r="A661" s="1">
        <v>41144</v>
      </c>
      <c r="B661">
        <v>96.27</v>
      </c>
      <c r="C661">
        <v>3.1412</v>
      </c>
      <c r="D661">
        <v>2.9483999999999999</v>
      </c>
      <c r="E661" s="2">
        <f t="shared" si="678"/>
        <v>30.262</v>
      </c>
      <c r="F661" s="2">
        <f t="shared" si="680"/>
        <v>28.811399999999992</v>
      </c>
      <c r="G661" s="2">
        <f t="shared" si="682"/>
        <v>32.725799999999992</v>
      </c>
      <c r="H661" s="2">
        <f t="shared" si="683"/>
        <v>4.327672905781732E-3</v>
      </c>
      <c r="I661" s="2">
        <f t="shared" ref="I661:J661" si="700">LN(C660)-LN(C659)</f>
        <v>1.4073247165220515E-3</v>
      </c>
      <c r="J661" s="2">
        <f t="shared" si="700"/>
        <v>-4.2315671159922408E-2</v>
      </c>
    </row>
    <row r="662" spans="1:10" x14ac:dyDescent="0.45">
      <c r="A662" s="1">
        <v>41145</v>
      </c>
      <c r="B662">
        <v>96.15</v>
      </c>
      <c r="C662">
        <v>3.1187</v>
      </c>
      <c r="D662">
        <v>2.9104999999999999</v>
      </c>
      <c r="E662" s="2">
        <f t="shared" si="678"/>
        <v>29.005799999999983</v>
      </c>
      <c r="F662" s="2">
        <f t="shared" si="680"/>
        <v>30.262</v>
      </c>
      <c r="G662" s="2">
        <f t="shared" si="682"/>
        <v>28.811399999999992</v>
      </c>
      <c r="H662" s="2">
        <f t="shared" si="683"/>
        <v>-1.0231061185765E-2</v>
      </c>
      <c r="I662" s="2">
        <f t="shared" ref="I662:J662" si="701">LN(C661)-LN(C660)</f>
        <v>3.9873097054428097E-3</v>
      </c>
      <c r="J662" s="2">
        <f t="shared" si="701"/>
        <v>3.4655013788069677E-3</v>
      </c>
    </row>
    <row r="663" spans="1:10" x14ac:dyDescent="0.45">
      <c r="A663" s="1">
        <v>41148</v>
      </c>
      <c r="B663">
        <v>95.47</v>
      </c>
      <c r="C663">
        <v>3.1194999999999999</v>
      </c>
      <c r="D663">
        <v>2.95</v>
      </c>
      <c r="E663" s="2">
        <f t="shared" si="678"/>
        <v>30.803000000000015</v>
      </c>
      <c r="F663" s="2">
        <f t="shared" si="680"/>
        <v>29.005799999999983</v>
      </c>
      <c r="G663" s="2">
        <f t="shared" si="682"/>
        <v>30.262</v>
      </c>
      <c r="H663" s="2">
        <f t="shared" si="683"/>
        <v>-1.24727175508621E-3</v>
      </c>
      <c r="I663" s="2">
        <f t="shared" ref="I663:J663" si="702">LN(C662)-LN(C661)</f>
        <v>-7.1886441935340439E-3</v>
      </c>
      <c r="J663" s="2">
        <f t="shared" si="702"/>
        <v>-1.2937762603343561E-2</v>
      </c>
    </row>
    <row r="664" spans="1:10" x14ac:dyDescent="0.45">
      <c r="A664" s="1">
        <v>41149</v>
      </c>
      <c r="B664">
        <v>96.33</v>
      </c>
      <c r="C664">
        <v>3.1284999999999998</v>
      </c>
      <c r="D664">
        <v>2.9333</v>
      </c>
      <c r="E664" s="2">
        <f t="shared" si="678"/>
        <v>29.601399999999995</v>
      </c>
      <c r="F664" s="2">
        <f t="shared" si="680"/>
        <v>30.803000000000015</v>
      </c>
      <c r="G664" s="2">
        <f t="shared" si="682"/>
        <v>29.005799999999983</v>
      </c>
      <c r="H664" s="2">
        <f t="shared" si="683"/>
        <v>-7.097410024846873E-3</v>
      </c>
      <c r="I664" s="2">
        <f t="shared" ref="I664:J664" si="703">LN(C663)-LN(C662)</f>
        <v>2.5648424365543043E-4</v>
      </c>
      <c r="J664" s="2">
        <f t="shared" si="703"/>
        <v>1.3480282622075235E-2</v>
      </c>
    </row>
    <row r="665" spans="1:10" x14ac:dyDescent="0.45">
      <c r="A665" s="1">
        <v>41150</v>
      </c>
      <c r="B665">
        <v>95.49</v>
      </c>
      <c r="C665">
        <v>3.1223999999999998</v>
      </c>
      <c r="D665">
        <v>2.9167999999999998</v>
      </c>
      <c r="E665" s="2">
        <f t="shared" si="678"/>
        <v>29.893999999999988</v>
      </c>
      <c r="F665" s="2">
        <f t="shared" si="680"/>
        <v>29.601399999999995</v>
      </c>
      <c r="G665" s="2">
        <f t="shared" si="682"/>
        <v>30.803000000000015</v>
      </c>
      <c r="H665" s="2">
        <f t="shared" si="683"/>
        <v>8.967734759590229E-3</v>
      </c>
      <c r="I665" s="2">
        <f t="shared" ref="I665:J665" si="704">LN(C664)-LN(C663)</f>
        <v>2.8809238875771026E-3</v>
      </c>
      <c r="J665" s="2">
        <f t="shared" si="704"/>
        <v>-5.6771012366074736E-3</v>
      </c>
    </row>
    <row r="666" spans="1:10" x14ac:dyDescent="0.45">
      <c r="A666" s="1">
        <v>41151</v>
      </c>
      <c r="B666">
        <v>94.62</v>
      </c>
      <c r="C666">
        <v>3.1333000000000002</v>
      </c>
      <c r="D666">
        <v>2.9079999999999999</v>
      </c>
      <c r="E666" s="2">
        <f t="shared" si="678"/>
        <v>30.670199999999983</v>
      </c>
      <c r="F666" s="2">
        <f t="shared" si="680"/>
        <v>29.893999999999988</v>
      </c>
      <c r="G666" s="2">
        <f t="shared" si="682"/>
        <v>29.601399999999995</v>
      </c>
      <c r="H666" s="2">
        <f t="shared" si="683"/>
        <v>-8.7582668074208669E-3</v>
      </c>
      <c r="I666" s="2">
        <f t="shared" ref="I666:J666" si="705">LN(C665)-LN(C664)</f>
        <v>-1.9517195720128999E-3</v>
      </c>
      <c r="J666" s="2">
        <f t="shared" si="705"/>
        <v>-5.6409441728595411E-3</v>
      </c>
    </row>
    <row r="667" spans="1:10" x14ac:dyDescent="0.45">
      <c r="A667" s="1">
        <v>41152</v>
      </c>
      <c r="B667">
        <v>96.47</v>
      </c>
      <c r="C667">
        <v>3.1802000000000001</v>
      </c>
      <c r="D667">
        <v>2.9727999999999999</v>
      </c>
      <c r="E667" s="2">
        <f t="shared" si="678"/>
        <v>31.291200000000003</v>
      </c>
      <c r="F667" s="2">
        <f t="shared" si="680"/>
        <v>30.670199999999983</v>
      </c>
      <c r="G667" s="2">
        <f t="shared" si="682"/>
        <v>29.893999999999988</v>
      </c>
      <c r="H667" s="2">
        <f t="shared" si="683"/>
        <v>-9.1526597591089498E-3</v>
      </c>
      <c r="I667" s="2">
        <f t="shared" ref="I667:J667" si="706">LN(C666)-LN(C665)</f>
        <v>3.4848253691210918E-3</v>
      </c>
      <c r="J667" s="2">
        <f t="shared" si="706"/>
        <v>-3.0215652709884022E-3</v>
      </c>
    </row>
    <row r="668" spans="1:10" x14ac:dyDescent="0.45">
      <c r="A668" s="1">
        <v>41156</v>
      </c>
      <c r="B668">
        <v>95.3</v>
      </c>
      <c r="C668">
        <v>3.1467999999999998</v>
      </c>
      <c r="D668">
        <v>2.9521999999999999</v>
      </c>
      <c r="E668" s="2">
        <f t="shared" si="678"/>
        <v>31.416800000000006</v>
      </c>
      <c r="F668" s="2">
        <f t="shared" si="680"/>
        <v>31.291200000000003</v>
      </c>
      <c r="G668" s="2">
        <f t="shared" si="682"/>
        <v>30.670199999999983</v>
      </c>
      <c r="H668" s="2">
        <f t="shared" si="683"/>
        <v>1.9363208979459756E-2</v>
      </c>
      <c r="I668" s="2">
        <f t="shared" ref="I668:J668" si="707">LN(C667)-LN(C666)</f>
        <v>1.4857325642770425E-2</v>
      </c>
      <c r="J668" s="2">
        <f t="shared" si="707"/>
        <v>2.2038709966109238E-2</v>
      </c>
    </row>
    <row r="669" spans="1:10" x14ac:dyDescent="0.45">
      <c r="A669" s="1">
        <v>41157</v>
      </c>
      <c r="B669">
        <v>95.36</v>
      </c>
      <c r="C669">
        <v>3.1175999999999999</v>
      </c>
      <c r="D669">
        <v>2.9498000000000002</v>
      </c>
      <c r="E669" s="2">
        <f t="shared" si="678"/>
        <v>30.880800000000004</v>
      </c>
      <c r="F669" s="2">
        <f t="shared" si="680"/>
        <v>31.416800000000006</v>
      </c>
      <c r="G669" s="2">
        <f t="shared" si="682"/>
        <v>31.291200000000003</v>
      </c>
      <c r="H669" s="2">
        <f t="shared" si="683"/>
        <v>-1.2202268522305104E-2</v>
      </c>
      <c r="I669" s="2">
        <f t="shared" ref="I669:J669" si="708">LN(C668)-LN(C667)</f>
        <v>-1.05580244232093E-2</v>
      </c>
      <c r="J669" s="2">
        <f t="shared" si="708"/>
        <v>-6.953614516622908E-3</v>
      </c>
    </row>
    <row r="670" spans="1:10" x14ac:dyDescent="0.45">
      <c r="A670" s="1">
        <v>41158</v>
      </c>
      <c r="B670">
        <v>95.53</v>
      </c>
      <c r="C670">
        <v>3.1425000000000001</v>
      </c>
      <c r="D670">
        <v>2.9910000000000001</v>
      </c>
      <c r="E670" s="2">
        <f t="shared" si="678"/>
        <v>32.213000000000001</v>
      </c>
      <c r="F670" s="2">
        <f t="shared" si="680"/>
        <v>30.880800000000004</v>
      </c>
      <c r="G670" s="2">
        <f t="shared" si="682"/>
        <v>31.416800000000006</v>
      </c>
      <c r="H670" s="2">
        <f t="shared" si="683"/>
        <v>6.2939265688299884E-4</v>
      </c>
      <c r="I670" s="2">
        <f t="shared" ref="I670:J670" si="709">LN(C669)-LN(C668)</f>
        <v>-9.3225884305878637E-3</v>
      </c>
      <c r="J670" s="2">
        <f t="shared" si="709"/>
        <v>-8.1328367749433639E-4</v>
      </c>
    </row>
    <row r="671" spans="1:10" x14ac:dyDescent="0.45">
      <c r="A671" s="1">
        <v>41159</v>
      </c>
      <c r="B671">
        <v>96.42</v>
      </c>
      <c r="C671">
        <v>3.1488999999999998</v>
      </c>
      <c r="D671">
        <v>3.0196000000000001</v>
      </c>
      <c r="E671" s="2">
        <f t="shared" si="678"/>
        <v>32.2134</v>
      </c>
      <c r="F671" s="2">
        <f t="shared" si="680"/>
        <v>32.213000000000001</v>
      </c>
      <c r="G671" s="2">
        <f t="shared" si="682"/>
        <v>30.880800000000004</v>
      </c>
      <c r="H671" s="2">
        <f t="shared" si="683"/>
        <v>1.7811309648774198E-3</v>
      </c>
      <c r="I671" s="2">
        <f t="shared" ref="I671:J671" si="710">LN(C670)-LN(C669)</f>
        <v>7.9551864399030059E-3</v>
      </c>
      <c r="J671" s="2">
        <f t="shared" si="710"/>
        <v>1.3870408204545992E-2</v>
      </c>
    </row>
    <row r="672" spans="1:10" x14ac:dyDescent="0.45">
      <c r="A672" s="1">
        <v>41162</v>
      </c>
      <c r="B672">
        <v>96.54</v>
      </c>
      <c r="C672">
        <v>3.1667999999999998</v>
      </c>
      <c r="D672">
        <v>3.024</v>
      </c>
      <c r="E672" s="2">
        <f t="shared" si="678"/>
        <v>32.467199999999991</v>
      </c>
      <c r="F672" s="2">
        <f t="shared" si="680"/>
        <v>32.2134</v>
      </c>
      <c r="G672" s="2">
        <f t="shared" si="682"/>
        <v>32.213000000000001</v>
      </c>
      <c r="H672" s="2">
        <f t="shared" si="683"/>
        <v>9.2733146955588097E-3</v>
      </c>
      <c r="I672" s="2">
        <f t="shared" ref="I672:J672" si="711">LN(C671)-LN(C670)</f>
        <v>2.0345240193342384E-3</v>
      </c>
      <c r="J672" s="2">
        <f t="shared" si="711"/>
        <v>9.5165926355218478E-3</v>
      </c>
    </row>
    <row r="673" spans="1:10" x14ac:dyDescent="0.45">
      <c r="A673" s="1">
        <v>41163</v>
      </c>
      <c r="B673">
        <v>97.17</v>
      </c>
      <c r="C673">
        <v>3.1857000000000002</v>
      </c>
      <c r="D673">
        <v>3.0434999999999999</v>
      </c>
      <c r="E673" s="2">
        <f t="shared" si="678"/>
        <v>32.647799999999997</v>
      </c>
      <c r="F673" s="2">
        <f t="shared" si="680"/>
        <v>32.467199999999991</v>
      </c>
      <c r="G673" s="2">
        <f t="shared" si="682"/>
        <v>32.2134</v>
      </c>
      <c r="H673" s="2">
        <f t="shared" si="683"/>
        <v>1.2437812548711236E-3</v>
      </c>
      <c r="I673" s="2">
        <f t="shared" ref="I673:J673" si="712">LN(C672)-LN(C671)</f>
        <v>5.6684288135417926E-3</v>
      </c>
      <c r="J673" s="2">
        <f t="shared" si="712"/>
        <v>1.4560860339536408E-3</v>
      </c>
    </row>
    <row r="674" spans="1:10" x14ac:dyDescent="0.45">
      <c r="A674" s="1">
        <v>41164</v>
      </c>
      <c r="B674">
        <v>97.01</v>
      </c>
      <c r="C674">
        <v>3.2151999999999998</v>
      </c>
      <c r="D674">
        <v>3.0015999999999998</v>
      </c>
      <c r="E674" s="2">
        <f t="shared" si="678"/>
        <v>32.047599999999967</v>
      </c>
      <c r="F674" s="2">
        <f t="shared" si="680"/>
        <v>32.647799999999997</v>
      </c>
      <c r="G674" s="2">
        <f t="shared" si="682"/>
        <v>32.467199999999991</v>
      </c>
      <c r="H674" s="2">
        <f t="shared" si="683"/>
        <v>6.5045916190005215E-3</v>
      </c>
      <c r="I674" s="2">
        <f t="shared" ref="I674:J674" si="713">LN(C673)-LN(C672)</f>
        <v>5.9504307806310663E-3</v>
      </c>
      <c r="J674" s="2">
        <f t="shared" si="713"/>
        <v>6.4277106345556057E-3</v>
      </c>
    </row>
    <row r="675" spans="1:10" x14ac:dyDescent="0.45">
      <c r="A675" s="1">
        <v>41165</v>
      </c>
      <c r="B675">
        <v>98.31</v>
      </c>
      <c r="C675">
        <v>3.2113</v>
      </c>
      <c r="D675">
        <v>2.9622000000000002</v>
      </c>
      <c r="E675" s="2">
        <f t="shared" si="678"/>
        <v>29.589800000000007</v>
      </c>
      <c r="F675" s="2">
        <f t="shared" si="680"/>
        <v>32.047599999999967</v>
      </c>
      <c r="G675" s="2">
        <f t="shared" si="682"/>
        <v>32.647799999999997</v>
      </c>
      <c r="H675" s="2">
        <f t="shared" si="683"/>
        <v>-1.6479558781554715E-3</v>
      </c>
      <c r="I675" s="2">
        <f t="shared" ref="I675:J675" si="714">LN(C674)-LN(C673)</f>
        <v>9.217519057081569E-3</v>
      </c>
      <c r="J675" s="2">
        <f t="shared" si="714"/>
        <v>-1.3862689122073668E-2</v>
      </c>
    </row>
    <row r="676" spans="1:10" x14ac:dyDescent="0.45">
      <c r="A676" s="1">
        <v>41166</v>
      </c>
      <c r="B676">
        <v>99</v>
      </c>
      <c r="C676">
        <v>3.2395</v>
      </c>
      <c r="D676">
        <v>3.0156000000000001</v>
      </c>
      <c r="E676" s="2">
        <f t="shared" si="678"/>
        <v>30.789800000000014</v>
      </c>
      <c r="F676" s="2">
        <f t="shared" si="680"/>
        <v>29.589800000000007</v>
      </c>
      <c r="G676" s="2">
        <f t="shared" si="682"/>
        <v>32.047599999999967</v>
      </c>
      <c r="H676" s="2">
        <f t="shared" si="683"/>
        <v>1.3311685405640539E-2</v>
      </c>
      <c r="I676" s="2">
        <f t="shared" ref="I676:J676" si="715">LN(C675)-LN(C674)</f>
        <v>-1.2137245713113032E-3</v>
      </c>
      <c r="J676" s="2">
        <f t="shared" si="715"/>
        <v>-1.3213244319033146E-2</v>
      </c>
    </row>
    <row r="677" spans="1:10" x14ac:dyDescent="0.45">
      <c r="A677" s="1">
        <v>41169</v>
      </c>
      <c r="B677">
        <v>96.62</v>
      </c>
      <c r="C677">
        <v>3.1634000000000002</v>
      </c>
      <c r="D677">
        <v>2.9432999999999998</v>
      </c>
      <c r="E677" s="2">
        <f t="shared" si="678"/>
        <v>30.080000000000002</v>
      </c>
      <c r="F677" s="2">
        <f t="shared" si="680"/>
        <v>30.789800000000014</v>
      </c>
      <c r="G677" s="2">
        <f t="shared" si="682"/>
        <v>29.589800000000007</v>
      </c>
      <c r="H677" s="2">
        <f t="shared" si="683"/>
        <v>6.9940987557570722E-3</v>
      </c>
      <c r="I677" s="2">
        <f t="shared" ref="I677:J677" si="716">LN(C676)-LN(C675)</f>
        <v>8.7431573263321294E-3</v>
      </c>
      <c r="J677" s="2">
        <f t="shared" si="716"/>
        <v>1.7866579844674435E-2</v>
      </c>
    </row>
    <row r="678" spans="1:10" x14ac:dyDescent="0.45">
      <c r="A678" s="1">
        <v>41170</v>
      </c>
      <c r="B678">
        <v>95.29</v>
      </c>
      <c r="C678">
        <v>3.1271</v>
      </c>
      <c r="D678">
        <v>2.899</v>
      </c>
      <c r="E678" s="2">
        <f t="shared" si="678"/>
        <v>29.661399999999997</v>
      </c>
      <c r="F678" s="2">
        <f t="shared" si="680"/>
        <v>30.080000000000002</v>
      </c>
      <c r="G678" s="2">
        <f t="shared" si="682"/>
        <v>30.789800000000014</v>
      </c>
      <c r="H678" s="2">
        <f t="shared" si="683"/>
        <v>-2.4334091008329395E-2</v>
      </c>
      <c r="I678" s="2">
        <f t="shared" ref="I678:J678" si="717">LN(C677)-LN(C676)</f>
        <v>-2.377159836062348E-2</v>
      </c>
      <c r="J678" s="2">
        <f t="shared" si="717"/>
        <v>-2.4267414500092066E-2</v>
      </c>
    </row>
    <row r="679" spans="1:10" x14ac:dyDescent="0.45">
      <c r="A679" s="1">
        <v>41171</v>
      </c>
      <c r="B679">
        <v>92.3</v>
      </c>
      <c r="C679">
        <v>3.044</v>
      </c>
      <c r="D679">
        <v>2.8285999999999998</v>
      </c>
      <c r="E679" s="2">
        <f t="shared" si="678"/>
        <v>29.516800000000007</v>
      </c>
      <c r="F679" s="2">
        <f t="shared" si="680"/>
        <v>29.661399999999997</v>
      </c>
      <c r="G679" s="2">
        <f t="shared" si="682"/>
        <v>30.080000000000002</v>
      </c>
      <c r="H679" s="2">
        <f t="shared" si="683"/>
        <v>-1.3860885766163733E-2</v>
      </c>
      <c r="I679" s="2">
        <f t="shared" ref="I679:J679" si="718">LN(C678)-LN(C677)</f>
        <v>-1.1541341049782883E-2</v>
      </c>
      <c r="J679" s="2">
        <f t="shared" si="718"/>
        <v>-1.5165550915799075E-2</v>
      </c>
    </row>
    <row r="680" spans="1:10" x14ac:dyDescent="0.45">
      <c r="A680" s="1">
        <v>41172</v>
      </c>
      <c r="B680">
        <v>92.42</v>
      </c>
      <c r="C680">
        <v>3.093</v>
      </c>
      <c r="D680">
        <v>2.7808999999999999</v>
      </c>
      <c r="E680" s="2">
        <f t="shared" si="678"/>
        <v>28.747200000000003</v>
      </c>
      <c r="F680" s="2">
        <f t="shared" si="680"/>
        <v>29.516800000000007</v>
      </c>
      <c r="G680" s="2">
        <f t="shared" si="682"/>
        <v>29.661399999999997</v>
      </c>
      <c r="H680" s="2">
        <f t="shared" si="683"/>
        <v>-3.1880731851289923E-2</v>
      </c>
      <c r="I680" s="2">
        <f t="shared" ref="I680:J680" si="719">LN(C679)-LN(C678)</f>
        <v>-2.693361749802925E-2</v>
      </c>
      <c r="J680" s="2">
        <f t="shared" si="719"/>
        <v>-2.4583960335256227E-2</v>
      </c>
    </row>
    <row r="681" spans="1:10" x14ac:dyDescent="0.45">
      <c r="A681" s="1">
        <v>41173</v>
      </c>
      <c r="B681">
        <v>92.89</v>
      </c>
      <c r="C681">
        <v>3.1177000000000001</v>
      </c>
      <c r="D681">
        <v>2.8195000000000001</v>
      </c>
      <c r="E681" s="2">
        <f t="shared" si="678"/>
        <v>29.703800000000001</v>
      </c>
      <c r="F681" s="2">
        <f t="shared" si="680"/>
        <v>28.747200000000003</v>
      </c>
      <c r="G681" s="2">
        <f t="shared" si="682"/>
        <v>29.516800000000007</v>
      </c>
      <c r="H681" s="2">
        <f t="shared" si="683"/>
        <v>1.2992639333138101E-3</v>
      </c>
      <c r="I681" s="2">
        <f t="shared" ref="I681:J681" si="720">LN(C680)-LN(C679)</f>
        <v>1.5969053703493108E-2</v>
      </c>
      <c r="J681" s="2">
        <f t="shared" si="720"/>
        <v>-1.7007273287334757E-2</v>
      </c>
    </row>
    <row r="682" spans="1:10" x14ac:dyDescent="0.45">
      <c r="A682" s="1">
        <v>41176</v>
      </c>
      <c r="B682">
        <v>91.93</v>
      </c>
      <c r="C682">
        <v>3.0960999999999999</v>
      </c>
      <c r="D682">
        <v>2.7877000000000001</v>
      </c>
      <c r="E682" s="2">
        <f t="shared" si="678"/>
        <v>29.470999999999986</v>
      </c>
      <c r="F682" s="2">
        <f t="shared" si="680"/>
        <v>29.703800000000001</v>
      </c>
      <c r="G682" s="2">
        <f t="shared" si="682"/>
        <v>28.747200000000003</v>
      </c>
      <c r="H682" s="2">
        <f t="shared" si="683"/>
        <v>5.072591957309136E-3</v>
      </c>
      <c r="I682" s="2">
        <f t="shared" ref="I682:J682" si="721">LN(C681)-LN(C680)</f>
        <v>7.9540567808709106E-3</v>
      </c>
      <c r="J682" s="2">
        <f t="shared" si="721"/>
        <v>1.3784947948172199E-2</v>
      </c>
    </row>
    <row r="683" spans="1:10" x14ac:dyDescent="0.45">
      <c r="A683" s="1">
        <v>41177</v>
      </c>
      <c r="B683">
        <v>91.37</v>
      </c>
      <c r="C683">
        <v>3.1069</v>
      </c>
      <c r="D683">
        <v>2.8224</v>
      </c>
      <c r="E683" s="2">
        <f t="shared" si="678"/>
        <v>31.153800000000007</v>
      </c>
      <c r="F683" s="2">
        <f t="shared" si="680"/>
        <v>29.470999999999986</v>
      </c>
      <c r="G683" s="2">
        <f t="shared" si="682"/>
        <v>29.703800000000001</v>
      </c>
      <c r="H683" s="2">
        <f t="shared" si="683"/>
        <v>-1.0388579523766595E-2</v>
      </c>
      <c r="I683" s="2">
        <f t="shared" ref="I683:J683" si="722">LN(C682)-LN(C681)</f>
        <v>-6.9522955363461314E-3</v>
      </c>
      <c r="J683" s="2">
        <f t="shared" si="722"/>
        <v>-1.1342681173766467E-2</v>
      </c>
    </row>
    <row r="684" spans="1:10" x14ac:dyDescent="0.45">
      <c r="A684" s="1">
        <v>41178</v>
      </c>
      <c r="B684">
        <v>89.98</v>
      </c>
      <c r="C684">
        <v>3.1025</v>
      </c>
      <c r="D684">
        <v>2.8738000000000001</v>
      </c>
      <c r="E684" s="2">
        <f t="shared" si="678"/>
        <v>33.921400000000006</v>
      </c>
      <c r="F684" s="2">
        <f t="shared" si="680"/>
        <v>31.153800000000007</v>
      </c>
      <c r="G684" s="2">
        <f t="shared" si="682"/>
        <v>29.470999999999986</v>
      </c>
      <c r="H684" s="2">
        <f t="shared" si="683"/>
        <v>-6.1102208651337975E-3</v>
      </c>
      <c r="I684" s="2">
        <f t="shared" ref="I684:J684" si="723">LN(C683)-LN(C682)</f>
        <v>3.4821895576584438E-3</v>
      </c>
      <c r="J684" s="2">
        <f t="shared" si="723"/>
        <v>1.2370703739001732E-2</v>
      </c>
    </row>
    <row r="685" spans="1:10" x14ac:dyDescent="0.45">
      <c r="A685" s="1">
        <v>41179</v>
      </c>
      <c r="B685">
        <v>91.85</v>
      </c>
      <c r="C685">
        <v>3.1507999999999998</v>
      </c>
      <c r="D685">
        <v>2.8972000000000002</v>
      </c>
      <c r="E685" s="2">
        <f t="shared" si="678"/>
        <v>33.38280000000001</v>
      </c>
      <c r="F685" s="2">
        <f t="shared" si="680"/>
        <v>33.921400000000006</v>
      </c>
      <c r="G685" s="2">
        <f t="shared" si="682"/>
        <v>31.153800000000007</v>
      </c>
      <c r="H685" s="2">
        <f t="shared" si="683"/>
        <v>-1.5329773597502871E-2</v>
      </c>
      <c r="I685" s="2">
        <f t="shared" ref="I685:J685" si="724">LN(C684)-LN(C683)</f>
        <v>-1.4172064084905234E-3</v>
      </c>
      <c r="J685" s="2">
        <f t="shared" si="724"/>
        <v>1.8047608982634245E-2</v>
      </c>
    </row>
    <row r="686" spans="1:10" x14ac:dyDescent="0.45">
      <c r="A686" s="1">
        <v>41180</v>
      </c>
      <c r="B686">
        <v>92.19</v>
      </c>
      <c r="C686">
        <v>3.1591999999999998</v>
      </c>
      <c r="D686">
        <v>2.9201000000000001</v>
      </c>
      <c r="E686" s="2">
        <f t="shared" si="678"/>
        <v>33.801600000000008</v>
      </c>
      <c r="F686" s="2">
        <f t="shared" si="680"/>
        <v>33.38280000000001</v>
      </c>
      <c r="G686" s="2">
        <f t="shared" si="682"/>
        <v>33.921400000000006</v>
      </c>
      <c r="H686" s="2">
        <f t="shared" si="683"/>
        <v>2.0569388248108389E-2</v>
      </c>
      <c r="I686" s="2">
        <f t="shared" ref="I686:J686" si="725">LN(C685)-LN(C684)</f>
        <v>1.5448150750406953E-2</v>
      </c>
      <c r="J686" s="2">
        <f t="shared" si="725"/>
        <v>8.1095575260647923E-3</v>
      </c>
    </row>
    <row r="687" spans="1:10" x14ac:dyDescent="0.45">
      <c r="A687" s="1">
        <v>41183</v>
      </c>
      <c r="B687">
        <v>92.48</v>
      </c>
      <c r="C687">
        <v>3.1358000000000001</v>
      </c>
      <c r="D687">
        <v>2.9201000000000001</v>
      </c>
      <c r="E687" s="2">
        <f t="shared" si="678"/>
        <v>33.184000000000005</v>
      </c>
      <c r="F687" s="2">
        <f t="shared" si="680"/>
        <v>33.801600000000008</v>
      </c>
      <c r="G687" s="2">
        <f t="shared" si="682"/>
        <v>33.38280000000001</v>
      </c>
      <c r="H687" s="2">
        <f t="shared" si="683"/>
        <v>3.694853149368349E-3</v>
      </c>
      <c r="I687" s="2">
        <f t="shared" ref="I687:J687" si="726">LN(C686)-LN(C685)</f>
        <v>2.6624421432703826E-3</v>
      </c>
      <c r="J687" s="2">
        <f t="shared" si="726"/>
        <v>7.8731089300982937E-3</v>
      </c>
    </row>
    <row r="688" spans="1:10" x14ac:dyDescent="0.45">
      <c r="A688" s="1">
        <v>41184</v>
      </c>
      <c r="B688">
        <v>91.89</v>
      </c>
      <c r="C688">
        <v>3.1255000000000002</v>
      </c>
      <c r="D688">
        <v>2.8692000000000002</v>
      </c>
      <c r="E688" s="2">
        <f t="shared" si="678"/>
        <v>32.204600000000006</v>
      </c>
      <c r="F688" s="2">
        <f t="shared" si="680"/>
        <v>33.184000000000005</v>
      </c>
      <c r="G688" s="2">
        <f t="shared" si="682"/>
        <v>33.801600000000008</v>
      </c>
      <c r="H688" s="2">
        <f t="shared" si="683"/>
        <v>3.1407401135643553E-3</v>
      </c>
      <c r="I688" s="2">
        <f t="shared" ref="I688:J688" si="727">LN(C687)-LN(C686)</f>
        <v>-7.4345060460894175E-3</v>
      </c>
      <c r="J688" s="2">
        <f t="shared" si="727"/>
        <v>0</v>
      </c>
    </row>
    <row r="689" spans="1:10" x14ac:dyDescent="0.45">
      <c r="A689" s="1">
        <v>41185</v>
      </c>
      <c r="B689">
        <v>88.14</v>
      </c>
      <c r="C689">
        <v>3.0663999999999998</v>
      </c>
      <c r="D689">
        <v>2.7995000000000001</v>
      </c>
      <c r="E689" s="2">
        <f t="shared" si="678"/>
        <v>33.175599999999996</v>
      </c>
      <c r="F689" s="2">
        <f t="shared" si="680"/>
        <v>32.204600000000006</v>
      </c>
      <c r="G689" s="2">
        <f t="shared" si="682"/>
        <v>33.184000000000005</v>
      </c>
      <c r="H689" s="2">
        <f t="shared" si="683"/>
        <v>-6.4001954112740123E-3</v>
      </c>
      <c r="I689" s="2">
        <f t="shared" ref="I689:J689" si="728">LN(C688)-LN(C687)</f>
        <v>-3.2900545544831683E-3</v>
      </c>
      <c r="J689" s="2">
        <f t="shared" si="728"/>
        <v>-1.7584616998989944E-2</v>
      </c>
    </row>
    <row r="690" spans="1:10" x14ac:dyDescent="0.45">
      <c r="A690" s="1">
        <v>41186</v>
      </c>
      <c r="B690">
        <v>91.71</v>
      </c>
      <c r="C690">
        <v>3.1884000000000001</v>
      </c>
      <c r="D690">
        <v>2.9428999999999998</v>
      </c>
      <c r="E690" s="2">
        <f t="shared" si="678"/>
        <v>35.328800000000001</v>
      </c>
      <c r="F690" s="2">
        <f t="shared" si="680"/>
        <v>33.175599999999996</v>
      </c>
      <c r="G690" s="2">
        <f t="shared" si="682"/>
        <v>32.204600000000006</v>
      </c>
      <c r="H690" s="2">
        <f t="shared" si="683"/>
        <v>-4.1665750098952792E-2</v>
      </c>
      <c r="I690" s="2">
        <f t="shared" ref="I690:J690" si="729">LN(C689)-LN(C688)</f>
        <v>-1.9090035305521669E-2</v>
      </c>
      <c r="J690" s="2">
        <f t="shared" si="729"/>
        <v>-2.4592415463331463E-2</v>
      </c>
    </row>
    <row r="691" spans="1:10" x14ac:dyDescent="0.45">
      <c r="A691" s="1">
        <v>41187</v>
      </c>
      <c r="B691">
        <v>89.88</v>
      </c>
      <c r="C691">
        <v>3.1558999999999999</v>
      </c>
      <c r="D691">
        <v>2.9525000000000001</v>
      </c>
      <c r="E691" s="2">
        <f t="shared" si="678"/>
        <v>36.972600000000021</v>
      </c>
      <c r="F691" s="2">
        <f t="shared" si="680"/>
        <v>35.328800000000001</v>
      </c>
      <c r="G691" s="2">
        <f t="shared" si="682"/>
        <v>33.175599999999996</v>
      </c>
      <c r="H691" s="2">
        <f t="shared" si="683"/>
        <v>3.9704965157011607E-2</v>
      </c>
      <c r="I691" s="2">
        <f t="shared" ref="I691:J691" si="730">LN(C690)-LN(C689)</f>
        <v>3.9014988487422908E-2</v>
      </c>
      <c r="J691" s="2">
        <f t="shared" si="730"/>
        <v>4.9954659934166257E-2</v>
      </c>
    </row>
    <row r="692" spans="1:10" x14ac:dyDescent="0.45">
      <c r="A692" s="1">
        <v>41190</v>
      </c>
      <c r="B692">
        <v>89.33</v>
      </c>
      <c r="C692">
        <v>3.1442999999999999</v>
      </c>
      <c r="D692">
        <v>2.8931</v>
      </c>
      <c r="E692" s="2">
        <f t="shared" si="678"/>
        <v>35.697000000000003</v>
      </c>
      <c r="F692" s="2">
        <f t="shared" si="680"/>
        <v>36.972600000000021</v>
      </c>
      <c r="G692" s="2">
        <f t="shared" si="682"/>
        <v>35.328800000000001</v>
      </c>
      <c r="H692" s="2">
        <f t="shared" si="683"/>
        <v>-2.0155977253724089E-2</v>
      </c>
      <c r="I692" s="2">
        <f t="shared" ref="I692:J692" si="731">LN(C691)-LN(C690)</f>
        <v>-1.0245506768078672E-2</v>
      </c>
      <c r="J692" s="2">
        <f t="shared" si="731"/>
        <v>3.2567793484030716E-3</v>
      </c>
    </row>
    <row r="693" spans="1:10" x14ac:dyDescent="0.45">
      <c r="A693" s="1">
        <v>41191</v>
      </c>
      <c r="B693">
        <v>92.39</v>
      </c>
      <c r="C693">
        <v>3.2031999999999998</v>
      </c>
      <c r="D693">
        <v>2.9586999999999999</v>
      </c>
      <c r="E693" s="2">
        <f t="shared" si="678"/>
        <v>35.298399999999994</v>
      </c>
      <c r="F693" s="2">
        <f t="shared" si="680"/>
        <v>35.697000000000003</v>
      </c>
      <c r="G693" s="2">
        <f t="shared" si="682"/>
        <v>36.972600000000021</v>
      </c>
      <c r="H693" s="2">
        <f t="shared" si="683"/>
        <v>-6.1380696033808135E-3</v>
      </c>
      <c r="I693" s="2">
        <f t="shared" ref="I693:J693" si="732">LN(C692)-LN(C691)</f>
        <v>-3.6824269414481581E-3</v>
      </c>
      <c r="J693" s="2">
        <f t="shared" si="732"/>
        <v>-2.0323677498517378E-2</v>
      </c>
    </row>
    <row r="694" spans="1:10" x14ac:dyDescent="0.45">
      <c r="A694" s="1">
        <v>41192</v>
      </c>
      <c r="B694">
        <v>91.25</v>
      </c>
      <c r="C694">
        <v>3.2130999999999998</v>
      </c>
      <c r="D694">
        <v>2.9592999999999998</v>
      </c>
      <c r="E694" s="2">
        <f t="shared" si="678"/>
        <v>36.593799999999987</v>
      </c>
      <c r="F694" s="2">
        <f t="shared" si="680"/>
        <v>35.298399999999994</v>
      </c>
      <c r="G694" s="2">
        <f t="shared" si="682"/>
        <v>35.697000000000003</v>
      </c>
      <c r="H694" s="2">
        <f t="shared" si="683"/>
        <v>3.3681369968906694E-2</v>
      </c>
      <c r="I694" s="2">
        <f t="shared" ref="I694:J694" si="733">LN(C693)-LN(C692)</f>
        <v>1.8559020276659899E-2</v>
      </c>
      <c r="J694" s="2">
        <f t="shared" si="733"/>
        <v>2.2421391084097575E-2</v>
      </c>
    </row>
    <row r="695" spans="1:10" x14ac:dyDescent="0.45">
      <c r="A695" s="1">
        <v>41193</v>
      </c>
      <c r="B695">
        <v>92.07</v>
      </c>
      <c r="C695">
        <v>3.2570999999999999</v>
      </c>
      <c r="D695">
        <v>2.9556</v>
      </c>
      <c r="E695" s="2">
        <f t="shared" si="678"/>
        <v>36.286200000000008</v>
      </c>
      <c r="F695" s="2">
        <f t="shared" si="680"/>
        <v>36.593799999999987</v>
      </c>
      <c r="G695" s="2">
        <f t="shared" si="682"/>
        <v>35.298399999999994</v>
      </c>
      <c r="H695" s="2">
        <f t="shared" si="683"/>
        <v>-1.2415755220053448E-2</v>
      </c>
      <c r="I695" s="2">
        <f t="shared" ref="I695:J695" si="734">LN(C694)-LN(C693)</f>
        <v>3.0858930711645804E-3</v>
      </c>
      <c r="J695" s="2">
        <f t="shared" si="734"/>
        <v>2.0277120718348307E-4</v>
      </c>
    </row>
    <row r="696" spans="1:10" x14ac:dyDescent="0.45">
      <c r="A696" s="1">
        <v>41194</v>
      </c>
      <c r="B696">
        <v>91.86</v>
      </c>
      <c r="C696">
        <v>3.2239</v>
      </c>
      <c r="D696">
        <v>2.8927999999999998</v>
      </c>
      <c r="E696" s="2">
        <f t="shared" si="678"/>
        <v>34.273000000000003</v>
      </c>
      <c r="F696" s="2">
        <f t="shared" si="680"/>
        <v>36.286200000000008</v>
      </c>
      <c r="G696" s="2">
        <f t="shared" si="682"/>
        <v>36.593799999999987</v>
      </c>
      <c r="H696" s="2">
        <f t="shared" si="683"/>
        <v>8.9461648371536029E-3</v>
      </c>
      <c r="I696" s="2">
        <f t="shared" ref="I696:J696" si="735">LN(C695)-LN(C694)</f>
        <v>1.3601025713850134E-2</v>
      </c>
      <c r="J696" s="2">
        <f t="shared" si="735"/>
        <v>-1.2510779497885149E-3</v>
      </c>
    </row>
    <row r="697" spans="1:10" x14ac:dyDescent="0.45">
      <c r="A697" s="1">
        <v>41197</v>
      </c>
      <c r="B697">
        <v>91.85</v>
      </c>
      <c r="C697">
        <v>3.2090999999999998</v>
      </c>
      <c r="D697">
        <v>2.8502999999999998</v>
      </c>
      <c r="E697" s="2">
        <f t="shared" si="678"/>
        <v>32.885800000000017</v>
      </c>
      <c r="F697" s="2">
        <f t="shared" si="680"/>
        <v>34.273000000000003</v>
      </c>
      <c r="G697" s="2">
        <f t="shared" si="682"/>
        <v>36.286200000000008</v>
      </c>
      <c r="H697" s="2">
        <f t="shared" si="683"/>
        <v>-2.2834784021066312E-3</v>
      </c>
      <c r="I697" s="2">
        <f t="shared" ref="I697:J697" si="736">LN(C696)-LN(C695)</f>
        <v>-1.0245422130172654E-2</v>
      </c>
      <c r="J697" s="2">
        <f t="shared" si="736"/>
        <v>-2.1476784716635278E-2</v>
      </c>
    </row>
    <row r="698" spans="1:10" x14ac:dyDescent="0.45">
      <c r="A698" s="1">
        <v>41198</v>
      </c>
      <c r="B698">
        <v>92.09</v>
      </c>
      <c r="C698">
        <v>3.1985000000000001</v>
      </c>
      <c r="D698">
        <v>2.8020999999999998</v>
      </c>
      <c r="E698" s="2">
        <f t="shared" si="678"/>
        <v>31.1478</v>
      </c>
      <c r="F698" s="2">
        <f t="shared" si="680"/>
        <v>32.885800000000017</v>
      </c>
      <c r="G698" s="2">
        <f t="shared" si="682"/>
        <v>34.273000000000003</v>
      </c>
      <c r="H698" s="2">
        <f t="shared" si="683"/>
        <v>-1.0886723651282182E-4</v>
      </c>
      <c r="I698" s="2">
        <f t="shared" ref="I698:J698" si="737">LN(C697)-LN(C696)</f>
        <v>-4.6012827955486113E-3</v>
      </c>
      <c r="J698" s="2">
        <f t="shared" si="737"/>
        <v>-1.4800639317043673E-2</v>
      </c>
    </row>
    <row r="699" spans="1:10" x14ac:dyDescent="0.45">
      <c r="A699" s="1">
        <v>41199</v>
      </c>
      <c r="B699">
        <v>92.12</v>
      </c>
      <c r="C699">
        <v>3.1894</v>
      </c>
      <c r="D699">
        <v>2.7642000000000002</v>
      </c>
      <c r="E699" s="2">
        <f t="shared" si="678"/>
        <v>29.929199999999998</v>
      </c>
      <c r="F699" s="2">
        <f t="shared" si="680"/>
        <v>31.1478</v>
      </c>
      <c r="G699" s="2">
        <f t="shared" si="682"/>
        <v>32.885800000000017</v>
      </c>
      <c r="H699" s="2">
        <f t="shared" si="683"/>
        <v>2.609548072141088E-3</v>
      </c>
      <c r="I699" s="2">
        <f t="shared" ref="I699:J699" si="738">LN(C698)-LN(C697)</f>
        <v>-3.308574090002292E-3</v>
      </c>
      <c r="J699" s="2">
        <f t="shared" si="738"/>
        <v>-1.7055115826972278E-2</v>
      </c>
    </row>
    <row r="700" spans="1:10" x14ac:dyDescent="0.45">
      <c r="A700" s="1">
        <v>41200</v>
      </c>
      <c r="B700">
        <v>92.1</v>
      </c>
      <c r="C700">
        <v>3.1669</v>
      </c>
      <c r="D700">
        <v>2.7269000000000001</v>
      </c>
      <c r="E700" s="2">
        <f t="shared" si="678"/>
        <v>28.589800000000025</v>
      </c>
      <c r="F700" s="2">
        <f t="shared" si="680"/>
        <v>29.929199999999998</v>
      </c>
      <c r="G700" s="2">
        <f t="shared" si="682"/>
        <v>31.1478</v>
      </c>
      <c r="H700" s="2">
        <f t="shared" si="683"/>
        <v>3.2571521920843338E-4</v>
      </c>
      <c r="I700" s="2">
        <f t="shared" ref="I700:J700" si="739">LN(C699)-LN(C698)</f>
        <v>-2.8491385763205201E-3</v>
      </c>
      <c r="J700" s="2">
        <f t="shared" si="739"/>
        <v>-1.3617873883914999E-2</v>
      </c>
    </row>
    <row r="701" spans="1:10" x14ac:dyDescent="0.45">
      <c r="A701" s="1">
        <v>41201</v>
      </c>
      <c r="B701">
        <v>90.44</v>
      </c>
      <c r="C701">
        <v>3.1175999999999999</v>
      </c>
      <c r="D701">
        <v>2.6720999999999999</v>
      </c>
      <c r="E701" s="2">
        <f t="shared" si="678"/>
        <v>28.025200000000002</v>
      </c>
      <c r="F701" s="2">
        <f t="shared" si="680"/>
        <v>28.589800000000025</v>
      </c>
      <c r="G701" s="2">
        <f t="shared" si="682"/>
        <v>29.929199999999998</v>
      </c>
      <c r="H701" s="2">
        <f t="shared" si="683"/>
        <v>-2.1713169122339337E-4</v>
      </c>
      <c r="I701" s="2">
        <f t="shared" ref="I701:J701" si="740">LN(C700)-LN(C699)</f>
        <v>-7.0796198973712698E-3</v>
      </c>
      <c r="J701" s="2">
        <f t="shared" si="740"/>
        <v>-1.358582933041097E-2</v>
      </c>
    </row>
    <row r="702" spans="1:10" x14ac:dyDescent="0.45">
      <c r="A702" s="1">
        <v>41204</v>
      </c>
      <c r="B702">
        <v>88.65</v>
      </c>
      <c r="C702">
        <v>3.0668000000000002</v>
      </c>
      <c r="D702">
        <v>2.6347999999999998</v>
      </c>
      <c r="E702" s="2">
        <f t="shared" si="678"/>
        <v>28.059599999999971</v>
      </c>
      <c r="F702" s="2">
        <f t="shared" si="680"/>
        <v>28.025200000000002</v>
      </c>
      <c r="G702" s="2">
        <f t="shared" si="682"/>
        <v>28.589800000000025</v>
      </c>
      <c r="H702" s="2">
        <f t="shared" si="683"/>
        <v>-1.8188295851492065E-2</v>
      </c>
      <c r="I702" s="2">
        <f t="shared" ref="I702:J702" si="741">LN(C701)-LN(C700)</f>
        <v>-1.5689716392001118E-2</v>
      </c>
      <c r="J702" s="2">
        <f t="shared" si="741"/>
        <v>-2.0300752733581784E-2</v>
      </c>
    </row>
    <row r="703" spans="1:10" x14ac:dyDescent="0.45">
      <c r="A703" s="1">
        <v>41205</v>
      </c>
      <c r="B703">
        <v>86.67</v>
      </c>
      <c r="C703">
        <v>3.0308000000000002</v>
      </c>
      <c r="D703">
        <v>2.5911</v>
      </c>
      <c r="E703" s="2">
        <f t="shared" si="678"/>
        <v>28.312000000000012</v>
      </c>
      <c r="F703" s="2">
        <f t="shared" si="680"/>
        <v>28.059599999999971</v>
      </c>
      <c r="G703" s="2">
        <f t="shared" si="682"/>
        <v>28.025200000000002</v>
      </c>
      <c r="H703" s="2">
        <f t="shared" si="683"/>
        <v>-1.9990614889551672E-2</v>
      </c>
      <c r="I703" s="2">
        <f t="shared" ref="I703:J703" si="742">LN(C702)-LN(C701)</f>
        <v>-1.6428802339760074E-2</v>
      </c>
      <c r="J703" s="2">
        <f t="shared" si="742"/>
        <v>-1.4057402339395675E-2</v>
      </c>
    </row>
    <row r="704" spans="1:10" x14ac:dyDescent="0.45">
      <c r="A704" s="1">
        <v>41206</v>
      </c>
      <c r="B704">
        <v>85.73</v>
      </c>
      <c r="C704">
        <v>3.0264000000000002</v>
      </c>
      <c r="D704">
        <v>2.5912999999999999</v>
      </c>
      <c r="E704" s="2">
        <f t="shared" si="678"/>
        <v>29.196000000000009</v>
      </c>
      <c r="F704" s="2">
        <f t="shared" si="680"/>
        <v>28.312000000000012</v>
      </c>
      <c r="G704" s="2">
        <f t="shared" si="682"/>
        <v>28.059599999999971</v>
      </c>
      <c r="H704" s="2">
        <f t="shared" si="683"/>
        <v>-2.2588229373963209E-2</v>
      </c>
      <c r="I704" s="2">
        <f t="shared" ref="I704:J704" si="743">LN(C703)-LN(C702)</f>
        <v>-1.1808061627521127E-2</v>
      </c>
      <c r="J704" s="2">
        <f t="shared" si="743"/>
        <v>-1.6724781812188283E-2</v>
      </c>
    </row>
    <row r="705" spans="1:10" x14ac:dyDescent="0.45">
      <c r="A705" s="1">
        <v>41207</v>
      </c>
      <c r="B705">
        <v>86.05</v>
      </c>
      <c r="C705">
        <v>3.0451999999999999</v>
      </c>
      <c r="D705">
        <v>2.6322999999999999</v>
      </c>
      <c r="E705" s="2">
        <f t="shared" si="678"/>
        <v>30.287200000000002</v>
      </c>
      <c r="F705" s="2">
        <f t="shared" si="680"/>
        <v>29.196000000000009</v>
      </c>
      <c r="G705" s="2">
        <f t="shared" si="682"/>
        <v>28.312000000000012</v>
      </c>
      <c r="H705" s="2">
        <f t="shared" si="683"/>
        <v>-1.090498045558963E-2</v>
      </c>
      <c r="I705" s="2">
        <f t="shared" ref="I705:J705" si="744">LN(C704)-LN(C703)</f>
        <v>-1.452816738398699E-3</v>
      </c>
      <c r="J705" s="2">
        <f t="shared" si="744"/>
        <v>7.7184316185308077E-5</v>
      </c>
    </row>
    <row r="706" spans="1:10" x14ac:dyDescent="0.45">
      <c r="A706" s="1">
        <v>41208</v>
      </c>
      <c r="B706">
        <v>86.28</v>
      </c>
      <c r="C706">
        <v>3.0764</v>
      </c>
      <c r="D706">
        <v>2.6417000000000002</v>
      </c>
      <c r="E706" s="2">
        <f t="shared" si="678"/>
        <v>30.757199999999994</v>
      </c>
      <c r="F706" s="2">
        <f t="shared" si="680"/>
        <v>30.287200000000002</v>
      </c>
      <c r="G706" s="2">
        <f t="shared" si="682"/>
        <v>29.196000000000009</v>
      </c>
      <c r="H706" s="2">
        <f t="shared" si="683"/>
        <v>3.7256999668837665E-3</v>
      </c>
      <c r="I706" s="2">
        <f t="shared" ref="I706:J706" si="745">LN(C705)-LN(C704)</f>
        <v>6.1927861132378137E-3</v>
      </c>
      <c r="J706" s="2">
        <f t="shared" si="745"/>
        <v>1.5698308442163245E-2</v>
      </c>
    </row>
    <row r="707" spans="1:10" x14ac:dyDescent="0.45">
      <c r="A707" s="1">
        <v>41211</v>
      </c>
      <c r="B707">
        <v>85.54</v>
      </c>
      <c r="C707">
        <v>3.0872999999999999</v>
      </c>
      <c r="D707">
        <v>2.6410999999999998</v>
      </c>
      <c r="E707" s="2">
        <f t="shared" ref="E707:E770" si="746">(2*D707*42+1*C707*42-3*B707)/3</f>
        <v>31.632999999999999</v>
      </c>
      <c r="F707" s="2">
        <f t="shared" si="680"/>
        <v>30.757199999999994</v>
      </c>
      <c r="G707" s="2">
        <f t="shared" si="682"/>
        <v>30.287200000000002</v>
      </c>
      <c r="H707" s="2">
        <f t="shared" si="683"/>
        <v>2.6692988634078318E-3</v>
      </c>
      <c r="I707" s="2">
        <f t="shared" ref="I707:J707" si="747">LN(C706)-LN(C705)</f>
        <v>1.0193501750841216E-2</v>
      </c>
      <c r="J707" s="2">
        <f t="shared" si="747"/>
        <v>3.5646605815935484E-3</v>
      </c>
    </row>
    <row r="708" spans="1:10" x14ac:dyDescent="0.45">
      <c r="A708" s="1">
        <v>41212</v>
      </c>
      <c r="B708">
        <v>85.68</v>
      </c>
      <c r="C708">
        <v>3.0697000000000001</v>
      </c>
      <c r="D708">
        <v>2.6154999999999999</v>
      </c>
      <c r="E708" s="2">
        <f t="shared" si="746"/>
        <v>30.529800000000005</v>
      </c>
      <c r="F708" s="2">
        <f t="shared" ref="F708:F771" si="748">E707</f>
        <v>31.632999999999999</v>
      </c>
      <c r="G708" s="2">
        <f t="shared" si="682"/>
        <v>30.757199999999994</v>
      </c>
      <c r="H708" s="2">
        <f t="shared" si="683"/>
        <v>-8.6137187221932976E-3</v>
      </c>
      <c r="I708" s="2">
        <f t="shared" ref="I708:J708" si="749">LN(C707)-LN(C706)</f>
        <v>3.5368403272570959E-3</v>
      </c>
      <c r="J708" s="2">
        <f t="shared" si="749"/>
        <v>-2.2715226871361516E-4</v>
      </c>
    </row>
    <row r="709" spans="1:10" x14ac:dyDescent="0.45">
      <c r="A709" s="1">
        <v>41213</v>
      </c>
      <c r="B709">
        <v>86.24</v>
      </c>
      <c r="C709">
        <v>3.0623</v>
      </c>
      <c r="D709">
        <v>2.6303000000000001</v>
      </c>
      <c r="E709" s="2">
        <f t="shared" si="746"/>
        <v>30.28060000000001</v>
      </c>
      <c r="F709" s="2">
        <f t="shared" si="748"/>
        <v>30.529800000000005</v>
      </c>
      <c r="G709" s="2">
        <f t="shared" ref="G709:G772" si="750">E707</f>
        <v>31.632999999999999</v>
      </c>
      <c r="H709" s="2">
        <f t="shared" ref="H709:H772" si="751">LN(B708)-LN(B707)</f>
        <v>1.6353233407304657E-3</v>
      </c>
      <c r="I709" s="2">
        <f t="shared" ref="I709:J709" si="752">LN(C708)-LN(C707)</f>
        <v>-5.7170855735173554E-3</v>
      </c>
      <c r="J709" s="2">
        <f t="shared" si="752"/>
        <v>-9.7402132149123632E-3</v>
      </c>
    </row>
    <row r="710" spans="1:10" x14ac:dyDescent="0.45">
      <c r="A710" s="1">
        <v>41214</v>
      </c>
      <c r="B710">
        <v>87.09</v>
      </c>
      <c r="C710">
        <v>3.0331999999999999</v>
      </c>
      <c r="D710">
        <v>2.6335999999999999</v>
      </c>
      <c r="E710" s="2">
        <f t="shared" si="746"/>
        <v>29.115600000000011</v>
      </c>
      <c r="F710" s="2">
        <f t="shared" si="748"/>
        <v>30.28060000000001</v>
      </c>
      <c r="G710" s="2">
        <f t="shared" si="750"/>
        <v>30.529800000000005</v>
      </c>
      <c r="H710" s="2">
        <f t="shared" si="751"/>
        <v>6.5146810211942352E-3</v>
      </c>
      <c r="I710" s="2">
        <f t="shared" ref="I710:J710" si="753">LN(C709)-LN(C708)</f>
        <v>-2.4135693386426738E-3</v>
      </c>
      <c r="J710" s="2">
        <f t="shared" si="753"/>
        <v>5.6426242968993234E-3</v>
      </c>
    </row>
    <row r="711" spans="1:10" x14ac:dyDescent="0.45">
      <c r="A711" s="1">
        <v>41215</v>
      </c>
      <c r="B711">
        <v>84.86</v>
      </c>
      <c r="C711">
        <v>2.9474</v>
      </c>
      <c r="D711">
        <v>2.5735999999999999</v>
      </c>
      <c r="E711" s="2">
        <f t="shared" si="746"/>
        <v>28.464400000000012</v>
      </c>
      <c r="F711" s="2">
        <f t="shared" si="748"/>
        <v>29.115600000000011</v>
      </c>
      <c r="G711" s="2">
        <f t="shared" si="750"/>
        <v>30.28060000000001</v>
      </c>
      <c r="H711" s="2">
        <f t="shared" si="751"/>
        <v>9.8079595439610756E-3</v>
      </c>
      <c r="I711" s="2">
        <f t="shared" ref="I711:J711" si="754">LN(C710)-LN(C709)</f>
        <v>-9.5480997712154014E-3</v>
      </c>
      <c r="J711" s="2">
        <f t="shared" si="754"/>
        <v>1.2538233751856476E-3</v>
      </c>
    </row>
    <row r="712" spans="1:10" x14ac:dyDescent="0.45">
      <c r="A712" s="1">
        <v>41218</v>
      </c>
      <c r="B712">
        <v>85.65</v>
      </c>
      <c r="C712">
        <v>2.9828999999999999</v>
      </c>
      <c r="D712">
        <v>2.6202000000000001</v>
      </c>
      <c r="E712" s="2">
        <f t="shared" si="746"/>
        <v>29.476199999999988</v>
      </c>
      <c r="F712" s="2">
        <f t="shared" si="748"/>
        <v>28.464400000000012</v>
      </c>
      <c r="G712" s="2">
        <f t="shared" si="750"/>
        <v>29.115600000000011</v>
      </c>
      <c r="H712" s="2">
        <f t="shared" si="751"/>
        <v>-2.5939226930469239E-2</v>
      </c>
      <c r="I712" s="2">
        <f t="shared" ref="I712:J712" si="755">LN(C711)-LN(C710)</f>
        <v>-2.8694742047617794E-2</v>
      </c>
      <c r="J712" s="2">
        <f t="shared" si="755"/>
        <v>-2.3046034557934081E-2</v>
      </c>
    </row>
    <row r="713" spans="1:10" x14ac:dyDescent="0.45">
      <c r="A713" s="1">
        <v>41219</v>
      </c>
      <c r="B713">
        <v>88.71</v>
      </c>
      <c r="C713">
        <v>3.0529000000000002</v>
      </c>
      <c r="D713">
        <v>2.6989000000000001</v>
      </c>
      <c r="E713" s="2">
        <f t="shared" si="746"/>
        <v>29.599799999999998</v>
      </c>
      <c r="F713" s="2">
        <f t="shared" si="748"/>
        <v>29.476199999999988</v>
      </c>
      <c r="G713" s="2">
        <f t="shared" si="750"/>
        <v>28.464400000000012</v>
      </c>
      <c r="H713" s="2">
        <f t="shared" si="751"/>
        <v>9.2663849959500055E-3</v>
      </c>
      <c r="I713" s="2">
        <f t="shared" ref="I713:J713" si="756">LN(C712)-LN(C711)</f>
        <v>1.1972555874975033E-2</v>
      </c>
      <c r="J713" s="2">
        <f t="shared" si="756"/>
        <v>1.7944953794753693E-2</v>
      </c>
    </row>
    <row r="714" spans="1:10" x14ac:dyDescent="0.45">
      <c r="A714" s="1">
        <v>41220</v>
      </c>
      <c r="B714">
        <v>84.44</v>
      </c>
      <c r="C714">
        <v>2.9621</v>
      </c>
      <c r="D714">
        <v>2.5889000000000002</v>
      </c>
      <c r="E714" s="2">
        <f t="shared" si="746"/>
        <v>29.51860000000001</v>
      </c>
      <c r="F714" s="2">
        <f t="shared" si="748"/>
        <v>29.599799999999998</v>
      </c>
      <c r="G714" s="2">
        <f t="shared" si="750"/>
        <v>29.476199999999988</v>
      </c>
      <c r="H714" s="2">
        <f t="shared" si="751"/>
        <v>3.5103397762366484E-2</v>
      </c>
      <c r="I714" s="2">
        <f t="shared" ref="I714:J714" si="757">LN(C713)-LN(C712)</f>
        <v>2.3195976876754454E-2</v>
      </c>
      <c r="J714" s="2">
        <f t="shared" si="757"/>
        <v>2.9593631852497526E-2</v>
      </c>
    </row>
    <row r="715" spans="1:10" x14ac:dyDescent="0.45">
      <c r="A715" s="1">
        <v>41221</v>
      </c>
      <c r="B715">
        <v>85.09</v>
      </c>
      <c r="C715">
        <v>2.9554</v>
      </c>
      <c r="D715">
        <v>2.6073</v>
      </c>
      <c r="E715" s="2">
        <f t="shared" si="746"/>
        <v>29.289999999999992</v>
      </c>
      <c r="F715" s="2">
        <f t="shared" si="748"/>
        <v>29.51860000000001</v>
      </c>
      <c r="G715" s="2">
        <f t="shared" si="750"/>
        <v>29.599799999999998</v>
      </c>
      <c r="H715" s="2">
        <f t="shared" si="751"/>
        <v>-4.9331399552375643E-2</v>
      </c>
      <c r="I715" s="2">
        <f t="shared" ref="I715:J715" si="758">LN(C714)-LN(C713)</f>
        <v>-3.0193482300720831E-2</v>
      </c>
      <c r="J715" s="2">
        <f t="shared" si="758"/>
        <v>-4.1611207518211568E-2</v>
      </c>
    </row>
    <row r="716" spans="1:10" x14ac:dyDescent="0.45">
      <c r="A716" s="1">
        <v>41222</v>
      </c>
      <c r="B716">
        <v>86.07</v>
      </c>
      <c r="C716">
        <v>3.0055000000000001</v>
      </c>
      <c r="D716">
        <v>2.6991999999999998</v>
      </c>
      <c r="E716" s="2">
        <f t="shared" si="746"/>
        <v>31.584600000000005</v>
      </c>
      <c r="F716" s="2">
        <f t="shared" si="748"/>
        <v>29.289999999999992</v>
      </c>
      <c r="G716" s="2">
        <f t="shared" si="750"/>
        <v>29.51860000000001</v>
      </c>
      <c r="H716" s="2">
        <f t="shared" si="751"/>
        <v>7.6682968813459595E-3</v>
      </c>
      <c r="I716" s="2">
        <f t="shared" ref="I716:J716" si="759">LN(C715)-LN(C714)</f>
        <v>-2.2644707606376269E-3</v>
      </c>
      <c r="J716" s="2">
        <f t="shared" si="759"/>
        <v>7.0821280576678358E-3</v>
      </c>
    </row>
    <row r="717" spans="1:10" x14ac:dyDescent="0.45">
      <c r="A717" s="1">
        <v>41225</v>
      </c>
      <c r="B717">
        <v>85.57</v>
      </c>
      <c r="C717">
        <v>2.9992000000000001</v>
      </c>
      <c r="D717">
        <v>2.6762999999999999</v>
      </c>
      <c r="E717" s="2">
        <f t="shared" si="746"/>
        <v>31.355200000000007</v>
      </c>
      <c r="F717" s="2">
        <f t="shared" si="748"/>
        <v>31.584600000000005</v>
      </c>
      <c r="G717" s="2">
        <f t="shared" si="750"/>
        <v>29.289999999999992</v>
      </c>
      <c r="H717" s="2">
        <f t="shared" si="751"/>
        <v>1.1451398799916745E-2</v>
      </c>
      <c r="I717" s="2">
        <f t="shared" ref="I717:J717" si="760">LN(C716)-LN(C715)</f>
        <v>1.6809938009683112E-2</v>
      </c>
      <c r="J717" s="2">
        <f t="shared" si="760"/>
        <v>3.4640229680179768E-2</v>
      </c>
    </row>
    <row r="718" spans="1:10" x14ac:dyDescent="0.45">
      <c r="A718" s="1">
        <v>41226</v>
      </c>
      <c r="B718">
        <v>85.38</v>
      </c>
      <c r="C718">
        <v>2.9607999999999999</v>
      </c>
      <c r="D718">
        <v>2.6537999999999999</v>
      </c>
      <c r="E718" s="2">
        <f t="shared" si="746"/>
        <v>30.37759999999999</v>
      </c>
      <c r="F718" s="2">
        <f t="shared" si="748"/>
        <v>31.355200000000007</v>
      </c>
      <c r="G718" s="2">
        <f t="shared" si="750"/>
        <v>31.584600000000005</v>
      </c>
      <c r="H718" s="2">
        <f t="shared" si="751"/>
        <v>-5.8261642314194617E-3</v>
      </c>
      <c r="I718" s="2">
        <f t="shared" ref="I718:J718" si="761">LN(C717)-LN(C716)</f>
        <v>-2.0983570575143773E-3</v>
      </c>
      <c r="J718" s="2">
        <f t="shared" si="761"/>
        <v>-8.5201892038564431E-3</v>
      </c>
    </row>
    <row r="719" spans="1:10" x14ac:dyDescent="0.45">
      <c r="A719" s="1">
        <v>41227</v>
      </c>
      <c r="B719">
        <v>86.32</v>
      </c>
      <c r="C719">
        <v>2.9882</v>
      </c>
      <c r="D719">
        <v>2.6789999999999998</v>
      </c>
      <c r="E719" s="2">
        <f t="shared" si="746"/>
        <v>30.526799999999998</v>
      </c>
      <c r="F719" s="2">
        <f t="shared" si="748"/>
        <v>30.37759999999999</v>
      </c>
      <c r="G719" s="2">
        <f t="shared" si="750"/>
        <v>31.355200000000007</v>
      </c>
      <c r="H719" s="2">
        <f t="shared" si="751"/>
        <v>-2.22287310014746E-3</v>
      </c>
      <c r="I719" s="2">
        <f t="shared" ref="I719:J719" si="762">LN(C718)-LN(C717)</f>
        <v>-1.2886084349756022E-2</v>
      </c>
      <c r="J719" s="2">
        <f t="shared" si="762"/>
        <v>-8.4426684855113399E-3</v>
      </c>
    </row>
    <row r="720" spans="1:10" x14ac:dyDescent="0.45">
      <c r="A720" s="1">
        <v>41228</v>
      </c>
      <c r="B720">
        <v>85.87</v>
      </c>
      <c r="C720">
        <v>2.9735</v>
      </c>
      <c r="D720">
        <v>2.6962000000000002</v>
      </c>
      <c r="E720" s="2">
        <f t="shared" si="746"/>
        <v>31.25259999999999</v>
      </c>
      <c r="F720" s="2">
        <f t="shared" si="748"/>
        <v>30.526799999999998</v>
      </c>
      <c r="G720" s="2">
        <f t="shared" si="750"/>
        <v>30.37759999999999</v>
      </c>
      <c r="H720" s="2">
        <f t="shared" si="751"/>
        <v>1.0949439620063117E-2</v>
      </c>
      <c r="I720" s="2">
        <f t="shared" ref="I720:J720" si="763">LN(C719)-LN(C718)</f>
        <v>9.2116973450382389E-3</v>
      </c>
      <c r="J720" s="2">
        <f t="shared" si="763"/>
        <v>9.45101544227267E-3</v>
      </c>
    </row>
    <row r="721" spans="1:10" x14ac:dyDescent="0.45">
      <c r="A721" s="1">
        <v>41229</v>
      </c>
      <c r="B721">
        <v>86.92</v>
      </c>
      <c r="C721">
        <v>2.9868000000000001</v>
      </c>
      <c r="D721">
        <v>2.7101000000000002</v>
      </c>
      <c r="E721" s="2">
        <f t="shared" si="746"/>
        <v>30.778000000000002</v>
      </c>
      <c r="F721" s="2">
        <f t="shared" si="748"/>
        <v>31.25259999999999</v>
      </c>
      <c r="G721" s="2">
        <f t="shared" si="750"/>
        <v>30.526799999999998</v>
      </c>
      <c r="H721" s="2">
        <f t="shared" si="751"/>
        <v>-5.2267962654859446E-3</v>
      </c>
      <c r="I721" s="2">
        <f t="shared" ref="I721:J721" si="764">LN(C720)-LN(C719)</f>
        <v>-4.9314892703360425E-3</v>
      </c>
      <c r="J721" s="2">
        <f t="shared" si="764"/>
        <v>6.3997837123550561E-3</v>
      </c>
    </row>
    <row r="722" spans="1:10" x14ac:dyDescent="0.45">
      <c r="A722" s="1">
        <v>41232</v>
      </c>
      <c r="B722">
        <v>89.28</v>
      </c>
      <c r="C722">
        <v>3.0750999999999999</v>
      </c>
      <c r="D722">
        <v>2.7321</v>
      </c>
      <c r="E722" s="2">
        <f t="shared" si="746"/>
        <v>30.270199999999988</v>
      </c>
      <c r="F722" s="2">
        <f t="shared" si="748"/>
        <v>30.778000000000002</v>
      </c>
      <c r="G722" s="2">
        <f t="shared" si="750"/>
        <v>31.25259999999999</v>
      </c>
      <c r="H722" s="2">
        <f t="shared" si="751"/>
        <v>1.2153630703836349E-2</v>
      </c>
      <c r="I722" s="2">
        <f t="shared" ref="I722:J722" si="765">LN(C721)-LN(C720)</f>
        <v>4.4628700148980904E-3</v>
      </c>
      <c r="J722" s="2">
        <f t="shared" si="765"/>
        <v>5.1421603049847109E-3</v>
      </c>
    </row>
    <row r="723" spans="1:10" x14ac:dyDescent="0.45">
      <c r="A723" s="1">
        <v>41233</v>
      </c>
      <c r="B723">
        <v>86.75</v>
      </c>
      <c r="C723">
        <v>3.0482999999999998</v>
      </c>
      <c r="D723">
        <v>2.6884000000000001</v>
      </c>
      <c r="E723" s="2">
        <f t="shared" si="746"/>
        <v>31.201399999999996</v>
      </c>
      <c r="F723" s="2">
        <f t="shared" si="748"/>
        <v>30.270199999999988</v>
      </c>
      <c r="G723" s="2">
        <f t="shared" si="750"/>
        <v>30.778000000000002</v>
      </c>
      <c r="H723" s="2">
        <f t="shared" si="751"/>
        <v>2.6789343244771224E-2</v>
      </c>
      <c r="I723" s="2">
        <f t="shared" ref="I723:J723" si="766">LN(C722)-LN(C721)</f>
        <v>2.9134840875500556E-2</v>
      </c>
      <c r="J723" s="2">
        <f t="shared" si="766"/>
        <v>8.0850096799341964E-3</v>
      </c>
    </row>
    <row r="724" spans="1:10" x14ac:dyDescent="0.45">
      <c r="A724" s="1">
        <v>41234</v>
      </c>
      <c r="B724">
        <v>87.38</v>
      </c>
      <c r="C724">
        <v>3.0811999999999999</v>
      </c>
      <c r="D724">
        <v>2.7225000000000001</v>
      </c>
      <c r="E724" s="2">
        <f t="shared" si="746"/>
        <v>31.986800000000017</v>
      </c>
      <c r="F724" s="2">
        <f t="shared" si="748"/>
        <v>31.201399999999996</v>
      </c>
      <c r="G724" s="2">
        <f t="shared" si="750"/>
        <v>30.270199999999988</v>
      </c>
      <c r="H724" s="2">
        <f t="shared" si="751"/>
        <v>-2.8747079806032083E-2</v>
      </c>
      <c r="I724" s="2">
        <f t="shared" ref="I724:J724" si="767">LN(C723)-LN(C722)</f>
        <v>-8.7533628771017113E-3</v>
      </c>
      <c r="J724" s="2">
        <f t="shared" si="767"/>
        <v>-1.6124323146071817E-2</v>
      </c>
    </row>
    <row r="725" spans="1:10" x14ac:dyDescent="0.45">
      <c r="A725" s="1">
        <v>41236</v>
      </c>
      <c r="B725">
        <v>88.28</v>
      </c>
      <c r="C725">
        <v>3.0859999999999999</v>
      </c>
      <c r="D725">
        <v>2.7204000000000002</v>
      </c>
      <c r="E725" s="2">
        <f t="shared" si="746"/>
        <v>31.095199999999995</v>
      </c>
      <c r="F725" s="2">
        <f t="shared" si="748"/>
        <v>31.986800000000017</v>
      </c>
      <c r="G725" s="2">
        <f t="shared" si="750"/>
        <v>31.201399999999996</v>
      </c>
      <c r="H725" s="2">
        <f t="shared" si="751"/>
        <v>7.236004696321352E-3</v>
      </c>
      <c r="I725" s="2">
        <f t="shared" ref="I725:J725" si="768">LN(C724)-LN(C723)</f>
        <v>1.0735073318865362E-2</v>
      </c>
      <c r="J725" s="2">
        <f t="shared" si="768"/>
        <v>1.2604354711304722E-2</v>
      </c>
    </row>
    <row r="726" spans="1:10" x14ac:dyDescent="0.45">
      <c r="A726" s="1">
        <v>41239</v>
      </c>
      <c r="B726">
        <v>87.74</v>
      </c>
      <c r="C726">
        <v>3.0594000000000001</v>
      </c>
      <c r="D726">
        <v>2.7039</v>
      </c>
      <c r="E726" s="2">
        <f t="shared" si="746"/>
        <v>30.800799999999999</v>
      </c>
      <c r="F726" s="2">
        <f t="shared" si="748"/>
        <v>31.095199999999995</v>
      </c>
      <c r="G726" s="2">
        <f t="shared" si="750"/>
        <v>31.986800000000017</v>
      </c>
      <c r="H726" s="2">
        <f t="shared" si="751"/>
        <v>1.0247157865245882E-2</v>
      </c>
      <c r="I726" s="2">
        <f t="shared" ref="I726:J726" si="769">LN(C725)-LN(C724)</f>
        <v>1.5566224442953303E-3</v>
      </c>
      <c r="J726" s="2">
        <f t="shared" si="769"/>
        <v>-7.7164750563185613E-4</v>
      </c>
    </row>
    <row r="727" spans="1:10" x14ac:dyDescent="0.45">
      <c r="A727" s="1">
        <v>41240</v>
      </c>
      <c r="B727">
        <v>87.18</v>
      </c>
      <c r="C727">
        <v>3.0247000000000002</v>
      </c>
      <c r="D727">
        <v>2.6956000000000002</v>
      </c>
      <c r="E727" s="2">
        <f t="shared" si="746"/>
        <v>30.642599999999998</v>
      </c>
      <c r="F727" s="2">
        <f t="shared" si="748"/>
        <v>30.800799999999999</v>
      </c>
      <c r="G727" s="2">
        <f t="shared" si="750"/>
        <v>31.095199999999995</v>
      </c>
      <c r="H727" s="2">
        <f t="shared" si="751"/>
        <v>-6.135685650467515E-3</v>
      </c>
      <c r="I727" s="2">
        <f t="shared" ref="I727:J727" si="770">LN(C726)-LN(C725)</f>
        <v>-8.6569356339409875E-3</v>
      </c>
      <c r="J727" s="2">
        <f t="shared" si="770"/>
        <v>-6.0837530710099452E-3</v>
      </c>
    </row>
    <row r="728" spans="1:10" x14ac:dyDescent="0.45">
      <c r="A728" s="1">
        <v>41241</v>
      </c>
      <c r="B728">
        <v>86.49</v>
      </c>
      <c r="C728">
        <v>3.0209000000000001</v>
      </c>
      <c r="D728">
        <v>2.6877</v>
      </c>
      <c r="E728" s="2">
        <f t="shared" si="746"/>
        <v>31.058199999999999</v>
      </c>
      <c r="F728" s="2">
        <f t="shared" si="748"/>
        <v>30.642599999999998</v>
      </c>
      <c r="G728" s="2">
        <f t="shared" si="750"/>
        <v>30.800799999999999</v>
      </c>
      <c r="H728" s="2">
        <f t="shared" si="751"/>
        <v>-6.4029489278212282E-3</v>
      </c>
      <c r="I728" s="2">
        <f t="shared" ref="I728:J728" si="771">LN(C727)-LN(C726)</f>
        <v>-1.140690529596422E-2</v>
      </c>
      <c r="J728" s="2">
        <f t="shared" si="771"/>
        <v>-3.0743611584117536E-3</v>
      </c>
    </row>
    <row r="729" spans="1:10" x14ac:dyDescent="0.45">
      <c r="A729" s="1">
        <v>41242</v>
      </c>
      <c r="B729">
        <v>88.07</v>
      </c>
      <c r="C729">
        <v>3.0569000000000002</v>
      </c>
      <c r="D729">
        <v>2.7334000000000001</v>
      </c>
      <c r="E729" s="2">
        <f t="shared" si="746"/>
        <v>31.261800000000012</v>
      </c>
      <c r="F729" s="2">
        <f t="shared" si="748"/>
        <v>31.058199999999999</v>
      </c>
      <c r="G729" s="2">
        <f t="shared" si="750"/>
        <v>30.642599999999998</v>
      </c>
      <c r="H729" s="2">
        <f t="shared" si="751"/>
        <v>-7.9461464918262337E-3</v>
      </c>
      <c r="I729" s="2">
        <f t="shared" ref="I729:J729" si="772">LN(C728)-LN(C727)</f>
        <v>-1.2571127763791878E-3</v>
      </c>
      <c r="J729" s="2">
        <f t="shared" si="772"/>
        <v>-2.9350048004196383E-3</v>
      </c>
    </row>
    <row r="730" spans="1:10" x14ac:dyDescent="0.45">
      <c r="A730" s="1">
        <v>41243</v>
      </c>
      <c r="B730">
        <v>88.91</v>
      </c>
      <c r="C730">
        <v>3.0607000000000002</v>
      </c>
      <c r="D730">
        <v>2.7303000000000002</v>
      </c>
      <c r="E730" s="2">
        <f t="shared" si="746"/>
        <v>30.388200000000001</v>
      </c>
      <c r="F730" s="2">
        <f t="shared" si="748"/>
        <v>31.261800000000012</v>
      </c>
      <c r="G730" s="2">
        <f t="shared" si="750"/>
        <v>31.058199999999999</v>
      </c>
      <c r="H730" s="2">
        <f t="shared" si="751"/>
        <v>1.8103152498947672E-2</v>
      </c>
      <c r="I730" s="2">
        <f t="shared" ref="I730:J730" si="773">LN(C729)-LN(C728)</f>
        <v>1.1846530330006821E-2</v>
      </c>
      <c r="J730" s="2">
        <f t="shared" si="773"/>
        <v>1.6860446259057693E-2</v>
      </c>
    </row>
    <row r="731" spans="1:10" x14ac:dyDescent="0.45">
      <c r="A731" s="1">
        <v>41246</v>
      </c>
      <c r="B731">
        <v>89.09</v>
      </c>
      <c r="C731">
        <v>3.0562</v>
      </c>
      <c r="D731">
        <v>2.7265000000000001</v>
      </c>
      <c r="E731" s="2">
        <f t="shared" si="746"/>
        <v>30.038799999999998</v>
      </c>
      <c r="F731" s="2">
        <f t="shared" si="748"/>
        <v>30.388200000000001</v>
      </c>
      <c r="G731" s="2">
        <f t="shared" si="750"/>
        <v>31.261800000000012</v>
      </c>
      <c r="H731" s="2">
        <f t="shared" si="751"/>
        <v>9.4926693156791586E-3</v>
      </c>
      <c r="I731" s="2">
        <f t="shared" ref="I731:J731" si="774">LN(C730)-LN(C729)</f>
        <v>1.2423174083722177E-3</v>
      </c>
      <c r="J731" s="2">
        <f t="shared" si="774"/>
        <v>-1.1347622792803325E-3</v>
      </c>
    </row>
    <row r="732" spans="1:10" x14ac:dyDescent="0.45">
      <c r="A732" s="1">
        <v>41247</v>
      </c>
      <c r="B732">
        <v>88.5</v>
      </c>
      <c r="C732">
        <v>3.004</v>
      </c>
      <c r="D732">
        <v>2.6890000000000001</v>
      </c>
      <c r="E732" s="2">
        <f t="shared" si="746"/>
        <v>28.847999999999995</v>
      </c>
      <c r="F732" s="2">
        <f t="shared" si="748"/>
        <v>30.038799999999998</v>
      </c>
      <c r="G732" s="2">
        <f t="shared" si="750"/>
        <v>30.388200000000001</v>
      </c>
      <c r="H732" s="2">
        <f t="shared" si="751"/>
        <v>2.02247259950461E-3</v>
      </c>
      <c r="I732" s="2">
        <f t="shared" ref="I732:J732" si="775">LN(C731)-LN(C730)</f>
        <v>-1.47133378404396E-3</v>
      </c>
      <c r="J732" s="2">
        <f t="shared" si="775"/>
        <v>-1.3927578853034639E-3</v>
      </c>
    </row>
    <row r="733" spans="1:10" x14ac:dyDescent="0.45">
      <c r="A733" s="1">
        <v>41248</v>
      </c>
      <c r="B733">
        <v>87.88</v>
      </c>
      <c r="C733">
        <v>2.9906999999999999</v>
      </c>
      <c r="D733">
        <v>2.6377999999999999</v>
      </c>
      <c r="E733" s="2">
        <f t="shared" si="746"/>
        <v>27.848200000000002</v>
      </c>
      <c r="F733" s="2">
        <f t="shared" si="748"/>
        <v>28.847999999999995</v>
      </c>
      <c r="G733" s="2">
        <f t="shared" si="750"/>
        <v>30.038799999999998</v>
      </c>
      <c r="H733" s="2">
        <f t="shared" si="751"/>
        <v>-6.6445427186687667E-3</v>
      </c>
      <c r="I733" s="2">
        <f t="shared" ref="I733:J733" si="776">LN(C732)-LN(C731)</f>
        <v>-1.7227580287131339E-2</v>
      </c>
      <c r="J733" s="2">
        <f t="shared" si="776"/>
        <v>-1.3849358097251629E-2</v>
      </c>
    </row>
    <row r="734" spans="1:10" x14ac:dyDescent="0.45">
      <c r="A734" s="1">
        <v>41249</v>
      </c>
      <c r="B734">
        <v>86.26</v>
      </c>
      <c r="C734">
        <v>2.9432</v>
      </c>
      <c r="D734">
        <v>2.5969000000000002</v>
      </c>
      <c r="E734" s="2">
        <f t="shared" si="746"/>
        <v>27.657999999999998</v>
      </c>
      <c r="F734" s="2">
        <f t="shared" si="748"/>
        <v>27.848200000000002</v>
      </c>
      <c r="G734" s="2">
        <f t="shared" si="750"/>
        <v>28.847999999999995</v>
      </c>
      <c r="H734" s="2">
        <f t="shared" si="751"/>
        <v>-7.0303044974737716E-3</v>
      </c>
      <c r="I734" s="2">
        <f t="shared" ref="I734:J734" si="777">LN(C733)-LN(C732)</f>
        <v>-4.4372601872575412E-3</v>
      </c>
      <c r="J734" s="2">
        <f t="shared" si="777"/>
        <v>-1.9224140877080242E-2</v>
      </c>
    </row>
    <row r="735" spans="1:10" x14ac:dyDescent="0.45">
      <c r="A735" s="1">
        <v>41250</v>
      </c>
      <c r="B735">
        <v>85.93</v>
      </c>
      <c r="C735">
        <v>2.9152999999999998</v>
      </c>
      <c r="D735">
        <v>2.5973999999999999</v>
      </c>
      <c r="E735" s="2">
        <f t="shared" si="746"/>
        <v>27.611399999999986</v>
      </c>
      <c r="F735" s="2">
        <f t="shared" si="748"/>
        <v>27.657999999999998</v>
      </c>
      <c r="G735" s="2">
        <f t="shared" si="750"/>
        <v>27.848200000000002</v>
      </c>
      <c r="H735" s="2">
        <f t="shared" si="751"/>
        <v>-1.8606256296712864E-2</v>
      </c>
      <c r="I735" s="2">
        <f t="shared" ref="I735:J735" si="778">LN(C734)-LN(C733)</f>
        <v>-1.6010048906203389E-2</v>
      </c>
      <c r="J735" s="2">
        <f t="shared" si="778"/>
        <v>-1.5626810438834848E-2</v>
      </c>
    </row>
    <row r="736" spans="1:10" x14ac:dyDescent="0.45">
      <c r="A736" s="1">
        <v>41253</v>
      </c>
      <c r="B736">
        <v>85.56</v>
      </c>
      <c r="C736">
        <v>2.8961999999999999</v>
      </c>
      <c r="D736">
        <v>2.5981000000000001</v>
      </c>
      <c r="E736" s="2">
        <f t="shared" si="746"/>
        <v>27.733600000000006</v>
      </c>
      <c r="F736" s="2">
        <f t="shared" si="748"/>
        <v>27.611399999999986</v>
      </c>
      <c r="G736" s="2">
        <f t="shared" si="750"/>
        <v>27.657999999999998</v>
      </c>
      <c r="H736" s="2">
        <f t="shared" si="751"/>
        <v>-3.8329798945646587E-3</v>
      </c>
      <c r="I736" s="2">
        <f t="shared" ref="I736:J736" si="779">LN(C735)-LN(C734)</f>
        <v>-9.5246943494826652E-3</v>
      </c>
      <c r="J736" s="2">
        <f t="shared" si="779"/>
        <v>1.9251872304026918E-4</v>
      </c>
    </row>
    <row r="737" spans="1:10" x14ac:dyDescent="0.45">
      <c r="A737" s="1">
        <v>41254</v>
      </c>
      <c r="B737">
        <v>85.79</v>
      </c>
      <c r="C737">
        <v>2.927</v>
      </c>
      <c r="D737">
        <v>2.6105</v>
      </c>
      <c r="E737" s="2">
        <f t="shared" si="746"/>
        <v>28.282</v>
      </c>
      <c r="F737" s="2">
        <f t="shared" si="748"/>
        <v>27.733600000000006</v>
      </c>
      <c r="G737" s="2">
        <f t="shared" si="750"/>
        <v>27.611399999999986</v>
      </c>
      <c r="H737" s="2">
        <f t="shared" si="751"/>
        <v>-4.315127110927186E-3</v>
      </c>
      <c r="I737" s="2">
        <f t="shared" ref="I737:J737" si="780">LN(C736)-LN(C735)</f>
        <v>-6.573197546579701E-3</v>
      </c>
      <c r="J737" s="2">
        <f t="shared" si="780"/>
        <v>2.6946396082605517E-4</v>
      </c>
    </row>
    <row r="738" spans="1:10" x14ac:dyDescent="0.45">
      <c r="A738" s="1">
        <v>41255</v>
      </c>
      <c r="B738">
        <v>86.77</v>
      </c>
      <c r="C738">
        <v>2.9668000000000001</v>
      </c>
      <c r="D738">
        <v>2.6465000000000001</v>
      </c>
      <c r="E738" s="2">
        <f t="shared" si="746"/>
        <v>28.867200000000008</v>
      </c>
      <c r="F738" s="2">
        <f t="shared" si="748"/>
        <v>28.282</v>
      </c>
      <c r="G738" s="2">
        <f t="shared" si="750"/>
        <v>27.733600000000006</v>
      </c>
      <c r="H738" s="2">
        <f t="shared" si="751"/>
        <v>2.6845653706688566E-3</v>
      </c>
      <c r="I738" s="2">
        <f t="shared" ref="I738:J738" si="781">LN(C737)-LN(C736)</f>
        <v>1.0578474797383608E-2</v>
      </c>
      <c r="J738" s="2">
        <f t="shared" si="781"/>
        <v>4.7613652137912243E-3</v>
      </c>
    </row>
    <row r="739" spans="1:10" x14ac:dyDescent="0.45">
      <c r="A739" s="1">
        <v>41256</v>
      </c>
      <c r="B739">
        <v>85.89</v>
      </c>
      <c r="C739">
        <v>2.9437000000000002</v>
      </c>
      <c r="D739">
        <v>2.6021000000000001</v>
      </c>
      <c r="E739" s="2">
        <f t="shared" si="746"/>
        <v>28.180600000000009</v>
      </c>
      <c r="F739" s="2">
        <f t="shared" si="748"/>
        <v>28.867200000000008</v>
      </c>
      <c r="G739" s="2">
        <f t="shared" si="750"/>
        <v>28.282</v>
      </c>
      <c r="H739" s="2">
        <f t="shared" si="751"/>
        <v>1.1358490220524153E-2</v>
      </c>
      <c r="I739" s="2">
        <f t="shared" ref="I739:J739" si="782">LN(C738)-LN(C737)</f>
        <v>1.3505923170517242E-2</v>
      </c>
      <c r="J739" s="2">
        <f t="shared" si="782"/>
        <v>1.3696238447435172E-2</v>
      </c>
    </row>
    <row r="740" spans="1:10" x14ac:dyDescent="0.45">
      <c r="A740" s="1">
        <v>41257</v>
      </c>
      <c r="B740">
        <v>86.73</v>
      </c>
      <c r="C740">
        <v>2.9807000000000001</v>
      </c>
      <c r="D740">
        <v>2.6621000000000001</v>
      </c>
      <c r="E740" s="2">
        <f t="shared" si="746"/>
        <v>29.538599999999992</v>
      </c>
      <c r="F740" s="2">
        <f t="shared" si="748"/>
        <v>28.180600000000009</v>
      </c>
      <c r="G740" s="2">
        <f t="shared" si="750"/>
        <v>28.867200000000008</v>
      </c>
      <c r="H740" s="2">
        <f t="shared" si="751"/>
        <v>-1.0193532027264141E-2</v>
      </c>
      <c r="I740" s="2">
        <f t="shared" ref="I740:J740" si="783">LN(C739)-LN(C738)</f>
        <v>-7.8166373799284372E-3</v>
      </c>
      <c r="J740" s="2">
        <f t="shared" si="783"/>
        <v>-1.6919200988677607E-2</v>
      </c>
    </row>
    <row r="741" spans="1:10" x14ac:dyDescent="0.45">
      <c r="A741" s="1">
        <v>41260</v>
      </c>
      <c r="B741">
        <v>87.2</v>
      </c>
      <c r="C741">
        <v>2.9563000000000001</v>
      </c>
      <c r="D741">
        <v>2.6545999999999998</v>
      </c>
      <c r="E741" s="2">
        <f t="shared" si="746"/>
        <v>28.516999999999978</v>
      </c>
      <c r="F741" s="2">
        <f t="shared" si="748"/>
        <v>29.538599999999992</v>
      </c>
      <c r="G741" s="2">
        <f t="shared" si="750"/>
        <v>28.180600000000009</v>
      </c>
      <c r="H741" s="2">
        <f t="shared" si="751"/>
        <v>9.7324369182310022E-3</v>
      </c>
      <c r="I741" s="2">
        <f t="shared" ref="I741:J741" si="784">LN(C740)-LN(C739)</f>
        <v>1.2490878761306945E-2</v>
      </c>
      <c r="J741" s="2">
        <f t="shared" si="784"/>
        <v>2.2796473680162688E-2</v>
      </c>
    </row>
    <row r="742" spans="1:10" x14ac:dyDescent="0.45">
      <c r="A742" s="1">
        <v>41261</v>
      </c>
      <c r="B742">
        <v>88.4</v>
      </c>
      <c r="C742">
        <v>2.9965000000000002</v>
      </c>
      <c r="D742">
        <v>2.6909000000000001</v>
      </c>
      <c r="E742" s="2">
        <f t="shared" si="746"/>
        <v>28.896199999999983</v>
      </c>
      <c r="F742" s="2">
        <f t="shared" si="748"/>
        <v>28.516999999999978</v>
      </c>
      <c r="G742" s="2">
        <f t="shared" si="750"/>
        <v>29.538599999999992</v>
      </c>
      <c r="H742" s="2">
        <f t="shared" si="751"/>
        <v>5.4044862185689269E-3</v>
      </c>
      <c r="I742" s="2">
        <f t="shared" ref="I742:J742" si="785">LN(C741)-LN(C740)</f>
        <v>-8.219685827328016E-3</v>
      </c>
      <c r="J742" s="2">
        <f t="shared" si="785"/>
        <v>-2.8213007974254856E-3</v>
      </c>
    </row>
    <row r="743" spans="1:10" x14ac:dyDescent="0.45">
      <c r="A743" s="1">
        <v>41262</v>
      </c>
      <c r="B743">
        <v>89.98</v>
      </c>
      <c r="C743">
        <v>3.0356000000000001</v>
      </c>
      <c r="D743">
        <v>2.7338</v>
      </c>
      <c r="E743" s="2">
        <f t="shared" si="746"/>
        <v>29.064799999999991</v>
      </c>
      <c r="F743" s="2">
        <f t="shared" si="748"/>
        <v>28.896199999999983</v>
      </c>
      <c r="G743" s="2">
        <f t="shared" si="750"/>
        <v>28.516999999999978</v>
      </c>
      <c r="H743" s="2">
        <f t="shared" si="751"/>
        <v>1.36676387286645E-2</v>
      </c>
      <c r="I743" s="2">
        <f t="shared" ref="I743:J743" si="786">LN(C742)-LN(C741)</f>
        <v>1.3506454481786445E-2</v>
      </c>
      <c r="J743" s="2">
        <f t="shared" si="786"/>
        <v>1.3581725937594213E-2</v>
      </c>
    </row>
    <row r="744" spans="1:10" x14ac:dyDescent="0.45">
      <c r="A744" s="1">
        <v>41263</v>
      </c>
      <c r="B744">
        <v>90.13</v>
      </c>
      <c r="C744">
        <v>3.0486</v>
      </c>
      <c r="D744">
        <v>2.74</v>
      </c>
      <c r="E744" s="2">
        <f t="shared" si="746"/>
        <v>29.270400000000013</v>
      </c>
      <c r="F744" s="2">
        <f t="shared" si="748"/>
        <v>29.064799999999991</v>
      </c>
      <c r="G744" s="2">
        <f t="shared" si="750"/>
        <v>28.896199999999983</v>
      </c>
      <c r="H744" s="2">
        <f t="shared" si="751"/>
        <v>1.771545376942818E-2</v>
      </c>
      <c r="I744" s="2">
        <f t="shared" ref="I744:J744" si="787">LN(C743)-LN(C742)</f>
        <v>1.2964157631517814E-2</v>
      </c>
      <c r="J744" s="2">
        <f t="shared" si="787"/>
        <v>1.5816872588856556E-2</v>
      </c>
    </row>
    <row r="745" spans="1:10" x14ac:dyDescent="0.45">
      <c r="A745" s="1">
        <v>41264</v>
      </c>
      <c r="B745">
        <v>88.66</v>
      </c>
      <c r="C745">
        <v>3.0102000000000002</v>
      </c>
      <c r="D745">
        <v>2.7158000000000002</v>
      </c>
      <c r="E745" s="2">
        <f t="shared" si="746"/>
        <v>29.525200000000002</v>
      </c>
      <c r="F745" s="2">
        <f t="shared" si="748"/>
        <v>29.270400000000013</v>
      </c>
      <c r="G745" s="2">
        <f t="shared" si="750"/>
        <v>29.064799999999991</v>
      </c>
      <c r="H745" s="2">
        <f t="shared" si="751"/>
        <v>1.6656491552922148E-3</v>
      </c>
      <c r="I745" s="2">
        <f t="shared" ref="I745:J745" si="788">LN(C744)-LN(C743)</f>
        <v>4.2733702979833588E-3</v>
      </c>
      <c r="J745" s="2">
        <f t="shared" si="788"/>
        <v>2.2653376635632938E-3</v>
      </c>
    </row>
    <row r="746" spans="1:10" x14ac:dyDescent="0.45">
      <c r="A746" s="1">
        <v>41267</v>
      </c>
      <c r="B746">
        <v>88.61</v>
      </c>
      <c r="C746">
        <v>2.9885000000000002</v>
      </c>
      <c r="D746">
        <v>2.7256999999999998</v>
      </c>
      <c r="E746" s="2">
        <f t="shared" si="746"/>
        <v>29.548600000000004</v>
      </c>
      <c r="F746" s="2">
        <f t="shared" si="748"/>
        <v>29.525200000000002</v>
      </c>
      <c r="G746" s="2">
        <f t="shared" si="750"/>
        <v>29.270400000000013</v>
      </c>
      <c r="H746" s="2">
        <f t="shared" si="751"/>
        <v>-1.6444243251410917E-2</v>
      </c>
      <c r="I746" s="2">
        <f t="shared" ref="I746:J746" si="789">LN(C745)-LN(C744)</f>
        <v>-1.2675947109478836E-2</v>
      </c>
      <c r="J746" s="2">
        <f t="shared" si="789"/>
        <v>-8.8713511174215443E-3</v>
      </c>
    </row>
    <row r="747" spans="1:10" x14ac:dyDescent="0.45">
      <c r="A747" s="1">
        <v>41269</v>
      </c>
      <c r="B747">
        <v>90.98</v>
      </c>
      <c r="C747">
        <v>3.0356999999999998</v>
      </c>
      <c r="D747">
        <v>2.7885</v>
      </c>
      <c r="E747" s="2">
        <f t="shared" si="746"/>
        <v>29.597800000000007</v>
      </c>
      <c r="F747" s="2">
        <f t="shared" si="748"/>
        <v>29.548600000000004</v>
      </c>
      <c r="G747" s="2">
        <f t="shared" si="750"/>
        <v>29.525200000000002</v>
      </c>
      <c r="H747" s="2">
        <f t="shared" si="751"/>
        <v>-5.6411125769706416E-4</v>
      </c>
      <c r="I747" s="2">
        <f t="shared" ref="I747:J747" si="790">LN(C746)-LN(C745)</f>
        <v>-7.2349324539533466E-3</v>
      </c>
      <c r="J747" s="2">
        <f t="shared" si="790"/>
        <v>3.6387065783883843E-3</v>
      </c>
    </row>
    <row r="748" spans="1:10" x14ac:dyDescent="0.45">
      <c r="A748" s="1">
        <v>41270</v>
      </c>
      <c r="B748">
        <v>90.87</v>
      </c>
      <c r="C748">
        <v>3.0489000000000002</v>
      </c>
      <c r="D748">
        <v>2.7892999999999999</v>
      </c>
      <c r="E748" s="2">
        <f t="shared" si="746"/>
        <v>29.915000000000003</v>
      </c>
      <c r="F748" s="2">
        <f t="shared" si="748"/>
        <v>29.597800000000007</v>
      </c>
      <c r="G748" s="2">
        <f t="shared" si="750"/>
        <v>29.548600000000004</v>
      </c>
      <c r="H748" s="2">
        <f t="shared" si="751"/>
        <v>2.6394984082647177E-2</v>
      </c>
      <c r="I748" s="2">
        <f t="shared" ref="I748:J748" si="791">LN(C747)-LN(C746)</f>
        <v>1.5670451139514929E-2</v>
      </c>
      <c r="J748" s="2">
        <f t="shared" si="791"/>
        <v>2.2778540986525542E-2</v>
      </c>
    </row>
    <row r="749" spans="1:10" x14ac:dyDescent="0.45">
      <c r="A749" s="1">
        <v>41271</v>
      </c>
      <c r="B749">
        <v>90.8</v>
      </c>
      <c r="C749">
        <v>3.0213000000000001</v>
      </c>
      <c r="D749">
        <v>2.7585000000000002</v>
      </c>
      <c r="E749" s="2">
        <f t="shared" si="746"/>
        <v>28.736200000000014</v>
      </c>
      <c r="F749" s="2">
        <f t="shared" si="748"/>
        <v>29.915000000000003</v>
      </c>
      <c r="G749" s="2">
        <f t="shared" si="750"/>
        <v>29.597800000000007</v>
      </c>
      <c r="H749" s="2">
        <f t="shared" si="751"/>
        <v>-1.209788434602288E-3</v>
      </c>
      <c r="I749" s="2">
        <f t="shared" ref="I749:J749" si="792">LN(C748)-LN(C747)</f>
        <v>4.3388294080066725E-3</v>
      </c>
      <c r="J749" s="2">
        <f t="shared" si="792"/>
        <v>2.8685144877393931E-4</v>
      </c>
    </row>
    <row r="750" spans="1:10" x14ac:dyDescent="0.45">
      <c r="A750" s="1">
        <v>41274</v>
      </c>
      <c r="B750">
        <v>91.82</v>
      </c>
      <c r="C750">
        <v>3.0318000000000001</v>
      </c>
      <c r="D750">
        <v>2.7616999999999998</v>
      </c>
      <c r="E750" s="2">
        <f t="shared" si="746"/>
        <v>27.952800000000007</v>
      </c>
      <c r="F750" s="2">
        <f t="shared" si="748"/>
        <v>28.736200000000014</v>
      </c>
      <c r="G750" s="2">
        <f t="shared" si="750"/>
        <v>29.915000000000003</v>
      </c>
      <c r="H750" s="2">
        <f t="shared" si="751"/>
        <v>-7.7062810000771975E-4</v>
      </c>
      <c r="I750" s="2">
        <f t="shared" ref="I750:J750" si="793">LN(C749)-LN(C748)</f>
        <v>-9.093667489621815E-3</v>
      </c>
      <c r="J750" s="2">
        <f t="shared" si="793"/>
        <v>-1.1103614565896702E-2</v>
      </c>
    </row>
    <row r="751" spans="1:10" x14ac:dyDescent="0.45">
      <c r="A751" s="1">
        <v>41276</v>
      </c>
      <c r="B751">
        <v>93.12</v>
      </c>
      <c r="C751">
        <v>3.0463</v>
      </c>
      <c r="D751">
        <v>2.7951000000000001</v>
      </c>
      <c r="E751" s="2">
        <f t="shared" si="746"/>
        <v>27.790999999999997</v>
      </c>
      <c r="F751" s="2">
        <f t="shared" si="748"/>
        <v>27.952800000000007</v>
      </c>
      <c r="G751" s="2">
        <f t="shared" si="750"/>
        <v>28.736200000000014</v>
      </c>
      <c r="H751" s="2">
        <f t="shared" si="751"/>
        <v>1.117085321382838E-2</v>
      </c>
      <c r="I751" s="2">
        <f t="shared" ref="I751:J751" si="794">LN(C750)-LN(C749)</f>
        <v>3.4693002037091691E-3</v>
      </c>
      <c r="J751" s="2">
        <f t="shared" si="794"/>
        <v>1.1593784132610807E-3</v>
      </c>
    </row>
    <row r="752" spans="1:10" x14ac:dyDescent="0.45">
      <c r="A752" s="1">
        <v>41277</v>
      </c>
      <c r="B752">
        <v>92.92</v>
      </c>
      <c r="C752">
        <v>3.0251000000000001</v>
      </c>
      <c r="D752">
        <v>2.7976999999999999</v>
      </c>
      <c r="E752" s="2">
        <f t="shared" si="746"/>
        <v>27.767000000000014</v>
      </c>
      <c r="F752" s="2">
        <f t="shared" si="748"/>
        <v>27.790999999999997</v>
      </c>
      <c r="G752" s="2">
        <f t="shared" si="750"/>
        <v>27.952800000000007</v>
      </c>
      <c r="H752" s="2">
        <f t="shared" si="751"/>
        <v>1.4058845162051803E-2</v>
      </c>
      <c r="I752" s="2">
        <f t="shared" ref="I752:J752" si="795">LN(C751)-LN(C750)</f>
        <v>4.7712369021033485E-3</v>
      </c>
      <c r="J752" s="2">
        <f t="shared" si="795"/>
        <v>1.2021451998742272E-2</v>
      </c>
    </row>
    <row r="753" spans="1:10" x14ac:dyDescent="0.45">
      <c r="A753" s="1">
        <v>41278</v>
      </c>
      <c r="B753">
        <v>93.09</v>
      </c>
      <c r="C753">
        <v>3.0177</v>
      </c>
      <c r="D753">
        <v>2.7643</v>
      </c>
      <c r="E753" s="2">
        <f t="shared" si="746"/>
        <v>26.558200000000017</v>
      </c>
      <c r="F753" s="2">
        <f t="shared" si="748"/>
        <v>27.767000000000014</v>
      </c>
      <c r="G753" s="2">
        <f t="shared" si="750"/>
        <v>27.790999999999997</v>
      </c>
      <c r="H753" s="2">
        <f t="shared" si="751"/>
        <v>-2.1500760809196606E-3</v>
      </c>
      <c r="I753" s="2">
        <f t="shared" ref="I753:J753" si="796">LN(C752)-LN(C751)</f>
        <v>-6.9835906582385032E-3</v>
      </c>
      <c r="J753" s="2">
        <f t="shared" si="796"/>
        <v>9.2976691006319001E-4</v>
      </c>
    </row>
    <row r="754" spans="1:10" x14ac:dyDescent="0.45">
      <c r="A754" s="1">
        <v>41281</v>
      </c>
      <c r="B754">
        <v>93.19</v>
      </c>
      <c r="C754">
        <v>3.0320999999999998</v>
      </c>
      <c r="D754">
        <v>2.7774000000000001</v>
      </c>
      <c r="E754" s="2">
        <f t="shared" si="746"/>
        <v>27.026600000000013</v>
      </c>
      <c r="F754" s="2">
        <f t="shared" si="748"/>
        <v>26.558200000000017</v>
      </c>
      <c r="G754" s="2">
        <f t="shared" si="750"/>
        <v>27.767000000000014</v>
      </c>
      <c r="H754" s="2">
        <f t="shared" si="751"/>
        <v>1.8278592261902205E-3</v>
      </c>
      <c r="I754" s="2">
        <f t="shared" ref="I754:J754" si="797">LN(C753)-LN(C752)</f>
        <v>-2.4491969613804621E-3</v>
      </c>
      <c r="J754" s="2">
        <f t="shared" si="797"/>
        <v>-1.2010212686635047E-2</v>
      </c>
    </row>
    <row r="755" spans="1:10" x14ac:dyDescent="0.45">
      <c r="A755" s="1">
        <v>41282</v>
      </c>
      <c r="B755">
        <v>93.15</v>
      </c>
      <c r="C755">
        <v>3.0585</v>
      </c>
      <c r="D755">
        <v>2.7944</v>
      </c>
      <c r="E755" s="2">
        <f t="shared" si="746"/>
        <v>27.912199999999984</v>
      </c>
      <c r="F755" s="2">
        <f t="shared" si="748"/>
        <v>27.026600000000013</v>
      </c>
      <c r="G755" s="2">
        <f t="shared" si="750"/>
        <v>26.558200000000017</v>
      </c>
      <c r="H755" s="2">
        <f t="shared" si="751"/>
        <v>1.0736526691657033E-3</v>
      </c>
      <c r="I755" s="2">
        <f t="shared" ref="I755:J755" si="798">LN(C754)-LN(C753)</f>
        <v>4.7604969403243214E-3</v>
      </c>
      <c r="J755" s="2">
        <f t="shared" si="798"/>
        <v>4.7277999173627183E-3</v>
      </c>
    </row>
    <row r="756" spans="1:10" x14ac:dyDescent="0.45">
      <c r="A756" s="1">
        <v>41283</v>
      </c>
      <c r="B756">
        <v>93.1</v>
      </c>
      <c r="C756">
        <v>3.0699000000000001</v>
      </c>
      <c r="D756">
        <v>2.7789000000000001</v>
      </c>
      <c r="E756" s="2">
        <f t="shared" si="746"/>
        <v>27.687800000000021</v>
      </c>
      <c r="F756" s="2">
        <f t="shared" si="748"/>
        <v>27.912199999999984</v>
      </c>
      <c r="G756" s="2">
        <f t="shared" si="750"/>
        <v>27.026600000000013</v>
      </c>
      <c r="H756" s="2">
        <f t="shared" si="751"/>
        <v>-4.2932274996676512E-4</v>
      </c>
      <c r="I756" s="2">
        <f t="shared" ref="I756:J756" si="799">LN(C755)-LN(C754)</f>
        <v>8.6691509338929773E-3</v>
      </c>
      <c r="J756" s="2">
        <f t="shared" si="799"/>
        <v>6.1021762273423263E-3</v>
      </c>
    </row>
    <row r="757" spans="1:10" x14ac:dyDescent="0.45">
      <c r="A757" s="1">
        <v>41284</v>
      </c>
      <c r="B757">
        <v>93.82</v>
      </c>
      <c r="C757">
        <v>3.0543</v>
      </c>
      <c r="D757">
        <v>2.7932999999999999</v>
      </c>
      <c r="E757" s="2">
        <f t="shared" si="746"/>
        <v>27.152599999999989</v>
      </c>
      <c r="F757" s="2">
        <f t="shared" si="748"/>
        <v>27.687800000000021</v>
      </c>
      <c r="G757" s="2">
        <f t="shared" si="750"/>
        <v>27.912199999999984</v>
      </c>
      <c r="H757" s="2">
        <f t="shared" si="751"/>
        <v>-5.3691276457623616E-4</v>
      </c>
      <c r="I757" s="2">
        <f t="shared" ref="I757:J757" si="800">LN(C756)-LN(C755)</f>
        <v>3.7203880781999654E-3</v>
      </c>
      <c r="J757" s="2">
        <f t="shared" si="800"/>
        <v>-5.5622485645305808E-3</v>
      </c>
    </row>
    <row r="758" spans="1:10" x14ac:dyDescent="0.45">
      <c r="A758" s="1">
        <v>41285</v>
      </c>
      <c r="B758">
        <v>93.56</v>
      </c>
      <c r="C758">
        <v>3.0085000000000002</v>
      </c>
      <c r="D758">
        <v>2.7395</v>
      </c>
      <c r="E758" s="2">
        <f t="shared" si="746"/>
        <v>25.265000000000004</v>
      </c>
      <c r="F758" s="2">
        <f t="shared" si="748"/>
        <v>27.152599999999989</v>
      </c>
      <c r="G758" s="2">
        <f t="shared" si="750"/>
        <v>27.687800000000021</v>
      </c>
      <c r="H758" s="2">
        <f t="shared" si="751"/>
        <v>7.7038686172903326E-3</v>
      </c>
      <c r="I758" s="2">
        <f t="shared" ref="I758:J758" si="801">LN(C757)-LN(C756)</f>
        <v>-5.0945539795597128E-3</v>
      </c>
      <c r="J758" s="2">
        <f t="shared" si="801"/>
        <v>5.1685266345022907E-3</v>
      </c>
    </row>
    <row r="759" spans="1:10" x14ac:dyDescent="0.45">
      <c r="A759" s="1">
        <v>41288</v>
      </c>
      <c r="B759">
        <v>94.14</v>
      </c>
      <c r="C759">
        <v>3.0625</v>
      </c>
      <c r="D759">
        <v>2.7541000000000002</v>
      </c>
      <c r="E759" s="2">
        <f t="shared" si="746"/>
        <v>25.849799999999998</v>
      </c>
      <c r="F759" s="2">
        <f t="shared" si="748"/>
        <v>25.265000000000004</v>
      </c>
      <c r="G759" s="2">
        <f t="shared" si="750"/>
        <v>27.152599999999989</v>
      </c>
      <c r="H759" s="2">
        <f t="shared" si="751"/>
        <v>-2.7751111843334897E-3</v>
      </c>
      <c r="I759" s="2">
        <f t="shared" ref="I759:J759" si="802">LN(C758)-LN(C757)</f>
        <v>-1.5108818120853407E-2</v>
      </c>
      <c r="J759" s="2">
        <f t="shared" si="802"/>
        <v>-1.9448270584123462E-2</v>
      </c>
    </row>
    <row r="760" spans="1:10" x14ac:dyDescent="0.45">
      <c r="A760" s="1">
        <v>41289</v>
      </c>
      <c r="B760">
        <v>93.28</v>
      </c>
      <c r="C760">
        <v>3.0112999999999999</v>
      </c>
      <c r="D760">
        <v>2.7065999999999999</v>
      </c>
      <c r="E760" s="2">
        <f t="shared" si="746"/>
        <v>24.662999999999993</v>
      </c>
      <c r="F760" s="2">
        <f t="shared" si="748"/>
        <v>25.849799999999998</v>
      </c>
      <c r="G760" s="2">
        <f t="shared" si="750"/>
        <v>25.265000000000004</v>
      </c>
      <c r="H760" s="2">
        <f t="shared" si="751"/>
        <v>6.1800942570178208E-3</v>
      </c>
      <c r="I760" s="2">
        <f t="shared" ref="I760:J760" si="803">LN(C759)-LN(C758)</f>
        <v>1.7789960192575949E-2</v>
      </c>
      <c r="J760" s="2">
        <f t="shared" si="803"/>
        <v>5.3152884715326199E-3</v>
      </c>
    </row>
    <row r="761" spans="1:10" x14ac:dyDescent="0.45">
      <c r="A761" s="1">
        <v>41290</v>
      </c>
      <c r="B761">
        <v>94.24</v>
      </c>
      <c r="C761">
        <v>2.9990999999999999</v>
      </c>
      <c r="D761">
        <v>2.7385000000000002</v>
      </c>
      <c r="E761" s="2">
        <f t="shared" si="746"/>
        <v>24.425400000000025</v>
      </c>
      <c r="F761" s="2">
        <f t="shared" si="748"/>
        <v>24.662999999999993</v>
      </c>
      <c r="G761" s="2">
        <f t="shared" si="750"/>
        <v>25.849799999999998</v>
      </c>
      <c r="H761" s="2">
        <f t="shared" si="751"/>
        <v>-9.1773133708139554E-3</v>
      </c>
      <c r="I761" s="2">
        <f t="shared" ref="I761:J761" si="804">LN(C760)-LN(C759)</f>
        <v>-1.685969666158682E-2</v>
      </c>
      <c r="J761" s="2">
        <f t="shared" si="804"/>
        <v>-1.7397475807597762E-2</v>
      </c>
    </row>
    <row r="762" spans="1:10" x14ac:dyDescent="0.45">
      <c r="A762" s="1">
        <v>41291</v>
      </c>
      <c r="B762">
        <v>95.49</v>
      </c>
      <c r="C762">
        <v>3.0211999999999999</v>
      </c>
      <c r="D762">
        <v>2.7684000000000002</v>
      </c>
      <c r="E762" s="2">
        <f t="shared" si="746"/>
        <v>24.32200000000002</v>
      </c>
      <c r="F762" s="2">
        <f t="shared" si="748"/>
        <v>24.425400000000025</v>
      </c>
      <c r="G762" s="2">
        <f t="shared" si="750"/>
        <v>24.662999999999993</v>
      </c>
      <c r="H762" s="2">
        <f t="shared" si="751"/>
        <v>1.0238997301094344E-2</v>
      </c>
      <c r="I762" s="2">
        <f t="shared" ref="I762:J762" si="805">LN(C761)-LN(C760)</f>
        <v>-4.0596355501507642E-3</v>
      </c>
      <c r="J762" s="2">
        <f t="shared" si="805"/>
        <v>1.1717090581370937E-2</v>
      </c>
    </row>
    <row r="763" spans="1:10" x14ac:dyDescent="0.45">
      <c r="A763" s="1">
        <v>41292</v>
      </c>
      <c r="B763">
        <v>96.04</v>
      </c>
      <c r="C763">
        <v>3.0525000000000002</v>
      </c>
      <c r="D763">
        <v>2.7968000000000002</v>
      </c>
      <c r="E763" s="2">
        <f t="shared" si="746"/>
        <v>25.005400000000009</v>
      </c>
      <c r="F763" s="2">
        <f t="shared" si="748"/>
        <v>24.32200000000002</v>
      </c>
      <c r="G763" s="2">
        <f t="shared" si="750"/>
        <v>24.425400000000025</v>
      </c>
      <c r="H763" s="2">
        <f t="shared" si="751"/>
        <v>1.3176810058834754E-2</v>
      </c>
      <c r="I763" s="2">
        <f t="shared" ref="I763:J763" si="806">LN(C762)-LN(C761)</f>
        <v>7.3418597980481337E-3</v>
      </c>
      <c r="J763" s="2">
        <f t="shared" si="806"/>
        <v>1.0859210743932257E-2</v>
      </c>
    </row>
    <row r="764" spans="1:10" x14ac:dyDescent="0.45">
      <c r="A764" s="1">
        <v>41296</v>
      </c>
      <c r="B764">
        <v>96.68</v>
      </c>
      <c r="C764">
        <v>3.0556999999999999</v>
      </c>
      <c r="D764">
        <v>2.8411</v>
      </c>
      <c r="E764" s="2">
        <f t="shared" si="746"/>
        <v>25.650599999999997</v>
      </c>
      <c r="F764" s="2">
        <f t="shared" si="748"/>
        <v>25.005400000000009</v>
      </c>
      <c r="G764" s="2">
        <f t="shared" si="750"/>
        <v>24.32200000000002</v>
      </c>
      <c r="H764" s="2">
        <f t="shared" si="751"/>
        <v>5.7432413909417335E-3</v>
      </c>
      <c r="I764" s="2">
        <f t="shared" ref="I764:J764" si="807">LN(C763)-LN(C762)</f>
        <v>1.0306823545567001E-2</v>
      </c>
      <c r="J764" s="2">
        <f t="shared" si="807"/>
        <v>1.0206370493508032E-2</v>
      </c>
    </row>
    <row r="765" spans="1:10" x14ac:dyDescent="0.45">
      <c r="A765" s="1">
        <v>41297</v>
      </c>
      <c r="B765">
        <v>95.23</v>
      </c>
      <c r="C765">
        <v>3.0651999999999999</v>
      </c>
      <c r="D765">
        <v>2.8489</v>
      </c>
      <c r="E765" s="2">
        <f t="shared" si="746"/>
        <v>27.451999999999998</v>
      </c>
      <c r="F765" s="2">
        <f t="shared" si="748"/>
        <v>25.650599999999997</v>
      </c>
      <c r="G765" s="2">
        <f t="shared" si="750"/>
        <v>25.005400000000009</v>
      </c>
      <c r="H765" s="2">
        <f t="shared" si="751"/>
        <v>6.641784482229518E-3</v>
      </c>
      <c r="I765" s="2">
        <f t="shared" ref="I765:J765" si="808">LN(C764)-LN(C763)</f>
        <v>1.0477719435357802E-3</v>
      </c>
      <c r="J765" s="2">
        <f t="shared" si="808"/>
        <v>1.5715394647141778E-2</v>
      </c>
    </row>
    <row r="766" spans="1:10" x14ac:dyDescent="0.45">
      <c r="A766" s="1">
        <v>41298</v>
      </c>
      <c r="B766">
        <v>95.95</v>
      </c>
      <c r="C766">
        <v>3.0764</v>
      </c>
      <c r="D766">
        <v>2.8767</v>
      </c>
      <c r="E766" s="2">
        <f t="shared" si="746"/>
        <v>27.66719999999998</v>
      </c>
      <c r="F766" s="2">
        <f t="shared" si="748"/>
        <v>27.451999999999998</v>
      </c>
      <c r="G766" s="2">
        <f t="shared" si="750"/>
        <v>25.650599999999997</v>
      </c>
      <c r="H766" s="2">
        <f t="shared" si="751"/>
        <v>-1.511153762932782E-2</v>
      </c>
      <c r="I766" s="2">
        <f t="shared" ref="I766:J766" si="809">LN(C765)-LN(C764)</f>
        <v>3.1041211678535241E-3</v>
      </c>
      <c r="J766" s="2">
        <f t="shared" si="809"/>
        <v>2.7416537384294948E-3</v>
      </c>
    </row>
    <row r="767" spans="1:10" x14ac:dyDescent="0.45">
      <c r="A767" s="1">
        <v>41299</v>
      </c>
      <c r="B767">
        <v>95.88</v>
      </c>
      <c r="C767">
        <v>3.0489000000000002</v>
      </c>
      <c r="D767">
        <v>2.8898000000000001</v>
      </c>
      <c r="E767" s="2">
        <f t="shared" si="746"/>
        <v>27.719000000000012</v>
      </c>
      <c r="F767" s="2">
        <f t="shared" si="748"/>
        <v>27.66719999999998</v>
      </c>
      <c r="G767" s="2">
        <f t="shared" si="750"/>
        <v>27.451999999999998</v>
      </c>
      <c r="H767" s="2">
        <f t="shared" si="751"/>
        <v>7.5322042477541373E-3</v>
      </c>
      <c r="I767" s="2">
        <f t="shared" ref="I767:J767" si="810">LN(C766)-LN(C765)</f>
        <v>3.6472620866494498E-3</v>
      </c>
      <c r="J767" s="2">
        <f t="shared" si="810"/>
        <v>9.7108489809574206E-3</v>
      </c>
    </row>
    <row r="768" spans="1:10" x14ac:dyDescent="0.45">
      <c r="A768" s="1">
        <v>41302</v>
      </c>
      <c r="B768">
        <v>96.44</v>
      </c>
      <c r="C768">
        <v>3.0543</v>
      </c>
      <c r="D768">
        <v>2.9409000000000001</v>
      </c>
      <c r="E768" s="2">
        <f t="shared" si="746"/>
        <v>28.665399999999995</v>
      </c>
      <c r="F768" s="2">
        <f t="shared" si="748"/>
        <v>27.719000000000012</v>
      </c>
      <c r="G768" s="2">
        <f t="shared" si="750"/>
        <v>27.66719999999998</v>
      </c>
      <c r="H768" s="2">
        <f t="shared" si="751"/>
        <v>-7.298128875250498E-4</v>
      </c>
      <c r="I768" s="2">
        <f t="shared" ref="I768:J768" si="811">LN(C767)-LN(C766)</f>
        <v>-8.9792123710681349E-3</v>
      </c>
      <c r="J768" s="2">
        <f t="shared" si="811"/>
        <v>4.5434917317657142E-3</v>
      </c>
    </row>
    <row r="769" spans="1:10" x14ac:dyDescent="0.45">
      <c r="A769" s="1">
        <v>41303</v>
      </c>
      <c r="B769">
        <v>97.57</v>
      </c>
      <c r="C769">
        <v>3.0985999999999998</v>
      </c>
      <c r="D769">
        <v>2.9763000000000002</v>
      </c>
      <c r="E769" s="2">
        <f t="shared" si="746"/>
        <v>29.146800000000002</v>
      </c>
      <c r="F769" s="2">
        <f t="shared" si="748"/>
        <v>28.665399999999995</v>
      </c>
      <c r="G769" s="2">
        <f t="shared" si="750"/>
        <v>27.719000000000012</v>
      </c>
      <c r="H769" s="2">
        <f t="shared" si="751"/>
        <v>5.8236437467868996E-3</v>
      </c>
      <c r="I769" s="2">
        <f t="shared" ref="I769:J769" si="812">LN(C768)-LN(C767)</f>
        <v>1.7695639694292886E-3</v>
      </c>
      <c r="J769" s="2">
        <f t="shared" si="812"/>
        <v>1.7528361376279333E-2</v>
      </c>
    </row>
    <row r="770" spans="1:10" x14ac:dyDescent="0.45">
      <c r="A770" s="1">
        <v>41304</v>
      </c>
      <c r="B770">
        <v>97.94</v>
      </c>
      <c r="C770">
        <v>3.1086999999999998</v>
      </c>
      <c r="D770">
        <v>3.0331999999999999</v>
      </c>
      <c r="E770" s="2">
        <f t="shared" si="746"/>
        <v>30.511399999999998</v>
      </c>
      <c r="F770" s="2">
        <f t="shared" si="748"/>
        <v>29.146800000000002</v>
      </c>
      <c r="G770" s="2">
        <f t="shared" si="750"/>
        <v>28.665399999999995</v>
      </c>
      <c r="H770" s="2">
        <f t="shared" si="751"/>
        <v>1.1649015806888485E-2</v>
      </c>
      <c r="I770" s="2">
        <f t="shared" ref="I770:J770" si="813">LN(C769)-LN(C768)</f>
        <v>1.4399962780931475E-2</v>
      </c>
      <c r="J770" s="2">
        <f t="shared" si="813"/>
        <v>1.196526138817644E-2</v>
      </c>
    </row>
    <row r="771" spans="1:10" x14ac:dyDescent="0.45">
      <c r="A771" s="1">
        <v>41305</v>
      </c>
      <c r="B771">
        <v>97.49</v>
      </c>
      <c r="C771">
        <v>3.1187</v>
      </c>
      <c r="D771">
        <v>3.0316999999999998</v>
      </c>
      <c r="E771" s="2">
        <f t="shared" ref="E771:E834" si="814">(2*D771*42+1*C771*42-3*B771)/3</f>
        <v>31.0594</v>
      </c>
      <c r="F771" s="2">
        <f t="shared" si="748"/>
        <v>30.511399999999998</v>
      </c>
      <c r="G771" s="2">
        <f t="shared" si="750"/>
        <v>29.146800000000002</v>
      </c>
      <c r="H771" s="2">
        <f t="shared" si="751"/>
        <v>3.7849771543125854E-3</v>
      </c>
      <c r="I771" s="2">
        <f t="shared" ref="I771:J771" si="815">LN(C770)-LN(C769)</f>
        <v>3.2542357911784503E-3</v>
      </c>
      <c r="J771" s="2">
        <f t="shared" si="815"/>
        <v>1.8937249502813724E-2</v>
      </c>
    </row>
    <row r="772" spans="1:10" x14ac:dyDescent="0.45">
      <c r="A772" s="1">
        <v>41306</v>
      </c>
      <c r="B772">
        <v>97.77</v>
      </c>
      <c r="C772">
        <v>3.1606000000000001</v>
      </c>
      <c r="D772">
        <v>3.0535999999999999</v>
      </c>
      <c r="E772" s="2">
        <f t="shared" si="814"/>
        <v>31.979199999999992</v>
      </c>
      <c r="F772" s="2">
        <f t="shared" ref="F772:F835" si="816">E771</f>
        <v>31.0594</v>
      </c>
      <c r="G772" s="2">
        <f t="shared" si="750"/>
        <v>30.511399999999998</v>
      </c>
      <c r="H772" s="2">
        <f t="shared" si="751"/>
        <v>-4.6052376329912548E-3</v>
      </c>
      <c r="I772" s="2">
        <f t="shared" ref="I772:J772" si="817">LN(C771)-LN(C770)</f>
        <v>3.2116159538158051E-3</v>
      </c>
      <c r="J772" s="2">
        <f t="shared" si="817"/>
        <v>-4.9464955088618368E-4</v>
      </c>
    </row>
    <row r="773" spans="1:10" x14ac:dyDescent="0.45">
      <c r="A773" s="1">
        <v>41309</v>
      </c>
      <c r="B773">
        <v>96.17</v>
      </c>
      <c r="C773">
        <v>3.1539999999999999</v>
      </c>
      <c r="D773">
        <v>3.0114999999999998</v>
      </c>
      <c r="E773" s="2">
        <f t="shared" si="814"/>
        <v>32.307999999999993</v>
      </c>
      <c r="F773" s="2">
        <f t="shared" si="816"/>
        <v>31.979199999999992</v>
      </c>
      <c r="G773" s="2">
        <f t="shared" ref="G773:G836" si="818">E771</f>
        <v>31.0594</v>
      </c>
      <c r="H773" s="2">
        <f t="shared" ref="H773:H836" si="819">LN(B772)-LN(B771)</f>
        <v>2.8679728763991719E-3</v>
      </c>
      <c r="I773" s="2">
        <f t="shared" ref="I773:J773" si="820">LN(C772)-LN(C771)</f>
        <v>1.3345634667817796E-2</v>
      </c>
      <c r="J773" s="2">
        <f t="shared" si="820"/>
        <v>7.1977041551258836E-3</v>
      </c>
    </row>
    <row r="774" spans="1:10" x14ac:dyDescent="0.45">
      <c r="A774" s="1">
        <v>41310</v>
      </c>
      <c r="B774">
        <v>96.64</v>
      </c>
      <c r="C774">
        <v>3.1913</v>
      </c>
      <c r="D774">
        <v>3.0373999999999999</v>
      </c>
      <c r="E774" s="2">
        <f t="shared" si="814"/>
        <v>33.085399999999993</v>
      </c>
      <c r="F774" s="2">
        <f t="shared" si="816"/>
        <v>32.307999999999993</v>
      </c>
      <c r="G774" s="2">
        <f t="shared" si="818"/>
        <v>31.979199999999992</v>
      </c>
      <c r="H774" s="2">
        <f t="shared" si="819"/>
        <v>-1.6500322793189248E-2</v>
      </c>
      <c r="I774" s="2">
        <f t="shared" ref="I774:J774" si="821">LN(C773)-LN(C772)</f>
        <v>-2.0903944520196394E-3</v>
      </c>
      <c r="J774" s="2">
        <f t="shared" si="821"/>
        <v>-1.3882928947244411E-2</v>
      </c>
    </row>
    <row r="775" spans="1:10" x14ac:dyDescent="0.45">
      <c r="A775" s="1">
        <v>41311</v>
      </c>
      <c r="B775">
        <v>96.62</v>
      </c>
      <c r="C775">
        <v>3.1858</v>
      </c>
      <c r="D775">
        <v>3.0396999999999998</v>
      </c>
      <c r="E775" s="2">
        <f t="shared" si="814"/>
        <v>33.092799999999976</v>
      </c>
      <c r="F775" s="2">
        <f t="shared" si="816"/>
        <v>33.085399999999993</v>
      </c>
      <c r="G775" s="2">
        <f t="shared" si="818"/>
        <v>32.307999999999993</v>
      </c>
      <c r="H775" s="2">
        <f t="shared" si="819"/>
        <v>4.8752754621146366E-3</v>
      </c>
      <c r="I775" s="2">
        <f t="shared" ref="I775:J775" si="822">LN(C774)-LN(C773)</f>
        <v>1.1756868751725325E-2</v>
      </c>
      <c r="J775" s="2">
        <f t="shared" si="822"/>
        <v>8.5635928123939387E-3</v>
      </c>
    </row>
    <row r="776" spans="1:10" x14ac:dyDescent="0.45">
      <c r="A776" s="1">
        <v>41312</v>
      </c>
      <c r="B776">
        <v>95.83</v>
      </c>
      <c r="C776">
        <v>3.1995</v>
      </c>
      <c r="D776">
        <v>2.9998999999999998</v>
      </c>
      <c r="E776" s="2">
        <f t="shared" si="814"/>
        <v>32.960199999999986</v>
      </c>
      <c r="F776" s="2">
        <f t="shared" si="816"/>
        <v>33.092799999999976</v>
      </c>
      <c r="G776" s="2">
        <f t="shared" si="818"/>
        <v>33.085399999999993</v>
      </c>
      <c r="H776" s="2">
        <f t="shared" si="819"/>
        <v>-2.0697506024447421E-4</v>
      </c>
      <c r="I776" s="2">
        <f t="shared" ref="I776:J776" si="823">LN(C775)-LN(C774)</f>
        <v>-1.7249224141711039E-3</v>
      </c>
      <c r="J776" s="2">
        <f t="shared" si="823"/>
        <v>7.5694002396442528E-4</v>
      </c>
    </row>
    <row r="777" spans="1:10" x14ac:dyDescent="0.45">
      <c r="A777" s="1">
        <v>41313</v>
      </c>
      <c r="B777">
        <v>95.72</v>
      </c>
      <c r="C777">
        <v>3.2383999999999999</v>
      </c>
      <c r="D777">
        <v>3.0588000000000002</v>
      </c>
      <c r="E777" s="2">
        <f t="shared" si="814"/>
        <v>35.26400000000001</v>
      </c>
      <c r="F777" s="2">
        <f t="shared" si="816"/>
        <v>32.960199999999986</v>
      </c>
      <c r="G777" s="2">
        <f t="shared" si="818"/>
        <v>33.092799999999976</v>
      </c>
      <c r="H777" s="2">
        <f t="shared" si="819"/>
        <v>-8.2099707705891589E-3</v>
      </c>
      <c r="I777" s="2">
        <f t="shared" ref="I777:J777" si="824">LN(C776)-LN(C775)</f>
        <v>4.2911127189770859E-3</v>
      </c>
      <c r="J777" s="2">
        <f t="shared" si="824"/>
        <v>-1.3179871558788525E-2</v>
      </c>
    </row>
    <row r="778" spans="1:10" x14ac:dyDescent="0.45">
      <c r="A778" s="1">
        <v>41316</v>
      </c>
      <c r="B778">
        <v>97.03</v>
      </c>
      <c r="C778">
        <v>3.2315</v>
      </c>
      <c r="D778">
        <v>3.0211999999999999</v>
      </c>
      <c r="E778" s="2">
        <f t="shared" si="814"/>
        <v>32.804599999999994</v>
      </c>
      <c r="F778" s="2">
        <f t="shared" si="816"/>
        <v>35.26400000000001</v>
      </c>
      <c r="G778" s="2">
        <f t="shared" si="818"/>
        <v>32.960199999999986</v>
      </c>
      <c r="H778" s="2">
        <f t="shared" si="819"/>
        <v>-1.148525315498361E-3</v>
      </c>
      <c r="I778" s="2">
        <f t="shared" ref="I778:J778" si="825">LN(C777)-LN(C776)</f>
        <v>1.2084833073576773E-2</v>
      </c>
      <c r="J778" s="2">
        <f t="shared" si="825"/>
        <v>1.9443727408724687E-2</v>
      </c>
    </row>
    <row r="779" spans="1:10" x14ac:dyDescent="0.45">
      <c r="A779" s="1">
        <v>41317</v>
      </c>
      <c r="B779">
        <v>97.51</v>
      </c>
      <c r="C779">
        <v>3.2362000000000002</v>
      </c>
      <c r="D779">
        <v>3.0503</v>
      </c>
      <c r="E779" s="2">
        <f t="shared" si="814"/>
        <v>33.205199999999969</v>
      </c>
      <c r="F779" s="2">
        <f t="shared" si="816"/>
        <v>32.804599999999994</v>
      </c>
      <c r="G779" s="2">
        <f t="shared" si="818"/>
        <v>35.26400000000001</v>
      </c>
      <c r="H779" s="2">
        <f t="shared" si="819"/>
        <v>1.3592945997035422E-2</v>
      </c>
      <c r="I779" s="2">
        <f t="shared" ref="I779:J779" si="826">LN(C778)-LN(C777)</f>
        <v>-2.1329549501416523E-3</v>
      </c>
      <c r="J779" s="2">
        <f t="shared" si="826"/>
        <v>-1.2368578730777235E-2</v>
      </c>
    </row>
    <row r="780" spans="1:10" x14ac:dyDescent="0.45">
      <c r="A780" s="1">
        <v>41318</v>
      </c>
      <c r="B780">
        <v>97.01</v>
      </c>
      <c r="C780">
        <v>3.2187999999999999</v>
      </c>
      <c r="D780">
        <v>3.0354000000000001</v>
      </c>
      <c r="E780" s="2">
        <f t="shared" si="814"/>
        <v>33.044399999999975</v>
      </c>
      <c r="F780" s="2">
        <f t="shared" si="816"/>
        <v>33.205199999999969</v>
      </c>
      <c r="G780" s="2">
        <f t="shared" si="818"/>
        <v>32.804599999999994</v>
      </c>
      <c r="H780" s="2">
        <f t="shared" si="819"/>
        <v>4.9347278098190728E-3</v>
      </c>
      <c r="I780" s="2">
        <f t="shared" ref="I780:J780" si="827">LN(C779)-LN(C778)</f>
        <v>1.4533762627575442E-3</v>
      </c>
      <c r="J780" s="2">
        <f t="shared" si="827"/>
        <v>9.5858429808099999E-3</v>
      </c>
    </row>
    <row r="781" spans="1:10" x14ac:dyDescent="0.45">
      <c r="A781" s="1">
        <v>41319</v>
      </c>
      <c r="B781">
        <v>97.31</v>
      </c>
      <c r="C781">
        <v>3.2237</v>
      </c>
      <c r="D781">
        <v>3.1166</v>
      </c>
      <c r="E781" s="2">
        <f t="shared" si="814"/>
        <v>35.086599999999997</v>
      </c>
      <c r="F781" s="2">
        <f t="shared" si="816"/>
        <v>33.044399999999975</v>
      </c>
      <c r="G781" s="2">
        <f t="shared" si="818"/>
        <v>33.205199999999969</v>
      </c>
      <c r="H781" s="2">
        <f t="shared" si="819"/>
        <v>-5.1408708738351905E-3</v>
      </c>
      <c r="I781" s="2">
        <f t="shared" ref="I781:J781" si="828">LN(C780)-LN(C779)</f>
        <v>-5.3911826937298457E-3</v>
      </c>
      <c r="J781" s="2">
        <f t="shared" si="828"/>
        <v>-4.8967348941575395E-3</v>
      </c>
    </row>
    <row r="782" spans="1:10" x14ac:dyDescent="0.45">
      <c r="A782" s="1">
        <v>41320</v>
      </c>
      <c r="B782">
        <v>95.86</v>
      </c>
      <c r="C782">
        <v>3.2103999999999999</v>
      </c>
      <c r="D782">
        <v>3.3138000000000001</v>
      </c>
      <c r="E782" s="2">
        <f t="shared" si="814"/>
        <v>41.871999999999993</v>
      </c>
      <c r="F782" s="2">
        <f t="shared" si="816"/>
        <v>35.086599999999997</v>
      </c>
      <c r="G782" s="2">
        <f t="shared" si="818"/>
        <v>33.044399999999975</v>
      </c>
      <c r="H782" s="2">
        <f t="shared" si="819"/>
        <v>3.0876928607055376E-3</v>
      </c>
      <c r="I782" s="2">
        <f t="shared" ref="I782:J782" si="829">LN(C781)-LN(C780)</f>
        <v>1.5211489157438418E-3</v>
      </c>
      <c r="J782" s="2">
        <f t="shared" si="829"/>
        <v>2.6399452485568853E-2</v>
      </c>
    </row>
    <row r="783" spans="1:10" x14ac:dyDescent="0.45">
      <c r="A783" s="1">
        <v>41324</v>
      </c>
      <c r="B783">
        <v>97.1</v>
      </c>
      <c r="C783">
        <v>3.1817000000000002</v>
      </c>
      <c r="D783">
        <v>3.1212</v>
      </c>
      <c r="E783" s="2">
        <f t="shared" si="814"/>
        <v>34.837400000000002</v>
      </c>
      <c r="F783" s="2">
        <f t="shared" si="816"/>
        <v>41.871999999999993</v>
      </c>
      <c r="G783" s="2">
        <f t="shared" si="818"/>
        <v>35.086599999999997</v>
      </c>
      <c r="H783" s="2">
        <f t="shared" si="819"/>
        <v>-1.5012965102412679E-2</v>
      </c>
      <c r="I783" s="2">
        <f t="shared" ref="I783:J783" si="830">LN(C782)-LN(C781)</f>
        <v>-4.1342282350147475E-3</v>
      </c>
      <c r="J783" s="2">
        <f t="shared" si="830"/>
        <v>6.1352903123682578E-2</v>
      </c>
    </row>
    <row r="784" spans="1:10" x14ac:dyDescent="0.45">
      <c r="A784" s="1">
        <v>41325</v>
      </c>
      <c r="B784">
        <v>95.22</v>
      </c>
      <c r="C784">
        <v>3.1522000000000001</v>
      </c>
      <c r="D784">
        <v>3.2585000000000002</v>
      </c>
      <c r="E784" s="2">
        <f t="shared" si="814"/>
        <v>40.148800000000016</v>
      </c>
      <c r="F784" s="2">
        <f t="shared" si="816"/>
        <v>34.837400000000002</v>
      </c>
      <c r="G784" s="2">
        <f t="shared" si="818"/>
        <v>41.871999999999993</v>
      </c>
      <c r="H784" s="2">
        <f t="shared" si="819"/>
        <v>1.2852581565794274E-2</v>
      </c>
      <c r="I784" s="2">
        <f t="shared" ref="I784:J784" si="831">LN(C783)-LN(C782)</f>
        <v>-8.9798948264825373E-3</v>
      </c>
      <c r="J784" s="2">
        <f t="shared" si="831"/>
        <v>-5.987802389259067E-2</v>
      </c>
    </row>
    <row r="785" spans="1:10" x14ac:dyDescent="0.45">
      <c r="A785" s="1">
        <v>41326</v>
      </c>
      <c r="B785">
        <v>92.84</v>
      </c>
      <c r="C785">
        <v>3.0949</v>
      </c>
      <c r="D785">
        <v>3.234</v>
      </c>
      <c r="E785" s="2">
        <f t="shared" si="814"/>
        <v>41.040600000000005</v>
      </c>
      <c r="F785" s="2">
        <f t="shared" si="816"/>
        <v>40.148800000000016</v>
      </c>
      <c r="G785" s="2">
        <f t="shared" si="818"/>
        <v>34.837400000000002</v>
      </c>
      <c r="H785" s="2">
        <f t="shared" si="819"/>
        <v>-1.9551371530906358E-2</v>
      </c>
      <c r="I785" s="2">
        <f t="shared" ref="I785:J785" si="832">LN(C784)-LN(C783)</f>
        <v>-9.3150233847836272E-3</v>
      </c>
      <c r="J785" s="2">
        <f t="shared" si="832"/>
        <v>4.3049423529828879E-2</v>
      </c>
    </row>
    <row r="786" spans="1:10" x14ac:dyDescent="0.45">
      <c r="A786" s="1">
        <v>41327</v>
      </c>
      <c r="B786">
        <v>93.13</v>
      </c>
      <c r="C786">
        <v>3.1017999999999999</v>
      </c>
      <c r="D786">
        <v>3.2658</v>
      </c>
      <c r="E786" s="2">
        <f t="shared" si="814"/>
        <v>41.737600000000008</v>
      </c>
      <c r="F786" s="2">
        <f t="shared" si="816"/>
        <v>41.040600000000005</v>
      </c>
      <c r="G786" s="2">
        <f t="shared" si="818"/>
        <v>40.148800000000016</v>
      </c>
      <c r="H786" s="2">
        <f t="shared" si="819"/>
        <v>-2.5312422360136644E-2</v>
      </c>
      <c r="I786" s="2">
        <f t="shared" ref="I786:J786" si="833">LN(C785)-LN(C784)</f>
        <v>-1.8345026322435398E-2</v>
      </c>
      <c r="J786" s="2">
        <f t="shared" si="833"/>
        <v>-7.5472056353829142E-3</v>
      </c>
    </row>
    <row r="787" spans="1:10" x14ac:dyDescent="0.45">
      <c r="A787" s="1">
        <v>41330</v>
      </c>
      <c r="B787">
        <v>93.11</v>
      </c>
      <c r="C787">
        <v>3.0981000000000001</v>
      </c>
      <c r="D787">
        <v>3.2635999999999998</v>
      </c>
      <c r="E787" s="2">
        <f t="shared" si="814"/>
        <v>41.644200000000012</v>
      </c>
      <c r="F787" s="2">
        <f t="shared" si="816"/>
        <v>41.737600000000008</v>
      </c>
      <c r="G787" s="2">
        <f t="shared" si="818"/>
        <v>41.040600000000005</v>
      </c>
      <c r="H787" s="2">
        <f t="shared" si="819"/>
        <v>3.1187851273299927E-3</v>
      </c>
      <c r="I787" s="2">
        <f t="shared" ref="I787:J787" si="834">LN(C786)-LN(C785)</f>
        <v>2.2269927063469641E-3</v>
      </c>
      <c r="J787" s="2">
        <f t="shared" si="834"/>
        <v>9.7849945311572206E-3</v>
      </c>
    </row>
    <row r="788" spans="1:10" x14ac:dyDescent="0.45">
      <c r="A788" s="1">
        <v>41331</v>
      </c>
      <c r="B788">
        <v>92.63</v>
      </c>
      <c r="C788">
        <v>3.0268000000000002</v>
      </c>
      <c r="D788">
        <v>3.1987999999999999</v>
      </c>
      <c r="E788" s="2">
        <f t="shared" si="814"/>
        <v>39.311599999999999</v>
      </c>
      <c r="F788" s="2">
        <f t="shared" si="816"/>
        <v>41.644200000000012</v>
      </c>
      <c r="G788" s="2">
        <f t="shared" si="818"/>
        <v>41.737600000000008</v>
      </c>
      <c r="H788" s="2">
        <f t="shared" si="819"/>
        <v>-2.1477663312818862E-4</v>
      </c>
      <c r="I788" s="2">
        <f t="shared" ref="I788:J788" si="835">LN(C787)-LN(C786)</f>
        <v>-1.1935677798842192E-3</v>
      </c>
      <c r="J788" s="2">
        <f t="shared" si="835"/>
        <v>-6.7387511356420404E-4</v>
      </c>
    </row>
    <row r="789" spans="1:10" x14ac:dyDescent="0.45">
      <c r="A789" s="1">
        <v>41332</v>
      </c>
      <c r="B789">
        <v>92.76</v>
      </c>
      <c r="C789">
        <v>2.9845999999999999</v>
      </c>
      <c r="D789">
        <v>3.1063000000000001</v>
      </c>
      <c r="E789" s="2">
        <f t="shared" si="814"/>
        <v>36.000799999999991</v>
      </c>
      <c r="F789" s="2">
        <f t="shared" si="816"/>
        <v>39.311599999999999</v>
      </c>
      <c r="G789" s="2">
        <f t="shared" si="818"/>
        <v>41.644200000000012</v>
      </c>
      <c r="H789" s="2">
        <f t="shared" si="819"/>
        <v>-5.1685266345016245E-3</v>
      </c>
      <c r="I789" s="2">
        <f t="shared" ref="I789:J789" si="836">LN(C788)-LN(C787)</f>
        <v>-2.3283064525101649E-2</v>
      </c>
      <c r="J789" s="2">
        <f t="shared" si="836"/>
        <v>-2.0055141096910312E-2</v>
      </c>
    </row>
    <row r="790" spans="1:10" x14ac:dyDescent="0.45">
      <c r="A790" s="1">
        <v>41333</v>
      </c>
      <c r="B790">
        <v>92.05</v>
      </c>
      <c r="C790">
        <v>2.9603000000000002</v>
      </c>
      <c r="D790">
        <v>3.1116999999999999</v>
      </c>
      <c r="E790" s="2">
        <f t="shared" si="814"/>
        <v>36.521800000000006</v>
      </c>
      <c r="F790" s="2">
        <f t="shared" si="816"/>
        <v>36.000799999999991</v>
      </c>
      <c r="G790" s="2">
        <f t="shared" si="818"/>
        <v>39.311599999999999</v>
      </c>
      <c r="H790" s="2">
        <f t="shared" si="819"/>
        <v>1.4024491213948664E-3</v>
      </c>
      <c r="I790" s="2">
        <f t="shared" ref="I790:J790" si="837">LN(C789)-LN(C788)</f>
        <v>-1.4040221322998869E-2</v>
      </c>
      <c r="J790" s="2">
        <f t="shared" si="837"/>
        <v>-2.9343432162867611E-2</v>
      </c>
    </row>
    <row r="791" spans="1:10" x14ac:dyDescent="0.45">
      <c r="A791" s="1">
        <v>41334</v>
      </c>
      <c r="B791">
        <v>90.68</v>
      </c>
      <c r="C791">
        <v>2.9300999999999999</v>
      </c>
      <c r="D791">
        <v>3.1286</v>
      </c>
      <c r="E791" s="2">
        <f t="shared" si="814"/>
        <v>37.942199999999978</v>
      </c>
      <c r="F791" s="2">
        <f t="shared" si="816"/>
        <v>36.521800000000006</v>
      </c>
      <c r="G791" s="2">
        <f t="shared" si="818"/>
        <v>36.000799999999991</v>
      </c>
      <c r="H791" s="2">
        <f t="shared" si="819"/>
        <v>-7.6836047082444736E-3</v>
      </c>
      <c r="I791" s="2">
        <f t="shared" ref="I791:J791" si="838">LN(C790)-LN(C789)</f>
        <v>-8.1751199636113103E-3</v>
      </c>
      <c r="J791" s="2">
        <f t="shared" si="838"/>
        <v>1.7368933282595478E-3</v>
      </c>
    </row>
    <row r="792" spans="1:10" x14ac:dyDescent="0.45">
      <c r="A792" s="1">
        <v>41337</v>
      </c>
      <c r="B792">
        <v>90.12</v>
      </c>
      <c r="C792">
        <v>2.9190999999999998</v>
      </c>
      <c r="D792">
        <v>3.0983000000000001</v>
      </c>
      <c r="E792" s="2">
        <f t="shared" si="814"/>
        <v>37.499799999999993</v>
      </c>
      <c r="F792" s="2">
        <f t="shared" si="816"/>
        <v>37.942199999999978</v>
      </c>
      <c r="G792" s="2">
        <f t="shared" si="818"/>
        <v>36.521800000000006</v>
      </c>
      <c r="H792" s="2">
        <f t="shared" si="819"/>
        <v>-1.4995082039758856E-2</v>
      </c>
      <c r="I792" s="2">
        <f t="shared" ref="I792:J792" si="839">LN(C791)-LN(C790)</f>
        <v>-1.0254062412215381E-2</v>
      </c>
      <c r="J792" s="2">
        <f t="shared" si="839"/>
        <v>5.4164195045431907E-3</v>
      </c>
    </row>
    <row r="793" spans="1:10" x14ac:dyDescent="0.45">
      <c r="A793" s="1">
        <v>41338</v>
      </c>
      <c r="B793">
        <v>90.82</v>
      </c>
      <c r="C793">
        <v>2.9729999999999999</v>
      </c>
      <c r="D793">
        <v>3.1482000000000001</v>
      </c>
      <c r="E793" s="2">
        <f t="shared" si="814"/>
        <v>38.951600000000006</v>
      </c>
      <c r="F793" s="2">
        <f t="shared" si="816"/>
        <v>37.499799999999993</v>
      </c>
      <c r="G793" s="2">
        <f t="shared" si="818"/>
        <v>37.942199999999978</v>
      </c>
      <c r="H793" s="2">
        <f t="shared" si="819"/>
        <v>-6.194710075284604E-3</v>
      </c>
      <c r="I793" s="2">
        <f t="shared" ref="I793:J793" si="840">LN(C792)-LN(C791)</f>
        <v>-3.7612025465889598E-3</v>
      </c>
      <c r="J793" s="2">
        <f t="shared" si="840"/>
        <v>-9.7320461704049066E-3</v>
      </c>
    </row>
    <row r="794" spans="1:10" x14ac:dyDescent="0.45">
      <c r="A794" s="1">
        <v>41339</v>
      </c>
      <c r="B794">
        <v>90.43</v>
      </c>
      <c r="C794">
        <v>2.9756</v>
      </c>
      <c r="D794">
        <v>3.1246999999999998</v>
      </c>
      <c r="E794" s="2">
        <f t="shared" si="814"/>
        <v>38.71999999999997</v>
      </c>
      <c r="F794" s="2">
        <f t="shared" si="816"/>
        <v>38.951600000000006</v>
      </c>
      <c r="G794" s="2">
        <f t="shared" si="818"/>
        <v>37.499799999999993</v>
      </c>
      <c r="H794" s="2">
        <f t="shared" si="819"/>
        <v>7.7374101057614553E-3</v>
      </c>
      <c r="I794" s="2">
        <f t="shared" ref="I794:J794" si="841">LN(C793)-LN(C792)</f>
        <v>1.8296194423145673E-2</v>
      </c>
      <c r="J794" s="2">
        <f t="shared" si="841"/>
        <v>1.5977286963456017E-2</v>
      </c>
    </row>
    <row r="795" spans="1:10" x14ac:dyDescent="0.45">
      <c r="A795" s="1">
        <v>41340</v>
      </c>
      <c r="B795">
        <v>91.56</v>
      </c>
      <c r="C795">
        <v>2.9794999999999998</v>
      </c>
      <c r="D795">
        <v>3.1233</v>
      </c>
      <c r="E795" s="2">
        <f t="shared" si="814"/>
        <v>37.605399999999996</v>
      </c>
      <c r="F795" s="2">
        <f t="shared" si="816"/>
        <v>38.71999999999997</v>
      </c>
      <c r="G795" s="2">
        <f t="shared" si="818"/>
        <v>38.951600000000006</v>
      </c>
      <c r="H795" s="2">
        <f t="shared" si="819"/>
        <v>-4.3034549174159054E-3</v>
      </c>
      <c r="I795" s="2">
        <f t="shared" ref="I795:J795" si="842">LN(C794)-LN(C793)</f>
        <v>8.74155319088743E-4</v>
      </c>
      <c r="J795" s="2">
        <f t="shared" si="842"/>
        <v>-7.4925823585141327E-3</v>
      </c>
    </row>
    <row r="796" spans="1:10" x14ac:dyDescent="0.45">
      <c r="A796" s="1">
        <v>41341</v>
      </c>
      <c r="B796">
        <v>91.95</v>
      </c>
      <c r="C796">
        <v>2.9748999999999999</v>
      </c>
      <c r="D796">
        <v>3.2035</v>
      </c>
      <c r="E796" s="2">
        <f t="shared" si="814"/>
        <v>39.396599999999999</v>
      </c>
      <c r="F796" s="2">
        <f t="shared" si="816"/>
        <v>37.605399999999996</v>
      </c>
      <c r="G796" s="2">
        <f t="shared" si="818"/>
        <v>38.71999999999997</v>
      </c>
      <c r="H796" s="2">
        <f t="shared" si="819"/>
        <v>1.2418424331976929E-2</v>
      </c>
      <c r="I796" s="2">
        <f t="shared" ref="I796:J796" si="843">LN(C795)-LN(C794)</f>
        <v>1.3098018698471936E-3</v>
      </c>
      <c r="J796" s="2">
        <f t="shared" si="843"/>
        <v>-4.4814341339005637E-4</v>
      </c>
    </row>
    <row r="797" spans="1:10" x14ac:dyDescent="0.45">
      <c r="A797" s="1">
        <v>41344</v>
      </c>
      <c r="B797">
        <v>92.06</v>
      </c>
      <c r="C797">
        <v>2.9691000000000001</v>
      </c>
      <c r="D797">
        <v>3.1524000000000001</v>
      </c>
      <c r="E797" s="2">
        <f t="shared" si="814"/>
        <v>37.7746</v>
      </c>
      <c r="F797" s="2">
        <f t="shared" si="816"/>
        <v>39.396599999999999</v>
      </c>
      <c r="G797" s="2">
        <f t="shared" si="818"/>
        <v>37.605399999999996</v>
      </c>
      <c r="H797" s="2">
        <f t="shared" si="819"/>
        <v>4.2504559659644059E-3</v>
      </c>
      <c r="I797" s="2">
        <f t="shared" ref="I797:J797" si="844">LN(C796)-LN(C795)</f>
        <v>-1.5450762176261179E-3</v>
      </c>
      <c r="J797" s="2">
        <f t="shared" si="844"/>
        <v>2.5353826930259338E-2</v>
      </c>
    </row>
    <row r="798" spans="1:10" x14ac:dyDescent="0.45">
      <c r="A798" s="1">
        <v>41345</v>
      </c>
      <c r="B798">
        <v>92.54</v>
      </c>
      <c r="C798">
        <v>2.9483999999999999</v>
      </c>
      <c r="D798">
        <v>3.1501999999999999</v>
      </c>
      <c r="E798" s="2">
        <f t="shared" si="814"/>
        <v>36.943200000000012</v>
      </c>
      <c r="F798" s="2">
        <f t="shared" si="816"/>
        <v>37.7746</v>
      </c>
      <c r="G798" s="2">
        <f t="shared" si="818"/>
        <v>39.396599999999999</v>
      </c>
      <c r="H798" s="2">
        <f t="shared" si="819"/>
        <v>1.195587338765236E-3</v>
      </c>
      <c r="I798" s="2">
        <f t="shared" ref="I798:J798" si="845">LN(C797)-LN(C796)</f>
        <v>-1.951548398652303E-3</v>
      </c>
      <c r="J798" s="2">
        <f t="shared" si="845"/>
        <v>-1.6079894599581701E-2</v>
      </c>
    </row>
    <row r="799" spans="1:10" x14ac:dyDescent="0.45">
      <c r="A799" s="1">
        <v>41346</v>
      </c>
      <c r="B799">
        <v>92.52</v>
      </c>
      <c r="C799">
        <v>2.9241999999999999</v>
      </c>
      <c r="D799">
        <v>3.1423000000000001</v>
      </c>
      <c r="E799" s="2">
        <f t="shared" si="814"/>
        <v>36.403199999999991</v>
      </c>
      <c r="F799" s="2">
        <f t="shared" si="816"/>
        <v>36.943200000000012</v>
      </c>
      <c r="G799" s="2">
        <f t="shared" si="818"/>
        <v>37.7746</v>
      </c>
      <c r="H799" s="2">
        <f t="shared" si="819"/>
        <v>5.2004450897582544E-3</v>
      </c>
      <c r="I799" s="2">
        <f t="shared" ref="I799:J799" si="846">LN(C798)-LN(C797)</f>
        <v>-6.9962262556213517E-3</v>
      </c>
      <c r="J799" s="2">
        <f t="shared" si="846"/>
        <v>-6.9812461185936314E-4</v>
      </c>
    </row>
    <row r="800" spans="1:10" x14ac:dyDescent="0.45">
      <c r="A800" s="1">
        <v>41347</v>
      </c>
      <c r="B800">
        <v>93.03</v>
      </c>
      <c r="C800">
        <v>2.9295</v>
      </c>
      <c r="D800">
        <v>3.1413000000000002</v>
      </c>
      <c r="E800" s="2">
        <f t="shared" si="814"/>
        <v>35.939399999999999</v>
      </c>
      <c r="F800" s="2">
        <f t="shared" si="816"/>
        <v>36.403199999999991</v>
      </c>
      <c r="G800" s="2">
        <f t="shared" si="818"/>
        <v>36.943200000000012</v>
      </c>
      <c r="H800" s="2">
        <f t="shared" si="819"/>
        <v>-2.1614611561560082E-4</v>
      </c>
      <c r="I800" s="2">
        <f t="shared" ref="I800:J800" si="847">LN(C799)-LN(C798)</f>
        <v>-8.2417113317962976E-3</v>
      </c>
      <c r="J800" s="2">
        <f t="shared" si="847"/>
        <v>-2.5109270244354498E-3</v>
      </c>
    </row>
    <row r="801" spans="1:10" x14ac:dyDescent="0.45">
      <c r="A801" s="1">
        <v>41348</v>
      </c>
      <c r="B801">
        <v>93.45</v>
      </c>
      <c r="C801">
        <v>2.9390000000000001</v>
      </c>
      <c r="D801">
        <v>3.1638000000000002</v>
      </c>
      <c r="E801" s="2">
        <f t="shared" si="814"/>
        <v>36.282399999999996</v>
      </c>
      <c r="F801" s="2">
        <f t="shared" si="816"/>
        <v>35.939399999999999</v>
      </c>
      <c r="G801" s="2">
        <f t="shared" si="818"/>
        <v>36.403199999999991</v>
      </c>
      <c r="H801" s="2">
        <f t="shared" si="819"/>
        <v>5.4971844172291284E-3</v>
      </c>
      <c r="I801" s="2">
        <f t="shared" ref="I801:J801" si="848">LN(C800)-LN(C799)</f>
        <v>1.810821001505758E-3</v>
      </c>
      <c r="J801" s="2">
        <f t="shared" si="848"/>
        <v>-3.1828888167351188E-4</v>
      </c>
    </row>
    <row r="802" spans="1:10" x14ac:dyDescent="0.45">
      <c r="A802" s="1">
        <v>41351</v>
      </c>
      <c r="B802">
        <v>94.11</v>
      </c>
      <c r="C802">
        <v>2.9266999999999999</v>
      </c>
      <c r="D802">
        <v>3.1288999999999998</v>
      </c>
      <c r="E802" s="2">
        <f t="shared" si="814"/>
        <v>34.472999999999992</v>
      </c>
      <c r="F802" s="2">
        <f t="shared" si="816"/>
        <v>36.282399999999996</v>
      </c>
      <c r="G802" s="2">
        <f t="shared" si="818"/>
        <v>35.939399999999999</v>
      </c>
      <c r="H802" s="2">
        <f t="shared" si="819"/>
        <v>4.5045121211044759E-3</v>
      </c>
      <c r="I802" s="2">
        <f t="shared" ref="I802:J802" si="849">LN(C801)-LN(C800)</f>
        <v>3.2376274340741862E-3</v>
      </c>
      <c r="J802" s="2">
        <f t="shared" si="849"/>
        <v>7.1371098029529012E-3</v>
      </c>
    </row>
    <row r="803" spans="1:10" x14ac:dyDescent="0.45">
      <c r="A803" s="1">
        <v>41352</v>
      </c>
      <c r="B803">
        <v>92.52</v>
      </c>
      <c r="C803">
        <v>2.9683999999999999</v>
      </c>
      <c r="D803">
        <v>3.0402999999999998</v>
      </c>
      <c r="E803" s="2">
        <f t="shared" si="814"/>
        <v>34.165999999999997</v>
      </c>
      <c r="F803" s="2">
        <f t="shared" si="816"/>
        <v>34.472999999999992</v>
      </c>
      <c r="G803" s="2">
        <f t="shared" si="818"/>
        <v>36.282399999999996</v>
      </c>
      <c r="H803" s="2">
        <f t="shared" si="819"/>
        <v>7.0377769691249981E-3</v>
      </c>
      <c r="I803" s="2">
        <f t="shared" ref="I803:J803" si="850">LN(C802)-LN(C801)</f>
        <v>-4.1938790010849214E-3</v>
      </c>
      <c r="J803" s="2">
        <f t="shared" si="850"/>
        <v>-1.1092331698661528E-2</v>
      </c>
    </row>
    <row r="804" spans="1:10" x14ac:dyDescent="0.45">
      <c r="A804" s="1">
        <v>41353</v>
      </c>
      <c r="B804">
        <v>93.5</v>
      </c>
      <c r="C804">
        <v>2.9952999999999999</v>
      </c>
      <c r="D804">
        <v>3.1019999999999999</v>
      </c>
      <c r="E804" s="2">
        <f t="shared" si="814"/>
        <v>35.290199999999992</v>
      </c>
      <c r="F804" s="2">
        <f t="shared" si="816"/>
        <v>34.165999999999997</v>
      </c>
      <c r="G804" s="2">
        <f t="shared" si="818"/>
        <v>34.472999999999992</v>
      </c>
      <c r="H804" s="2">
        <f t="shared" si="819"/>
        <v>-1.7039473507458602E-2</v>
      </c>
      <c r="I804" s="2">
        <f t="shared" ref="I804:J804" si="851">LN(C803)-LN(C802)</f>
        <v>1.4147578678145978E-2</v>
      </c>
      <c r="J804" s="2">
        <f t="shared" si="851"/>
        <v>-2.8725310323990394E-2</v>
      </c>
    </row>
    <row r="805" spans="1:10" x14ac:dyDescent="0.45">
      <c r="A805" s="1">
        <v>41354</v>
      </c>
      <c r="B805">
        <v>92.45</v>
      </c>
      <c r="C805">
        <v>2.9794999999999998</v>
      </c>
      <c r="D805">
        <v>3.0596999999999999</v>
      </c>
      <c r="E805" s="2">
        <f t="shared" si="814"/>
        <v>34.934599999999989</v>
      </c>
      <c r="F805" s="2">
        <f t="shared" si="816"/>
        <v>35.290199999999992</v>
      </c>
      <c r="G805" s="2">
        <f t="shared" si="818"/>
        <v>34.165999999999997</v>
      </c>
      <c r="H805" s="2">
        <f t="shared" si="819"/>
        <v>1.053659893140324E-2</v>
      </c>
      <c r="I805" s="2">
        <f t="shared" ref="I805:J805" si="852">LN(C804)-LN(C803)</f>
        <v>9.0213063821058537E-3</v>
      </c>
      <c r="J805" s="2">
        <f t="shared" si="852"/>
        <v>2.0090869994656924E-2</v>
      </c>
    </row>
    <row r="806" spans="1:10" x14ac:dyDescent="0.45">
      <c r="A806" s="1">
        <v>41355</v>
      </c>
      <c r="B806">
        <v>93.71</v>
      </c>
      <c r="C806">
        <v>2.9727999999999999</v>
      </c>
      <c r="D806">
        <v>3.0512000000000001</v>
      </c>
      <c r="E806" s="2">
        <f t="shared" si="814"/>
        <v>33.342800000000011</v>
      </c>
      <c r="F806" s="2">
        <f t="shared" si="816"/>
        <v>34.934599999999989</v>
      </c>
      <c r="G806" s="2">
        <f t="shared" si="818"/>
        <v>35.290199999999992</v>
      </c>
      <c r="H806" s="2">
        <f t="shared" si="819"/>
        <v>-1.1293478461507966E-2</v>
      </c>
      <c r="I806" s="2">
        <f t="shared" ref="I806:J806" si="853">LN(C805)-LN(C804)</f>
        <v>-5.2888922910507841E-3</v>
      </c>
      <c r="J806" s="2">
        <f t="shared" si="853"/>
        <v>-1.373019281190202E-2</v>
      </c>
    </row>
    <row r="807" spans="1:10" x14ac:dyDescent="0.45">
      <c r="A807" s="1">
        <v>41358</v>
      </c>
      <c r="B807">
        <v>94.81</v>
      </c>
      <c r="C807">
        <v>2.9830000000000001</v>
      </c>
      <c r="D807">
        <v>3.0541999999999998</v>
      </c>
      <c r="E807" s="2">
        <f t="shared" si="814"/>
        <v>32.469599999999993</v>
      </c>
      <c r="F807" s="2">
        <f t="shared" si="816"/>
        <v>33.342800000000011</v>
      </c>
      <c r="G807" s="2">
        <f t="shared" si="818"/>
        <v>34.934599999999989</v>
      </c>
      <c r="H807" s="2">
        <f t="shared" si="819"/>
        <v>1.3536949302598522E-2</v>
      </c>
      <c r="I807" s="2">
        <f t="shared" ref="I807:J807" si="854">LN(C806)-LN(C805)</f>
        <v>-2.251231567514278E-3</v>
      </c>
      <c r="J807" s="2">
        <f t="shared" si="854"/>
        <v>-2.7819160784274821E-3</v>
      </c>
    </row>
    <row r="808" spans="1:10" x14ac:dyDescent="0.45">
      <c r="A808" s="1">
        <v>41359</v>
      </c>
      <c r="B808">
        <v>96.34</v>
      </c>
      <c r="C808">
        <v>2.9988000000000001</v>
      </c>
      <c r="D808">
        <v>3.1025</v>
      </c>
      <c r="E808" s="2">
        <f t="shared" si="814"/>
        <v>32.513200000000019</v>
      </c>
      <c r="F808" s="2">
        <f t="shared" si="816"/>
        <v>32.469599999999993</v>
      </c>
      <c r="G808" s="2">
        <f t="shared" si="818"/>
        <v>33.342800000000011</v>
      </c>
      <c r="H808" s="2">
        <f t="shared" si="819"/>
        <v>1.1669981794136142E-2</v>
      </c>
      <c r="I808" s="2">
        <f t="shared" ref="I808:J808" si="855">LN(C807)-LN(C806)</f>
        <v>3.4252358952293616E-3</v>
      </c>
      <c r="J808" s="2">
        <f t="shared" si="855"/>
        <v>9.8273667292647637E-4</v>
      </c>
    </row>
    <row r="809" spans="1:10" x14ac:dyDescent="0.45">
      <c r="A809" s="1">
        <v>41360</v>
      </c>
      <c r="B809">
        <v>96.58</v>
      </c>
      <c r="C809">
        <v>3.0367999999999999</v>
      </c>
      <c r="D809">
        <v>3.1118000000000001</v>
      </c>
      <c r="E809" s="2">
        <f t="shared" si="814"/>
        <v>33.065599999999996</v>
      </c>
      <c r="F809" s="2">
        <f t="shared" si="816"/>
        <v>32.513200000000019</v>
      </c>
      <c r="G809" s="2">
        <f t="shared" si="818"/>
        <v>32.469599999999993</v>
      </c>
      <c r="H809" s="2">
        <f t="shared" si="819"/>
        <v>1.6008712272206793E-2</v>
      </c>
      <c r="I809" s="2">
        <f t="shared" ref="I809:J809" si="856">LN(C808)-LN(C807)</f>
        <v>5.2827031141584602E-3</v>
      </c>
      <c r="J809" s="2">
        <f t="shared" si="856"/>
        <v>1.569054555968119E-2</v>
      </c>
    </row>
    <row r="810" spans="1:10" x14ac:dyDescent="0.45">
      <c r="A810" s="1">
        <v>41361</v>
      </c>
      <c r="B810">
        <v>97.23</v>
      </c>
      <c r="C810">
        <v>3.0470000000000002</v>
      </c>
      <c r="D810">
        <v>3.1105999999999998</v>
      </c>
      <c r="E810" s="2">
        <f t="shared" si="814"/>
        <v>32.524799999999992</v>
      </c>
      <c r="F810" s="2">
        <f t="shared" si="816"/>
        <v>33.065599999999996</v>
      </c>
      <c r="G810" s="2">
        <f t="shared" si="818"/>
        <v>32.513200000000019</v>
      </c>
      <c r="H810" s="2">
        <f t="shared" si="819"/>
        <v>2.4880792433208399E-3</v>
      </c>
      <c r="I810" s="2">
        <f t="shared" ref="I810:J810" si="857">LN(C809)-LN(C808)</f>
        <v>1.2592120786701688E-2</v>
      </c>
      <c r="J810" s="2">
        <f t="shared" si="857"/>
        <v>2.9930988021000804E-3</v>
      </c>
    </row>
    <row r="811" spans="1:10" x14ac:dyDescent="0.45">
      <c r="A811" s="1">
        <v>41365</v>
      </c>
      <c r="B811">
        <v>97.07</v>
      </c>
      <c r="C811">
        <v>3.0687000000000002</v>
      </c>
      <c r="D811">
        <v>3.1015000000000001</v>
      </c>
      <c r="E811" s="2">
        <f t="shared" si="814"/>
        <v>32.733800000000009</v>
      </c>
      <c r="F811" s="2">
        <f t="shared" si="816"/>
        <v>32.524799999999992</v>
      </c>
      <c r="G811" s="2">
        <f t="shared" si="818"/>
        <v>33.065599999999996</v>
      </c>
      <c r="H811" s="2">
        <f t="shared" si="819"/>
        <v>6.7076253761699789E-3</v>
      </c>
      <c r="I811" s="2">
        <f t="shared" ref="I811:J811" si="858">LN(C810)-LN(C809)</f>
        <v>3.3531705701002057E-3</v>
      </c>
      <c r="J811" s="2">
        <f t="shared" si="858"/>
        <v>-3.8570327040265973E-4</v>
      </c>
    </row>
    <row r="812" spans="1:10" x14ac:dyDescent="0.45">
      <c r="A812" s="1">
        <v>41366</v>
      </c>
      <c r="B812">
        <v>97.19</v>
      </c>
      <c r="C812">
        <v>3.0874000000000001</v>
      </c>
      <c r="D812">
        <v>3.0407999999999999</v>
      </c>
      <c r="E812" s="2">
        <f t="shared" si="814"/>
        <v>31.176000000000005</v>
      </c>
      <c r="F812" s="2">
        <f t="shared" si="816"/>
        <v>32.733800000000009</v>
      </c>
      <c r="G812" s="2">
        <f t="shared" si="818"/>
        <v>32.524799999999992</v>
      </c>
      <c r="H812" s="2">
        <f t="shared" si="819"/>
        <v>-1.6469380974308834E-3</v>
      </c>
      <c r="I812" s="2">
        <f t="shared" ref="I812:J812" si="859">LN(C811)-LN(C810)</f>
        <v>7.0965191453624676E-3</v>
      </c>
      <c r="J812" s="2">
        <f t="shared" si="859"/>
        <v>-2.9297681972872969E-3</v>
      </c>
    </row>
    <row r="813" spans="1:10" x14ac:dyDescent="0.45">
      <c r="A813" s="1">
        <v>41367</v>
      </c>
      <c r="B813">
        <v>94.45</v>
      </c>
      <c r="C813">
        <v>3.0019999999999998</v>
      </c>
      <c r="D813">
        <v>2.9140000000000001</v>
      </c>
      <c r="E813" s="2">
        <f t="shared" si="814"/>
        <v>29.169999999999998</v>
      </c>
      <c r="F813" s="2">
        <f t="shared" si="816"/>
        <v>31.176000000000005</v>
      </c>
      <c r="G813" s="2">
        <f t="shared" si="818"/>
        <v>32.733800000000009</v>
      </c>
      <c r="H813" s="2">
        <f t="shared" si="819"/>
        <v>1.2354577912443432E-3</v>
      </c>
      <c r="I813" s="2">
        <f t="shared" ref="I813:J813" si="860">LN(C812)-LN(C811)</f>
        <v>6.0752936166694749E-3</v>
      </c>
      <c r="J813" s="2">
        <f t="shared" si="860"/>
        <v>-1.9765226738133412E-2</v>
      </c>
    </row>
    <row r="814" spans="1:10" x14ac:dyDescent="0.45">
      <c r="A814" s="1">
        <v>41368</v>
      </c>
      <c r="B814">
        <v>93.26</v>
      </c>
      <c r="C814">
        <v>2.9636</v>
      </c>
      <c r="D814">
        <v>2.8986999999999998</v>
      </c>
      <c r="E814" s="2">
        <f t="shared" si="814"/>
        <v>29.393999999999988</v>
      </c>
      <c r="F814" s="2">
        <f t="shared" si="816"/>
        <v>29.169999999999998</v>
      </c>
      <c r="G814" s="2">
        <f t="shared" si="818"/>
        <v>31.176000000000005</v>
      </c>
      <c r="H814" s="2">
        <f t="shared" si="819"/>
        <v>-2.8597231567860426E-2</v>
      </c>
      <c r="I814" s="2">
        <f t="shared" ref="I814:J814" si="861">LN(C813)-LN(C812)</f>
        <v>-2.8050579554333765E-2</v>
      </c>
      <c r="J814" s="2">
        <f t="shared" si="861"/>
        <v>-4.2593930919888834E-2</v>
      </c>
    </row>
    <row r="815" spans="1:10" x14ac:dyDescent="0.45">
      <c r="A815" s="1">
        <v>41369</v>
      </c>
      <c r="B815">
        <v>92.7</v>
      </c>
      <c r="C815">
        <v>2.9098000000000002</v>
      </c>
      <c r="D815">
        <v>2.8635999999999999</v>
      </c>
      <c r="E815" s="2">
        <f t="shared" si="814"/>
        <v>28.218</v>
      </c>
      <c r="F815" s="2">
        <f t="shared" si="816"/>
        <v>29.393999999999988</v>
      </c>
      <c r="G815" s="2">
        <f t="shared" si="818"/>
        <v>29.169999999999998</v>
      </c>
      <c r="H815" s="2">
        <f t="shared" si="819"/>
        <v>-1.2679302567343953E-2</v>
      </c>
      <c r="I815" s="2">
        <f t="shared" ref="I815:J815" si="862">LN(C814)-LN(C813)</f>
        <v>-1.2873987650905416E-2</v>
      </c>
      <c r="J815" s="2">
        <f t="shared" si="862"/>
        <v>-5.2643471483153625E-3</v>
      </c>
    </row>
    <row r="816" spans="1:10" x14ac:dyDescent="0.45">
      <c r="A816" s="1">
        <v>41372</v>
      </c>
      <c r="B816">
        <v>93.36</v>
      </c>
      <c r="C816">
        <v>2.9537</v>
      </c>
      <c r="D816">
        <v>2.9093</v>
      </c>
      <c r="E816" s="2">
        <f t="shared" si="814"/>
        <v>29.452200000000005</v>
      </c>
      <c r="F816" s="2">
        <f t="shared" si="816"/>
        <v>28.218</v>
      </c>
      <c r="G816" s="2">
        <f t="shared" si="818"/>
        <v>29.393999999999988</v>
      </c>
      <c r="H816" s="2">
        <f t="shared" si="819"/>
        <v>-6.0228188083657486E-3</v>
      </c>
      <c r="I816" s="2">
        <f t="shared" ref="I816:J816" si="863">LN(C815)-LN(C814)</f>
        <v>-1.8320395261213429E-2</v>
      </c>
      <c r="J816" s="2">
        <f t="shared" si="863"/>
        <v>-1.2182786084804942E-2</v>
      </c>
    </row>
    <row r="817" spans="1:10" x14ac:dyDescent="0.45">
      <c r="A817" s="1">
        <v>41373</v>
      </c>
      <c r="B817">
        <v>94.2</v>
      </c>
      <c r="C817">
        <v>2.9613</v>
      </c>
      <c r="D817">
        <v>2.9424000000000001</v>
      </c>
      <c r="E817" s="2">
        <f t="shared" si="814"/>
        <v>29.645399999999995</v>
      </c>
      <c r="F817" s="2">
        <f t="shared" si="816"/>
        <v>29.452200000000005</v>
      </c>
      <c r="G817" s="2">
        <f t="shared" si="818"/>
        <v>28.218</v>
      </c>
      <c r="H817" s="2">
        <f t="shared" si="819"/>
        <v>7.0945154064911975E-3</v>
      </c>
      <c r="I817" s="2">
        <f t="shared" ref="I817:J817" si="864">LN(C816)-LN(C815)</f>
        <v>1.49742714421921E-2</v>
      </c>
      <c r="J817" s="2">
        <f t="shared" si="864"/>
        <v>1.5832927878579151E-2</v>
      </c>
    </row>
    <row r="818" spans="1:10" x14ac:dyDescent="0.45">
      <c r="A818" s="1">
        <v>41374</v>
      </c>
      <c r="B818">
        <v>94.64</v>
      </c>
      <c r="C818">
        <v>2.9479000000000002</v>
      </c>
      <c r="D818">
        <v>2.8651</v>
      </c>
      <c r="E818" s="2">
        <f t="shared" si="814"/>
        <v>26.853399999999983</v>
      </c>
      <c r="F818" s="2">
        <f t="shared" si="816"/>
        <v>29.645399999999995</v>
      </c>
      <c r="G818" s="2">
        <f t="shared" si="818"/>
        <v>29.452200000000005</v>
      </c>
      <c r="H818" s="2">
        <f t="shared" si="819"/>
        <v>8.957193604016922E-3</v>
      </c>
      <c r="I818" s="2">
        <f t="shared" ref="I818:J818" si="865">LN(C817)-LN(C816)</f>
        <v>2.5697393684716019E-3</v>
      </c>
      <c r="J818" s="2">
        <f t="shared" si="865"/>
        <v>1.1313072449447681E-2</v>
      </c>
    </row>
    <row r="819" spans="1:10" x14ac:dyDescent="0.45">
      <c r="A819" s="1">
        <v>41375</v>
      </c>
      <c r="B819">
        <v>93.51</v>
      </c>
      <c r="C819">
        <v>2.8990999999999998</v>
      </c>
      <c r="D819">
        <v>2.831</v>
      </c>
      <c r="E819" s="2">
        <f t="shared" si="814"/>
        <v>26.345399999999984</v>
      </c>
      <c r="F819" s="2">
        <f t="shared" si="816"/>
        <v>26.853399999999983</v>
      </c>
      <c r="G819" s="2">
        <f t="shared" si="818"/>
        <v>29.645399999999995</v>
      </c>
      <c r="H819" s="2">
        <f t="shared" si="819"/>
        <v>4.6600380878141223E-3</v>
      </c>
      <c r="I819" s="2">
        <f t="shared" ref="I819:J819" si="866">LN(C818)-LN(C817)</f>
        <v>-4.5353086606432225E-3</v>
      </c>
      <c r="J819" s="2">
        <f t="shared" si="866"/>
        <v>-2.6622321296386087E-2</v>
      </c>
    </row>
    <row r="820" spans="1:10" x14ac:dyDescent="0.45">
      <c r="A820" s="1">
        <v>41376</v>
      </c>
      <c r="B820">
        <v>91.29</v>
      </c>
      <c r="C820">
        <v>2.8717999999999999</v>
      </c>
      <c r="D820">
        <v>2.8018000000000001</v>
      </c>
      <c r="E820" s="2">
        <f t="shared" si="814"/>
        <v>27.365600000000011</v>
      </c>
      <c r="F820" s="2">
        <f t="shared" si="816"/>
        <v>26.345399999999984</v>
      </c>
      <c r="G820" s="2">
        <f t="shared" si="818"/>
        <v>26.853399999999983</v>
      </c>
      <c r="H820" s="2">
        <f t="shared" si="819"/>
        <v>-1.2011837222775767E-2</v>
      </c>
      <c r="I820" s="2">
        <f t="shared" ref="I820:J820" si="867">LN(C819)-LN(C818)</f>
        <v>-1.6692708451251592E-2</v>
      </c>
      <c r="J820" s="2">
        <f t="shared" si="867"/>
        <v>-1.1973247441770862E-2</v>
      </c>
    </row>
    <row r="821" spans="1:10" x14ac:dyDescent="0.45">
      <c r="A821" s="1">
        <v>41379</v>
      </c>
      <c r="B821">
        <v>88.71</v>
      </c>
      <c r="C821">
        <v>2.8292000000000002</v>
      </c>
      <c r="D821">
        <v>2.7576000000000001</v>
      </c>
      <c r="E821" s="2">
        <f t="shared" si="814"/>
        <v>28.111599999999992</v>
      </c>
      <c r="F821" s="2">
        <f t="shared" si="816"/>
        <v>27.365600000000011</v>
      </c>
      <c r="G821" s="2">
        <f t="shared" si="818"/>
        <v>26.345399999999984</v>
      </c>
      <c r="H821" s="2">
        <f t="shared" si="819"/>
        <v>-2.4027129870366259E-2</v>
      </c>
      <c r="I821" s="2">
        <f t="shared" ref="I821:J821" si="868">LN(C820)-LN(C819)</f>
        <v>-9.4613331197808126E-3</v>
      </c>
      <c r="J821" s="2">
        <f t="shared" si="868"/>
        <v>-1.036793834988603E-2</v>
      </c>
    </row>
    <row r="822" spans="1:10" x14ac:dyDescent="0.45">
      <c r="A822" s="1">
        <v>41380</v>
      </c>
      <c r="B822">
        <v>88.72</v>
      </c>
      <c r="C822">
        <v>2.8065000000000002</v>
      </c>
      <c r="D822">
        <v>2.7818000000000001</v>
      </c>
      <c r="E822" s="2">
        <f t="shared" si="814"/>
        <v>28.461400000000008</v>
      </c>
      <c r="F822" s="2">
        <f t="shared" si="816"/>
        <v>28.111599999999992</v>
      </c>
      <c r="G822" s="2">
        <f t="shared" si="818"/>
        <v>27.365600000000011</v>
      </c>
      <c r="H822" s="2">
        <f t="shared" si="819"/>
        <v>-2.8668630044493604E-2</v>
      </c>
      <c r="I822" s="2">
        <f t="shared" ref="I822:J822" si="869">LN(C821)-LN(C820)</f>
        <v>-1.49450246984415E-2</v>
      </c>
      <c r="J822" s="2">
        <f t="shared" si="869"/>
        <v>-1.5901331559358134E-2</v>
      </c>
    </row>
    <row r="823" spans="1:10" x14ac:dyDescent="0.45">
      <c r="A823" s="1">
        <v>41381</v>
      </c>
      <c r="B823">
        <v>86.68</v>
      </c>
      <c r="C823">
        <v>2.7345999999999999</v>
      </c>
      <c r="D823">
        <v>2.7204999999999999</v>
      </c>
      <c r="E823" s="2">
        <f t="shared" si="814"/>
        <v>27.778399999999994</v>
      </c>
      <c r="F823" s="2">
        <f t="shared" si="816"/>
        <v>28.461400000000008</v>
      </c>
      <c r="G823" s="2">
        <f t="shared" si="818"/>
        <v>28.111599999999992</v>
      </c>
      <c r="H823" s="2">
        <f t="shared" si="819"/>
        <v>1.1272050961608215E-4</v>
      </c>
      <c r="I823" s="2">
        <f t="shared" ref="I823:J823" si="870">LN(C822)-LN(C821)</f>
        <v>-8.0558307795808304E-3</v>
      </c>
      <c r="J823" s="2">
        <f t="shared" si="870"/>
        <v>8.7374639703743373E-3</v>
      </c>
    </row>
    <row r="824" spans="1:10" x14ac:dyDescent="0.45">
      <c r="A824" s="1">
        <v>41382</v>
      </c>
      <c r="B824">
        <v>88</v>
      </c>
      <c r="C824">
        <v>2.7791000000000001</v>
      </c>
      <c r="D824">
        <v>2.7483</v>
      </c>
      <c r="E824" s="2">
        <f t="shared" si="814"/>
        <v>27.859800000000007</v>
      </c>
      <c r="F824" s="2">
        <f t="shared" si="816"/>
        <v>27.778399999999994</v>
      </c>
      <c r="G824" s="2">
        <f t="shared" si="818"/>
        <v>28.461400000000008</v>
      </c>
      <c r="H824" s="2">
        <f t="shared" si="819"/>
        <v>-2.3262166373953619E-2</v>
      </c>
      <c r="I824" s="2">
        <f t="shared" ref="I824:J824" si="871">LN(C823)-LN(C822)</f>
        <v>-2.5952982507272848E-2</v>
      </c>
      <c r="J824" s="2">
        <f t="shared" si="871"/>
        <v>-2.2282513247049884E-2</v>
      </c>
    </row>
    <row r="825" spans="1:10" x14ac:dyDescent="0.45">
      <c r="A825" s="1">
        <v>41383</v>
      </c>
      <c r="B825">
        <v>88.27</v>
      </c>
      <c r="C825">
        <v>2.7757000000000001</v>
      </c>
      <c r="D825">
        <v>2.7614000000000001</v>
      </c>
      <c r="E825" s="2">
        <f t="shared" si="814"/>
        <v>27.90900000000001</v>
      </c>
      <c r="F825" s="2">
        <f t="shared" si="816"/>
        <v>27.859800000000007</v>
      </c>
      <c r="G825" s="2">
        <f t="shared" si="818"/>
        <v>27.778399999999994</v>
      </c>
      <c r="H825" s="2">
        <f t="shared" si="819"/>
        <v>1.5113637810048708E-2</v>
      </c>
      <c r="I825" s="2">
        <f t="shared" ref="I825:J825" si="872">LN(C824)-LN(C823)</f>
        <v>1.6141961387074577E-2</v>
      </c>
      <c r="J825" s="2">
        <f t="shared" si="872"/>
        <v>1.0166851763292684E-2</v>
      </c>
    </row>
    <row r="826" spans="1:10" x14ac:dyDescent="0.45">
      <c r="A826" s="1">
        <v>41386</v>
      </c>
      <c r="B826">
        <v>89.19</v>
      </c>
      <c r="C826">
        <v>2.7953999999999999</v>
      </c>
      <c r="D826">
        <v>2.7614999999999998</v>
      </c>
      <c r="E826" s="2">
        <f t="shared" si="814"/>
        <v>27.267599999999998</v>
      </c>
      <c r="F826" s="2">
        <f t="shared" si="816"/>
        <v>27.90900000000001</v>
      </c>
      <c r="G826" s="2">
        <f t="shared" si="818"/>
        <v>27.859800000000007</v>
      </c>
      <c r="H826" s="2">
        <f t="shared" si="819"/>
        <v>3.0634845539347921E-3</v>
      </c>
      <c r="I826" s="2">
        <f t="shared" ref="I826:J826" si="873">LN(C825)-LN(C824)</f>
        <v>-1.2241666395187423E-3</v>
      </c>
      <c r="J826" s="2">
        <f t="shared" si="873"/>
        <v>4.7552587927792711E-3</v>
      </c>
    </row>
    <row r="827" spans="1:10" x14ac:dyDescent="0.45">
      <c r="A827" s="1">
        <v>41387</v>
      </c>
      <c r="B827">
        <v>89.18</v>
      </c>
      <c r="C827">
        <v>2.798</v>
      </c>
      <c r="D827">
        <v>2.7166999999999999</v>
      </c>
      <c r="E827" s="2">
        <f t="shared" si="814"/>
        <v>26.059599999999989</v>
      </c>
      <c r="F827" s="2">
        <f t="shared" si="816"/>
        <v>27.267599999999998</v>
      </c>
      <c r="G827" s="2">
        <f t="shared" si="818"/>
        <v>27.90900000000001</v>
      </c>
      <c r="H827" s="2">
        <f t="shared" si="819"/>
        <v>1.0368626645973933E-2</v>
      </c>
      <c r="I827" s="2">
        <f t="shared" ref="I827:J827" si="874">LN(C826)-LN(C825)</f>
        <v>7.0722414282688995E-3</v>
      </c>
      <c r="J827" s="2">
        <f t="shared" si="874"/>
        <v>3.6212859190198898E-5</v>
      </c>
    </row>
    <row r="828" spans="1:10" x14ac:dyDescent="0.45">
      <c r="A828" s="1">
        <v>41388</v>
      </c>
      <c r="B828">
        <v>91.43</v>
      </c>
      <c r="C828">
        <v>2.8277000000000001</v>
      </c>
      <c r="D828">
        <v>2.7517999999999998</v>
      </c>
      <c r="E828" s="2">
        <f t="shared" si="814"/>
        <v>25.208199999999994</v>
      </c>
      <c r="F828" s="2">
        <f t="shared" si="816"/>
        <v>26.059599999999989</v>
      </c>
      <c r="G828" s="2">
        <f t="shared" si="818"/>
        <v>27.267599999999998</v>
      </c>
      <c r="H828" s="2">
        <f t="shared" si="819"/>
        <v>-1.1212647878533488E-4</v>
      </c>
      <c r="I828" s="2">
        <f t="shared" ref="I828:J828" si="875">LN(C827)-LN(C826)</f>
        <v>9.2966717462061865E-4</v>
      </c>
      <c r="J828" s="2">
        <f t="shared" si="875"/>
        <v>-1.6356101911068288E-2</v>
      </c>
    </row>
    <row r="829" spans="1:10" x14ac:dyDescent="0.45">
      <c r="A829" s="1">
        <v>41389</v>
      </c>
      <c r="B829">
        <v>93.64</v>
      </c>
      <c r="C829">
        <v>2.8797999999999999</v>
      </c>
      <c r="D829">
        <v>2.8106</v>
      </c>
      <c r="E829" s="2">
        <f t="shared" si="814"/>
        <v>25.373999999999985</v>
      </c>
      <c r="F829" s="2">
        <f t="shared" si="816"/>
        <v>25.208199999999994</v>
      </c>
      <c r="G829" s="2">
        <f t="shared" si="818"/>
        <v>26.059599999999989</v>
      </c>
      <c r="H829" s="2">
        <f t="shared" si="819"/>
        <v>2.4916852977004744E-2</v>
      </c>
      <c r="I829" s="2">
        <f t="shared" ref="I829:J829" si="876">LN(C828)-LN(C827)</f>
        <v>1.05587841271646E-2</v>
      </c>
      <c r="J829" s="2">
        <f t="shared" si="876"/>
        <v>1.2837334563542191E-2</v>
      </c>
    </row>
    <row r="830" spans="1:10" x14ac:dyDescent="0.45">
      <c r="A830" s="1">
        <v>41390</v>
      </c>
      <c r="B830">
        <v>93</v>
      </c>
      <c r="C830">
        <v>2.8660999999999999</v>
      </c>
      <c r="D830">
        <v>2.8273000000000001</v>
      </c>
      <c r="E830" s="2">
        <f t="shared" si="814"/>
        <v>26.289799999999996</v>
      </c>
      <c r="F830" s="2">
        <f t="shared" si="816"/>
        <v>25.373999999999985</v>
      </c>
      <c r="G830" s="2">
        <f t="shared" si="818"/>
        <v>25.208199999999994</v>
      </c>
      <c r="H830" s="2">
        <f t="shared" si="819"/>
        <v>2.3883990446375236E-2</v>
      </c>
      <c r="I830" s="2">
        <f t="shared" ref="I830:J830" si="877">LN(C829)-LN(C828)</f>
        <v>1.825718692157885E-2</v>
      </c>
      <c r="J830" s="2">
        <f t="shared" si="877"/>
        <v>2.1142740672928539E-2</v>
      </c>
    </row>
    <row r="831" spans="1:10" x14ac:dyDescent="0.45">
      <c r="A831" s="1">
        <v>41393</v>
      </c>
      <c r="B831">
        <v>94.5</v>
      </c>
      <c r="C831">
        <v>2.8668</v>
      </c>
      <c r="D831">
        <v>2.8220000000000001</v>
      </c>
      <c r="E831" s="2">
        <f t="shared" si="814"/>
        <v>24.651199999999999</v>
      </c>
      <c r="F831" s="2">
        <f t="shared" si="816"/>
        <v>26.289799999999996</v>
      </c>
      <c r="G831" s="2">
        <f t="shared" si="818"/>
        <v>25.373999999999985</v>
      </c>
      <c r="H831" s="2">
        <f t="shared" si="819"/>
        <v>-6.8581494694539558E-3</v>
      </c>
      <c r="I831" s="2">
        <f t="shared" ref="I831:J831" si="878">LN(C830)-LN(C829)</f>
        <v>-4.7686266594482163E-3</v>
      </c>
      <c r="J831" s="2">
        <f t="shared" si="878"/>
        <v>5.9242089580360258E-3</v>
      </c>
    </row>
    <row r="832" spans="1:10" x14ac:dyDescent="0.45">
      <c r="A832" s="1">
        <v>41394</v>
      </c>
      <c r="B832">
        <v>93.46</v>
      </c>
      <c r="C832">
        <v>2.8395999999999999</v>
      </c>
      <c r="D832">
        <v>2.802</v>
      </c>
      <c r="E832" s="2">
        <f t="shared" si="814"/>
        <v>24.750399999999996</v>
      </c>
      <c r="F832" s="2">
        <f t="shared" si="816"/>
        <v>24.651199999999999</v>
      </c>
      <c r="G832" s="2">
        <f t="shared" si="818"/>
        <v>26.289799999999996</v>
      </c>
      <c r="H832" s="2">
        <f t="shared" si="819"/>
        <v>1.6000341346440905E-2</v>
      </c>
      <c r="I832" s="2">
        <f t="shared" ref="I832:J832" si="879">LN(C831)-LN(C830)</f>
        <v>2.442045050423669E-4</v>
      </c>
      <c r="J832" s="2">
        <f t="shared" si="879"/>
        <v>-1.8763392119212075E-3</v>
      </c>
    </row>
    <row r="833" spans="1:10" x14ac:dyDescent="0.45">
      <c r="A833" s="1">
        <v>41395</v>
      </c>
      <c r="B833">
        <v>91.03</v>
      </c>
      <c r="C833">
        <v>2.7888999999999999</v>
      </c>
      <c r="D833">
        <v>2.7193000000000001</v>
      </c>
      <c r="E833" s="2">
        <f t="shared" si="814"/>
        <v>24.15499999999999</v>
      </c>
      <c r="F833" s="2">
        <f t="shared" si="816"/>
        <v>24.750399999999996</v>
      </c>
      <c r="G833" s="2">
        <f t="shared" si="818"/>
        <v>24.651199999999999</v>
      </c>
      <c r="H833" s="2">
        <f t="shared" si="819"/>
        <v>-1.1066297227417365E-2</v>
      </c>
      <c r="I833" s="2">
        <f t="shared" ref="I833:J833" si="880">LN(C832)-LN(C831)</f>
        <v>-9.5332279545334853E-3</v>
      </c>
      <c r="J833" s="2">
        <f t="shared" si="880"/>
        <v>-7.1124055158071631E-3</v>
      </c>
    </row>
    <row r="834" spans="1:10" x14ac:dyDescent="0.45">
      <c r="A834" s="1">
        <v>41396</v>
      </c>
      <c r="B834">
        <v>93.99</v>
      </c>
      <c r="C834">
        <v>2.8555000000000001</v>
      </c>
      <c r="D834">
        <v>2.7806000000000002</v>
      </c>
      <c r="E834" s="2">
        <f t="shared" si="814"/>
        <v>23.843800000000005</v>
      </c>
      <c r="F834" s="2">
        <f t="shared" si="816"/>
        <v>24.15499999999999</v>
      </c>
      <c r="G834" s="2">
        <f t="shared" si="818"/>
        <v>24.750399999999996</v>
      </c>
      <c r="H834" s="2">
        <f t="shared" si="819"/>
        <v>-2.6344414755082646E-2</v>
      </c>
      <c r="I834" s="2">
        <f t="shared" ref="I834:J834" si="881">LN(C833)-LN(C832)</f>
        <v>-1.8015944325766142E-2</v>
      </c>
      <c r="J834" s="2">
        <f t="shared" si="881"/>
        <v>-2.9958953669036559E-2</v>
      </c>
    </row>
    <row r="835" spans="1:10" x14ac:dyDescent="0.45">
      <c r="A835" s="1">
        <v>41397</v>
      </c>
      <c r="B835">
        <v>95.61</v>
      </c>
      <c r="C835">
        <v>2.8843999999999999</v>
      </c>
      <c r="D835">
        <v>2.8254000000000001</v>
      </c>
      <c r="E835" s="2">
        <f t="shared" ref="E835:E898" si="882">(2*D835*42+1*C835*42-3*B835)/3</f>
        <v>23.882800000000014</v>
      </c>
      <c r="F835" s="2">
        <f t="shared" si="816"/>
        <v>23.843800000000005</v>
      </c>
      <c r="G835" s="2">
        <f t="shared" si="818"/>
        <v>24.15499999999999</v>
      </c>
      <c r="H835" s="2">
        <f t="shared" si="819"/>
        <v>3.1999271115012995E-2</v>
      </c>
      <c r="I835" s="2">
        <f t="shared" ref="I835:J835" si="883">LN(C834)-LN(C833)</f>
        <v>2.3599706265453158E-2</v>
      </c>
      <c r="J835" s="2">
        <f t="shared" si="883"/>
        <v>2.2292237507527402E-2</v>
      </c>
    </row>
    <row r="836" spans="1:10" x14ac:dyDescent="0.45">
      <c r="A836" s="1">
        <v>41400</v>
      </c>
      <c r="B836">
        <v>96.16</v>
      </c>
      <c r="C836">
        <v>2.9201999999999999</v>
      </c>
      <c r="D836">
        <v>2.8656999999999999</v>
      </c>
      <c r="E836" s="2">
        <f t="shared" si="882"/>
        <v>24.962399999999985</v>
      </c>
      <c r="F836" s="2">
        <f t="shared" ref="F836:F899" si="884">E835</f>
        <v>23.882800000000014</v>
      </c>
      <c r="G836" s="2">
        <f t="shared" si="818"/>
        <v>23.843800000000005</v>
      </c>
      <c r="H836" s="2">
        <f t="shared" si="819"/>
        <v>1.7089023465144848E-2</v>
      </c>
      <c r="I836" s="2">
        <f t="shared" ref="I836:J836" si="885">LN(C835)-LN(C834)</f>
        <v>1.0069946937686591E-2</v>
      </c>
      <c r="J836" s="2">
        <f t="shared" si="885"/>
        <v>1.5983215742120915E-2</v>
      </c>
    </row>
    <row r="837" spans="1:10" x14ac:dyDescent="0.45">
      <c r="A837" s="1">
        <v>41401</v>
      </c>
      <c r="B837">
        <v>95.62</v>
      </c>
      <c r="C837">
        <v>2.9277000000000002</v>
      </c>
      <c r="D837">
        <v>2.8334000000000001</v>
      </c>
      <c r="E837" s="2">
        <f t="shared" si="882"/>
        <v>24.703000000000014</v>
      </c>
      <c r="F837" s="2">
        <f t="shared" si="884"/>
        <v>24.962399999999985</v>
      </c>
      <c r="G837" s="2">
        <f t="shared" ref="G837:G900" si="886">E835</f>
        <v>23.882800000000014</v>
      </c>
      <c r="H837" s="2">
        <f t="shared" ref="H837:H900" si="887">LN(B836)-LN(B835)</f>
        <v>5.7360536895423309E-3</v>
      </c>
      <c r="I837" s="2">
        <f t="shared" ref="I837:J837" si="888">LN(C836)-LN(C835)</f>
        <v>1.2335201024859188E-2</v>
      </c>
      <c r="J837" s="2">
        <f t="shared" si="888"/>
        <v>1.4162700925758331E-2</v>
      </c>
    </row>
    <row r="838" spans="1:10" x14ac:dyDescent="0.45">
      <c r="A838" s="1">
        <v>41402</v>
      </c>
      <c r="B838">
        <v>96.62</v>
      </c>
      <c r="C838">
        <v>2.9146999999999998</v>
      </c>
      <c r="D838">
        <v>2.8538000000000001</v>
      </c>
      <c r="E838" s="2">
        <f t="shared" si="882"/>
        <v>24.092199999999991</v>
      </c>
      <c r="F838" s="2">
        <f t="shared" si="884"/>
        <v>24.703000000000014</v>
      </c>
      <c r="G838" s="2">
        <f t="shared" si="886"/>
        <v>24.962399999999985</v>
      </c>
      <c r="H838" s="2">
        <f t="shared" si="887"/>
        <v>-5.6314675889401755E-3</v>
      </c>
      <c r="I838" s="2">
        <f t="shared" ref="I838:J838" si="889">LN(C837)-LN(C836)</f>
        <v>2.5650247480617505E-3</v>
      </c>
      <c r="J838" s="2">
        <f t="shared" si="889"/>
        <v>-1.1335244458071658E-2</v>
      </c>
    </row>
    <row r="839" spans="1:10" x14ac:dyDescent="0.45">
      <c r="A839" s="1">
        <v>41403</v>
      </c>
      <c r="B839">
        <v>96.39</v>
      </c>
      <c r="C839">
        <v>2.9365999999999999</v>
      </c>
      <c r="D839">
        <v>2.8851</v>
      </c>
      <c r="E839" s="2">
        <f t="shared" si="882"/>
        <v>25.505200000000002</v>
      </c>
      <c r="F839" s="2">
        <f t="shared" si="884"/>
        <v>24.092199999999991</v>
      </c>
      <c r="G839" s="2">
        <f t="shared" si="886"/>
        <v>24.703000000000014</v>
      </c>
      <c r="H839" s="2">
        <f t="shared" si="887"/>
        <v>1.0403755928303227E-2</v>
      </c>
      <c r="I839" s="2">
        <f t="shared" ref="I839:J839" si="890">LN(C838)-LN(C837)</f>
        <v>-4.450233279114979E-3</v>
      </c>
      <c r="J839" s="2">
        <f t="shared" si="890"/>
        <v>7.1740355512242004E-3</v>
      </c>
    </row>
    <row r="840" spans="1:10" x14ac:dyDescent="0.45">
      <c r="A840" s="1">
        <v>41404</v>
      </c>
      <c r="B840">
        <v>96.04</v>
      </c>
      <c r="C840">
        <v>2.9062000000000001</v>
      </c>
      <c r="D840">
        <v>2.8603000000000001</v>
      </c>
      <c r="E840" s="2">
        <f t="shared" si="882"/>
        <v>24.735200000000003</v>
      </c>
      <c r="F840" s="2">
        <f t="shared" si="884"/>
        <v>25.505200000000002</v>
      </c>
      <c r="G840" s="2">
        <f t="shared" si="886"/>
        <v>24.092199999999991</v>
      </c>
      <c r="H840" s="2">
        <f t="shared" si="887"/>
        <v>-2.3832973303834493E-3</v>
      </c>
      <c r="I840" s="2">
        <f t="shared" ref="I840:J840" si="891">LN(C839)-LN(C838)</f>
        <v>7.4855509924269814E-3</v>
      </c>
      <c r="J840" s="2">
        <f t="shared" si="891"/>
        <v>1.0908121890070843E-2</v>
      </c>
    </row>
    <row r="841" spans="1:10" x14ac:dyDescent="0.45">
      <c r="A841" s="1">
        <v>41407</v>
      </c>
      <c r="B841">
        <v>95.17</v>
      </c>
      <c r="C841">
        <v>2.891</v>
      </c>
      <c r="D841">
        <v>2.8210000000000002</v>
      </c>
      <c r="E841" s="2">
        <f t="shared" si="882"/>
        <v>24.292000000000012</v>
      </c>
      <c r="F841" s="2">
        <f t="shared" si="884"/>
        <v>24.735200000000003</v>
      </c>
      <c r="G841" s="2">
        <f t="shared" si="886"/>
        <v>25.505200000000002</v>
      </c>
      <c r="H841" s="2">
        <f t="shared" si="887"/>
        <v>-3.6376904428241374E-3</v>
      </c>
      <c r="I841" s="2">
        <f t="shared" ref="I841:J841" si="892">LN(C840)-LN(C839)</f>
        <v>-1.0406063642241614E-2</v>
      </c>
      <c r="J841" s="2">
        <f t="shared" si="892"/>
        <v>-8.6330469688591371E-3</v>
      </c>
    </row>
    <row r="842" spans="1:10" x14ac:dyDescent="0.45">
      <c r="A842" s="1">
        <v>41408</v>
      </c>
      <c r="B842">
        <v>94.21</v>
      </c>
      <c r="C842">
        <v>2.8730000000000002</v>
      </c>
      <c r="D842">
        <v>2.8376000000000001</v>
      </c>
      <c r="E842" s="2">
        <f t="shared" si="882"/>
        <v>25.464800000000007</v>
      </c>
      <c r="F842" s="2">
        <f t="shared" si="884"/>
        <v>24.292000000000012</v>
      </c>
      <c r="G842" s="2">
        <f t="shared" si="886"/>
        <v>24.735200000000003</v>
      </c>
      <c r="H842" s="2">
        <f t="shared" si="887"/>
        <v>-9.100005268800615E-3</v>
      </c>
      <c r="I842" s="2">
        <f t="shared" ref="I842:J842" si="893">LN(C841)-LN(C840)</f>
        <v>-5.2439228702496621E-3</v>
      </c>
      <c r="J842" s="2">
        <f t="shared" si="893"/>
        <v>-1.3835082415690314E-2</v>
      </c>
    </row>
    <row r="843" spans="1:10" x14ac:dyDescent="0.45">
      <c r="A843" s="1">
        <v>41409</v>
      </c>
      <c r="B843">
        <v>94.3</v>
      </c>
      <c r="C843">
        <v>2.8801000000000001</v>
      </c>
      <c r="D843">
        <v>2.867</v>
      </c>
      <c r="E843" s="2">
        <f t="shared" si="882"/>
        <v>26.2974</v>
      </c>
      <c r="F843" s="2">
        <f t="shared" si="884"/>
        <v>25.464800000000007</v>
      </c>
      <c r="G843" s="2">
        <f t="shared" si="886"/>
        <v>24.292000000000012</v>
      </c>
      <c r="H843" s="2">
        <f t="shared" si="887"/>
        <v>-1.0138433023676008E-2</v>
      </c>
      <c r="I843" s="2">
        <f t="shared" ref="I843:J843" si="894">LN(C842)-LN(C841)</f>
        <v>-6.2456830370563043E-3</v>
      </c>
      <c r="J843" s="2">
        <f t="shared" si="894"/>
        <v>5.8671924574158485E-3</v>
      </c>
    </row>
    <row r="844" spans="1:10" x14ac:dyDescent="0.45">
      <c r="A844" s="1">
        <v>41410</v>
      </c>
      <c r="B844">
        <v>95.16</v>
      </c>
      <c r="C844">
        <v>2.9087000000000001</v>
      </c>
      <c r="D844">
        <v>2.8822000000000001</v>
      </c>
      <c r="E844" s="2">
        <f t="shared" si="882"/>
        <v>26.263400000000008</v>
      </c>
      <c r="F844" s="2">
        <f t="shared" si="884"/>
        <v>26.2974</v>
      </c>
      <c r="G844" s="2">
        <f t="shared" si="886"/>
        <v>25.464800000000007</v>
      </c>
      <c r="H844" s="2">
        <f t="shared" si="887"/>
        <v>9.5485657883553898E-4</v>
      </c>
      <c r="I844" s="2">
        <f t="shared" ref="I844:J844" si="895">LN(C843)-LN(C842)</f>
        <v>2.468235770121785E-3</v>
      </c>
      <c r="J844" s="2">
        <f t="shared" si="895"/>
        <v>1.0307562423957695E-2</v>
      </c>
    </row>
    <row r="845" spans="1:10" x14ac:dyDescent="0.45">
      <c r="A845" s="1">
        <v>41411</v>
      </c>
      <c r="B845">
        <v>96.02</v>
      </c>
      <c r="C845">
        <v>2.9369999999999998</v>
      </c>
      <c r="D845">
        <v>2.9068999999999998</v>
      </c>
      <c r="E845" s="2">
        <f t="shared" si="882"/>
        <v>26.491199999999992</v>
      </c>
      <c r="F845" s="2">
        <f t="shared" si="884"/>
        <v>26.263400000000008</v>
      </c>
      <c r="G845" s="2">
        <f t="shared" si="886"/>
        <v>26.2974</v>
      </c>
      <c r="H845" s="2">
        <f t="shared" si="887"/>
        <v>9.0784957953449208E-3</v>
      </c>
      <c r="I845" s="2">
        <f t="shared" ref="I845:J845" si="896">LN(C844)-LN(C843)</f>
        <v>9.8812302049524625E-3</v>
      </c>
      <c r="J845" s="2">
        <f t="shared" si="896"/>
        <v>5.2877045208914453E-3</v>
      </c>
    </row>
    <row r="846" spans="1:10" x14ac:dyDescent="0.45">
      <c r="A846" s="1">
        <v>41414</v>
      </c>
      <c r="B846">
        <v>96.93</v>
      </c>
      <c r="C846">
        <v>2.9508000000000001</v>
      </c>
      <c r="D846">
        <v>2.9056000000000002</v>
      </c>
      <c r="E846" s="2">
        <f t="shared" si="882"/>
        <v>25.738</v>
      </c>
      <c r="F846" s="2">
        <f t="shared" si="884"/>
        <v>26.491199999999992</v>
      </c>
      <c r="G846" s="2">
        <f t="shared" si="886"/>
        <v>26.263400000000008</v>
      </c>
      <c r="H846" s="2">
        <f t="shared" si="887"/>
        <v>8.9968176680379486E-3</v>
      </c>
      <c r="I846" s="2">
        <f t="shared" ref="I846:J846" si="897">LN(C845)-LN(C844)</f>
        <v>9.6824062442562031E-3</v>
      </c>
      <c r="J846" s="2">
        <f t="shared" si="897"/>
        <v>8.5333298381282674E-3</v>
      </c>
    </row>
    <row r="847" spans="1:10" x14ac:dyDescent="0.45">
      <c r="A847" s="1">
        <v>41415</v>
      </c>
      <c r="B847">
        <v>96.18</v>
      </c>
      <c r="C847">
        <v>2.9192999999999998</v>
      </c>
      <c r="D847">
        <v>2.8378999999999999</v>
      </c>
      <c r="E847" s="2">
        <f t="shared" si="882"/>
        <v>24.151399999999985</v>
      </c>
      <c r="F847" s="2">
        <f t="shared" si="884"/>
        <v>25.738</v>
      </c>
      <c r="G847" s="2">
        <f t="shared" si="886"/>
        <v>26.491199999999992</v>
      </c>
      <c r="H847" s="2">
        <f t="shared" si="887"/>
        <v>9.4325654017222149E-3</v>
      </c>
      <c r="I847" s="2">
        <f t="shared" ref="I847:J847" si="898">LN(C846)-LN(C845)</f>
        <v>4.6876678115270742E-3</v>
      </c>
      <c r="J847" s="2">
        <f t="shared" si="898"/>
        <v>-4.473118354153538E-4</v>
      </c>
    </row>
    <row r="848" spans="1:10" x14ac:dyDescent="0.45">
      <c r="A848" s="1">
        <v>41416</v>
      </c>
      <c r="B848">
        <v>94.28</v>
      </c>
      <c r="C848">
        <v>2.8687</v>
      </c>
      <c r="D848">
        <v>2.8121999999999998</v>
      </c>
      <c r="E848" s="2">
        <f t="shared" si="882"/>
        <v>24.623399999999986</v>
      </c>
      <c r="F848" s="2">
        <f t="shared" si="884"/>
        <v>24.151399999999985</v>
      </c>
      <c r="G848" s="2">
        <f t="shared" si="886"/>
        <v>25.738</v>
      </c>
      <c r="H848" s="2">
        <f t="shared" si="887"/>
        <v>-7.7676326549998009E-3</v>
      </c>
      <c r="I848" s="2">
        <f t="shared" ref="I848:J848" si="899">LN(C847)-LN(C846)</f>
        <v>-1.0732458514094212E-2</v>
      </c>
      <c r="J848" s="2">
        <f t="shared" si="899"/>
        <v>-2.3575567389539254E-2</v>
      </c>
    </row>
    <row r="849" spans="1:10" x14ac:dyDescent="0.45">
      <c r="A849" s="1">
        <v>41417</v>
      </c>
      <c r="B849">
        <v>94.25</v>
      </c>
      <c r="C849">
        <v>2.8565</v>
      </c>
      <c r="D849">
        <v>2.8180999999999998</v>
      </c>
      <c r="E849" s="2">
        <f t="shared" si="882"/>
        <v>24.6478</v>
      </c>
      <c r="F849" s="2">
        <f t="shared" si="884"/>
        <v>24.623399999999986</v>
      </c>
      <c r="G849" s="2">
        <f t="shared" si="886"/>
        <v>24.151399999999985</v>
      </c>
      <c r="H849" s="2">
        <f t="shared" si="887"/>
        <v>-1.9952357781586549E-2</v>
      </c>
      <c r="I849" s="2">
        <f t="shared" ref="I849:J849" si="900">LN(C848)-LN(C847)</f>
        <v>-1.748489603298764E-2</v>
      </c>
      <c r="J849" s="2">
        <f t="shared" si="900"/>
        <v>-9.0972468607195545E-3</v>
      </c>
    </row>
    <row r="850" spans="1:10" x14ac:dyDescent="0.45">
      <c r="A850" s="1">
        <v>41418</v>
      </c>
      <c r="B850">
        <v>94.15</v>
      </c>
      <c r="C850">
        <v>2.8544</v>
      </c>
      <c r="D850">
        <v>2.8281000000000001</v>
      </c>
      <c r="E850" s="2">
        <f t="shared" si="882"/>
        <v>24.998399999999986</v>
      </c>
      <c r="F850" s="2">
        <f t="shared" si="884"/>
        <v>24.6478</v>
      </c>
      <c r="G850" s="2">
        <f t="shared" si="886"/>
        <v>24.623399999999986</v>
      </c>
      <c r="H850" s="2">
        <f t="shared" si="887"/>
        <v>-3.1825173981037125E-4</v>
      </c>
      <c r="I850" s="2">
        <f t="shared" ref="I850:J850" si="901">LN(C849)-LN(C848)</f>
        <v>-4.2618662985480782E-3</v>
      </c>
      <c r="J850" s="2">
        <f t="shared" si="901"/>
        <v>2.0958038326885919E-3</v>
      </c>
    </row>
    <row r="851" spans="1:10" x14ac:dyDescent="0.45">
      <c r="A851" s="1">
        <v>41422</v>
      </c>
      <c r="B851">
        <v>95.01</v>
      </c>
      <c r="C851">
        <v>2.9039999999999999</v>
      </c>
      <c r="D851">
        <v>2.8454000000000002</v>
      </c>
      <c r="E851" s="2">
        <f t="shared" si="882"/>
        <v>25.317199999999996</v>
      </c>
      <c r="F851" s="2">
        <f t="shared" si="884"/>
        <v>24.998399999999986</v>
      </c>
      <c r="G851" s="2">
        <f t="shared" si="886"/>
        <v>24.6478</v>
      </c>
      <c r="H851" s="2">
        <f t="shared" si="887"/>
        <v>-1.0615712249588682E-3</v>
      </c>
      <c r="I851" s="2">
        <f t="shared" ref="I851:J851" si="902">LN(C850)-LN(C849)</f>
        <v>-7.3543577882695388E-4</v>
      </c>
      <c r="J851" s="2">
        <f t="shared" si="902"/>
        <v>3.5422090808103768E-3</v>
      </c>
    </row>
    <row r="852" spans="1:10" x14ac:dyDescent="0.45">
      <c r="A852" s="1">
        <v>41423</v>
      </c>
      <c r="B852">
        <v>93.13</v>
      </c>
      <c r="C852">
        <v>2.8647999999999998</v>
      </c>
      <c r="D852">
        <v>2.798</v>
      </c>
      <c r="E852" s="2">
        <f t="shared" si="882"/>
        <v>25.321200000000015</v>
      </c>
      <c r="F852" s="2">
        <f t="shared" si="884"/>
        <v>25.317199999999996</v>
      </c>
      <c r="G852" s="2">
        <f t="shared" si="886"/>
        <v>24.998399999999986</v>
      </c>
      <c r="H852" s="2">
        <f t="shared" si="887"/>
        <v>9.0928941154970744E-3</v>
      </c>
      <c r="I852" s="2">
        <f t="shared" ref="I852:J852" si="903">LN(C851)-LN(C850)</f>
        <v>1.7227433558996363E-2</v>
      </c>
      <c r="J852" s="2">
        <f t="shared" si="903"/>
        <v>6.0985471468524288E-3</v>
      </c>
    </row>
    <row r="853" spans="1:10" x14ac:dyDescent="0.45">
      <c r="A853" s="1">
        <v>41424</v>
      </c>
      <c r="B853">
        <v>93.61</v>
      </c>
      <c r="C853">
        <v>2.8441999999999998</v>
      </c>
      <c r="D853">
        <v>2.8073000000000001</v>
      </c>
      <c r="E853" s="2">
        <f t="shared" si="882"/>
        <v>24.813200000000013</v>
      </c>
      <c r="F853" s="2">
        <f t="shared" si="884"/>
        <v>25.321200000000015</v>
      </c>
      <c r="G853" s="2">
        <f t="shared" si="886"/>
        <v>25.317199999999996</v>
      </c>
      <c r="H853" s="2">
        <f t="shared" si="887"/>
        <v>-1.9985782685091991E-2</v>
      </c>
      <c r="I853" s="2">
        <f t="shared" ref="I853:J853" si="904">LN(C852)-LN(C851)</f>
        <v>-1.3590557260463765E-2</v>
      </c>
      <c r="J853" s="2">
        <f t="shared" si="904"/>
        <v>-1.6798778991640173E-2</v>
      </c>
    </row>
    <row r="854" spans="1:10" x14ac:dyDescent="0.45">
      <c r="A854" s="1">
        <v>41425</v>
      </c>
      <c r="B854">
        <v>91.97</v>
      </c>
      <c r="C854">
        <v>2.7814000000000001</v>
      </c>
      <c r="D854">
        <v>2.7549000000000001</v>
      </c>
      <c r="E854" s="2">
        <f t="shared" si="882"/>
        <v>24.106800000000021</v>
      </c>
      <c r="F854" s="2">
        <f t="shared" si="884"/>
        <v>24.813200000000013</v>
      </c>
      <c r="G854" s="2">
        <f t="shared" si="886"/>
        <v>25.321200000000015</v>
      </c>
      <c r="H854" s="2">
        <f t="shared" si="887"/>
        <v>5.140848850087032E-3</v>
      </c>
      <c r="I854" s="2">
        <f t="shared" ref="I854:J854" si="905">LN(C853)-LN(C852)</f>
        <v>-7.2167067456270217E-3</v>
      </c>
      <c r="J854" s="2">
        <f t="shared" si="905"/>
        <v>3.3182910936315757E-3</v>
      </c>
    </row>
    <row r="855" spans="1:10" x14ac:dyDescent="0.45">
      <c r="A855" s="1">
        <v>41428</v>
      </c>
      <c r="B855">
        <v>93.45</v>
      </c>
      <c r="C855">
        <v>2.8334000000000001</v>
      </c>
      <c r="D855">
        <v>2.7850999999999999</v>
      </c>
      <c r="E855" s="2">
        <f t="shared" si="882"/>
        <v>24.200399999999984</v>
      </c>
      <c r="F855" s="2">
        <f t="shared" si="884"/>
        <v>24.106800000000021</v>
      </c>
      <c r="G855" s="2">
        <f t="shared" si="886"/>
        <v>24.813200000000013</v>
      </c>
      <c r="H855" s="2">
        <f t="shared" si="887"/>
        <v>-1.767477846904697E-2</v>
      </c>
      <c r="I855" s="2">
        <f t="shared" ref="I855:J855" si="906">LN(C854)-LN(C853)</f>
        <v>-2.2327434894085396E-2</v>
      </c>
      <c r="J855" s="2">
        <f t="shared" si="906"/>
        <v>-1.8842023031471866E-2</v>
      </c>
    </row>
    <row r="856" spans="1:10" x14ac:dyDescent="0.45">
      <c r="A856" s="1">
        <v>41429</v>
      </c>
      <c r="B856">
        <v>93.31</v>
      </c>
      <c r="C856">
        <v>2.8649</v>
      </c>
      <c r="D856">
        <v>2.8182</v>
      </c>
      <c r="E856" s="2">
        <f t="shared" si="882"/>
        <v>25.708199999999994</v>
      </c>
      <c r="F856" s="2">
        <f t="shared" si="884"/>
        <v>24.200399999999984</v>
      </c>
      <c r="G856" s="2">
        <f t="shared" si="886"/>
        <v>24.106800000000021</v>
      </c>
      <c r="H856" s="2">
        <f t="shared" si="887"/>
        <v>1.5964096986965437E-2</v>
      </c>
      <c r="I856" s="2">
        <f t="shared" ref="I856:J856" si="907">LN(C855)-LN(C854)</f>
        <v>1.8523005900740186E-2</v>
      </c>
      <c r="J856" s="2">
        <f t="shared" si="907"/>
        <v>1.0902635071898814E-2</v>
      </c>
    </row>
    <row r="857" spans="1:10" x14ac:dyDescent="0.45">
      <c r="A857" s="1">
        <v>41430</v>
      </c>
      <c r="B857">
        <v>93.74</v>
      </c>
      <c r="C857">
        <v>2.8553999999999999</v>
      </c>
      <c r="D857">
        <v>2.823</v>
      </c>
      <c r="E857" s="2">
        <f t="shared" si="882"/>
        <v>25.279600000000016</v>
      </c>
      <c r="F857" s="2">
        <f t="shared" si="884"/>
        <v>25.708199999999994</v>
      </c>
      <c r="G857" s="2">
        <f t="shared" si="886"/>
        <v>24.200399999999984</v>
      </c>
      <c r="H857" s="2">
        <f t="shared" si="887"/>
        <v>-1.499250655641049E-3</v>
      </c>
      <c r="I857" s="2">
        <f t="shared" ref="I857:J857" si="908">LN(C856)-LN(C855)</f>
        <v>1.1056041580468356E-2</v>
      </c>
      <c r="J857" s="2">
        <f t="shared" si="908"/>
        <v>1.1814603901519227E-2</v>
      </c>
    </row>
    <row r="858" spans="1:10" x14ac:dyDescent="0.45">
      <c r="A858" s="1">
        <v>41431</v>
      </c>
      <c r="B858">
        <v>94.76</v>
      </c>
      <c r="C858">
        <v>2.8714</v>
      </c>
      <c r="D858">
        <v>2.8509000000000002</v>
      </c>
      <c r="E858" s="2">
        <f t="shared" si="882"/>
        <v>25.264799999999997</v>
      </c>
      <c r="F858" s="2">
        <f t="shared" si="884"/>
        <v>25.279600000000016</v>
      </c>
      <c r="G858" s="2">
        <f t="shared" si="886"/>
        <v>25.708199999999994</v>
      </c>
      <c r="H858" s="2">
        <f t="shared" si="887"/>
        <v>4.5977092486291227E-3</v>
      </c>
      <c r="I858" s="2">
        <f t="shared" ref="I858:J858" si="909">LN(C857)-LN(C856)</f>
        <v>-3.3215071705992028E-3</v>
      </c>
      <c r="J858" s="2">
        <f t="shared" si="909"/>
        <v>1.7017659924849493E-3</v>
      </c>
    </row>
    <row r="859" spans="1:10" x14ac:dyDescent="0.45">
      <c r="A859" s="1">
        <v>41432</v>
      </c>
      <c r="B859">
        <v>96.03</v>
      </c>
      <c r="C859">
        <v>2.8931</v>
      </c>
      <c r="D859">
        <v>2.8715000000000002</v>
      </c>
      <c r="E859" s="2">
        <f t="shared" si="882"/>
        <v>24.875399999999996</v>
      </c>
      <c r="F859" s="2">
        <f t="shared" si="884"/>
        <v>25.264799999999997</v>
      </c>
      <c r="G859" s="2">
        <f t="shared" si="886"/>
        <v>25.279600000000016</v>
      </c>
      <c r="H859" s="2">
        <f t="shared" si="887"/>
        <v>1.0822386796024652E-2</v>
      </c>
      <c r="I859" s="2">
        <f t="shared" ref="I859:J859" si="910">LN(C858)-LN(C857)</f>
        <v>5.5877773384735985E-3</v>
      </c>
      <c r="J859" s="2">
        <f t="shared" si="910"/>
        <v>9.8345846318901309E-3</v>
      </c>
    </row>
    <row r="860" spans="1:10" x14ac:dyDescent="0.45">
      <c r="A860" s="1">
        <v>41435</v>
      </c>
      <c r="B860">
        <v>95.77</v>
      </c>
      <c r="C860">
        <v>2.8837999999999999</v>
      </c>
      <c r="D860">
        <v>2.8481000000000001</v>
      </c>
      <c r="E860" s="2">
        <f t="shared" si="882"/>
        <v>24.350000000000005</v>
      </c>
      <c r="F860" s="2">
        <f t="shared" si="884"/>
        <v>24.875399999999996</v>
      </c>
      <c r="G860" s="2">
        <f t="shared" si="886"/>
        <v>25.264799999999997</v>
      </c>
      <c r="H860" s="2">
        <f t="shared" si="887"/>
        <v>1.3313263359297167E-2</v>
      </c>
      <c r="I860" s="2">
        <f t="shared" ref="I860:J860" si="911">LN(C859)-LN(C858)</f>
        <v>7.528875879406538E-3</v>
      </c>
      <c r="J860" s="2">
        <f t="shared" si="911"/>
        <v>7.1998074189718597E-3</v>
      </c>
    </row>
    <row r="861" spans="1:10" x14ac:dyDescent="0.45">
      <c r="A861" s="1">
        <v>41436</v>
      </c>
      <c r="B861">
        <v>95.38</v>
      </c>
      <c r="C861">
        <v>2.8574999999999999</v>
      </c>
      <c r="D861">
        <v>2.8231000000000002</v>
      </c>
      <c r="E861" s="2">
        <f t="shared" si="882"/>
        <v>23.671800000000001</v>
      </c>
      <c r="F861" s="2">
        <f t="shared" si="884"/>
        <v>24.350000000000005</v>
      </c>
      <c r="G861" s="2">
        <f t="shared" si="886"/>
        <v>24.875399999999996</v>
      </c>
      <c r="H861" s="2">
        <f t="shared" si="887"/>
        <v>-2.7111591163535564E-3</v>
      </c>
      <c r="I861" s="2">
        <f t="shared" ref="I861:J861" si="912">LN(C860)-LN(C859)</f>
        <v>-3.2197227004533424E-3</v>
      </c>
      <c r="J861" s="2">
        <f t="shared" si="912"/>
        <v>-8.1824360293587528E-3</v>
      </c>
    </row>
    <row r="862" spans="1:10" x14ac:dyDescent="0.45">
      <c r="A862" s="1">
        <v>41437</v>
      </c>
      <c r="B862">
        <v>95.88</v>
      </c>
      <c r="C862">
        <v>2.8952</v>
      </c>
      <c r="D862">
        <v>2.8100999999999998</v>
      </c>
      <c r="E862" s="2">
        <f t="shared" si="882"/>
        <v>23.335599999999999</v>
      </c>
      <c r="F862" s="2">
        <f t="shared" si="884"/>
        <v>23.671800000000001</v>
      </c>
      <c r="G862" s="2">
        <f t="shared" si="886"/>
        <v>24.350000000000005</v>
      </c>
      <c r="H862" s="2">
        <f t="shared" si="887"/>
        <v>-4.0805706634499117E-3</v>
      </c>
      <c r="I862" s="2">
        <f t="shared" ref="I862:J862" si="913">LN(C861)-LN(C860)</f>
        <v>-9.1617522035809529E-3</v>
      </c>
      <c r="J862" s="2">
        <f t="shared" si="913"/>
        <v>-8.8165333403567026E-3</v>
      </c>
    </row>
    <row r="863" spans="1:10" x14ac:dyDescent="0.45">
      <c r="A863" s="1">
        <v>41438</v>
      </c>
      <c r="B863">
        <v>96.69</v>
      </c>
      <c r="C863">
        <v>2.9394999999999998</v>
      </c>
      <c r="D863">
        <v>2.8613</v>
      </c>
      <c r="E863" s="2">
        <f t="shared" si="882"/>
        <v>24.579400000000003</v>
      </c>
      <c r="F863" s="2">
        <f t="shared" si="884"/>
        <v>23.335599999999999</v>
      </c>
      <c r="G863" s="2">
        <f t="shared" si="886"/>
        <v>23.671800000000001</v>
      </c>
      <c r="H863" s="2">
        <f t="shared" si="887"/>
        <v>5.2284966961053669E-3</v>
      </c>
      <c r="I863" s="2">
        <f t="shared" ref="I863:J863" si="914">LN(C862)-LN(C861)</f>
        <v>1.3107076580566979E-2</v>
      </c>
      <c r="J863" s="2">
        <f t="shared" si="914"/>
        <v>-4.6155020514413447E-3</v>
      </c>
    </row>
    <row r="864" spans="1:10" x14ac:dyDescent="0.45">
      <c r="A864" s="1">
        <v>41439</v>
      </c>
      <c r="B864">
        <v>97.85</v>
      </c>
      <c r="C864">
        <v>2.9622000000000002</v>
      </c>
      <c r="D864">
        <v>2.8967000000000001</v>
      </c>
      <c r="E864" s="2">
        <f t="shared" si="882"/>
        <v>24.728400000000022</v>
      </c>
      <c r="F864" s="2">
        <f t="shared" si="884"/>
        <v>24.579400000000003</v>
      </c>
      <c r="G864" s="2">
        <f t="shared" si="886"/>
        <v>23.335599999999999</v>
      </c>
      <c r="H864" s="2">
        <f t="shared" si="887"/>
        <v>8.4125749292729424E-3</v>
      </c>
      <c r="I864" s="2">
        <f t="shared" ref="I864:J864" si="915">LN(C863)-LN(C862)</f>
        <v>1.5185305592776865E-2</v>
      </c>
      <c r="J864" s="2">
        <f t="shared" si="915"/>
        <v>1.8055997110758337E-2</v>
      </c>
    </row>
    <row r="865" spans="1:10" x14ac:dyDescent="0.45">
      <c r="A865" s="1">
        <v>41442</v>
      </c>
      <c r="B865">
        <v>97.77</v>
      </c>
      <c r="C865">
        <v>2.9502999999999999</v>
      </c>
      <c r="D865">
        <v>2.8561000000000001</v>
      </c>
      <c r="E865" s="2">
        <f t="shared" si="882"/>
        <v>23.505000000000013</v>
      </c>
      <c r="F865" s="2">
        <f t="shared" si="884"/>
        <v>24.728400000000022</v>
      </c>
      <c r="G865" s="2">
        <f t="shared" si="886"/>
        <v>24.579400000000003</v>
      </c>
      <c r="H865" s="2">
        <f t="shared" si="887"/>
        <v>1.1925709346628288E-2</v>
      </c>
      <c r="I865" s="2">
        <f t="shared" ref="I865:J865" si="916">LN(C864)-LN(C863)</f>
        <v>7.6927366505628036E-3</v>
      </c>
      <c r="J865" s="2">
        <f t="shared" si="916"/>
        <v>1.2296091011026578E-2</v>
      </c>
    </row>
    <row r="866" spans="1:10" x14ac:dyDescent="0.45">
      <c r="A866" s="1">
        <v>41443</v>
      </c>
      <c r="B866">
        <v>98.67</v>
      </c>
      <c r="C866">
        <v>2.9617</v>
      </c>
      <c r="D866">
        <v>2.8794</v>
      </c>
      <c r="E866" s="2">
        <f t="shared" si="882"/>
        <v>23.416999999999991</v>
      </c>
      <c r="F866" s="2">
        <f t="shared" si="884"/>
        <v>23.505000000000013</v>
      </c>
      <c r="G866" s="2">
        <f t="shared" si="886"/>
        <v>24.728400000000022</v>
      </c>
      <c r="H866" s="2">
        <f t="shared" si="887"/>
        <v>-8.1791232450534324E-4</v>
      </c>
      <c r="I866" s="2">
        <f t="shared" ref="I866:J866" si="917">LN(C865)-LN(C864)</f>
        <v>-4.0253754143300124E-3</v>
      </c>
      <c r="J866" s="2">
        <f t="shared" si="917"/>
        <v>-1.4115100152878091E-2</v>
      </c>
    </row>
    <row r="867" spans="1:10" x14ac:dyDescent="0.45">
      <c r="A867" s="1">
        <v>41444</v>
      </c>
      <c r="B867">
        <v>98.48</v>
      </c>
      <c r="C867">
        <v>2.9725000000000001</v>
      </c>
      <c r="D867">
        <v>2.8923999999999999</v>
      </c>
      <c r="E867" s="2">
        <f t="shared" si="882"/>
        <v>24.122200000000003</v>
      </c>
      <c r="F867" s="2">
        <f t="shared" si="884"/>
        <v>23.416999999999991</v>
      </c>
      <c r="G867" s="2">
        <f t="shared" si="886"/>
        <v>23.505000000000013</v>
      </c>
      <c r="H867" s="2">
        <f t="shared" si="887"/>
        <v>9.1631673514962486E-3</v>
      </c>
      <c r="I867" s="2">
        <f t="shared" ref="I867:J867" si="918">LN(C866)-LN(C865)</f>
        <v>3.8565677027928569E-3</v>
      </c>
      <c r="J867" s="2">
        <f t="shared" si="918"/>
        <v>8.1248812401535364E-3</v>
      </c>
    </row>
    <row r="868" spans="1:10" x14ac:dyDescent="0.45">
      <c r="A868" s="1">
        <v>41445</v>
      </c>
      <c r="B868">
        <v>95.14</v>
      </c>
      <c r="C868">
        <v>2.8730000000000002</v>
      </c>
      <c r="D868">
        <v>2.7774999999999999</v>
      </c>
      <c r="E868" s="2">
        <f t="shared" si="882"/>
        <v>22.851999999999993</v>
      </c>
      <c r="F868" s="2">
        <f t="shared" si="884"/>
        <v>24.122200000000003</v>
      </c>
      <c r="G868" s="2">
        <f t="shared" si="886"/>
        <v>23.416999999999991</v>
      </c>
      <c r="H868" s="2">
        <f t="shared" si="887"/>
        <v>-1.9274669928774912E-3</v>
      </c>
      <c r="I868" s="2">
        <f t="shared" ref="I868:J868" si="919">LN(C867)-LN(C866)</f>
        <v>3.6399217836018405E-3</v>
      </c>
      <c r="J868" s="2">
        <f t="shared" si="919"/>
        <v>4.5046682085418954E-3</v>
      </c>
    </row>
    <row r="869" spans="1:10" x14ac:dyDescent="0.45">
      <c r="A869" s="1">
        <v>41446</v>
      </c>
      <c r="B869">
        <v>93.69</v>
      </c>
      <c r="C869">
        <v>2.8433999999999999</v>
      </c>
      <c r="D869">
        <v>2.7467000000000001</v>
      </c>
      <c r="E869" s="2">
        <f t="shared" si="882"/>
        <v>23.025200000000002</v>
      </c>
      <c r="F869" s="2">
        <f t="shared" si="884"/>
        <v>22.851999999999993</v>
      </c>
      <c r="G869" s="2">
        <f t="shared" si="886"/>
        <v>24.122200000000003</v>
      </c>
      <c r="H869" s="2">
        <f t="shared" si="887"/>
        <v>-3.4503990872062573E-2</v>
      </c>
      <c r="I869" s="2">
        <f t="shared" ref="I869:J869" si="920">LN(C868)-LN(C867)</f>
        <v>-3.4046569585647335E-2</v>
      </c>
      <c r="J869" s="2">
        <f t="shared" si="920"/>
        <v>-4.0535364787011696E-2</v>
      </c>
    </row>
    <row r="870" spans="1:10" x14ac:dyDescent="0.45">
      <c r="A870" s="1">
        <v>41449</v>
      </c>
      <c r="B870">
        <v>95.18</v>
      </c>
      <c r="C870">
        <v>2.8530000000000002</v>
      </c>
      <c r="D870">
        <v>2.7271000000000001</v>
      </c>
      <c r="E870" s="2">
        <f t="shared" si="882"/>
        <v>21.120799999999992</v>
      </c>
      <c r="F870" s="2">
        <f t="shared" si="884"/>
        <v>23.025200000000002</v>
      </c>
      <c r="G870" s="2">
        <f t="shared" si="886"/>
        <v>22.851999999999993</v>
      </c>
      <c r="H870" s="2">
        <f t="shared" si="887"/>
        <v>-1.5358031041039055E-2</v>
      </c>
      <c r="I870" s="2">
        <f t="shared" ref="I870:J870" si="921">LN(C869)-LN(C868)</f>
        <v>-1.0356260777692139E-2</v>
      </c>
      <c r="J870" s="2">
        <f t="shared" si="921"/>
        <v>-1.1151051429686865E-2</v>
      </c>
    </row>
    <row r="871" spans="1:10" x14ac:dyDescent="0.45">
      <c r="A871" s="1">
        <v>41450</v>
      </c>
      <c r="B871">
        <v>95.32</v>
      </c>
      <c r="C871">
        <v>2.8584999999999998</v>
      </c>
      <c r="D871">
        <v>2.7248000000000001</v>
      </c>
      <c r="E871" s="2">
        <f t="shared" si="882"/>
        <v>20.993400000000008</v>
      </c>
      <c r="F871" s="2">
        <f t="shared" si="884"/>
        <v>21.120799999999992</v>
      </c>
      <c r="G871" s="2">
        <f t="shared" si="886"/>
        <v>23.025200000000002</v>
      </c>
      <c r="H871" s="2">
        <f t="shared" si="887"/>
        <v>1.5778375729867733E-2</v>
      </c>
      <c r="I871" s="2">
        <f t="shared" ref="I871:J871" si="922">LN(C870)-LN(C869)</f>
        <v>3.3705530119025884E-3</v>
      </c>
      <c r="J871" s="2">
        <f t="shared" si="922"/>
        <v>-7.1614175771497202E-3</v>
      </c>
    </row>
    <row r="872" spans="1:10" x14ac:dyDescent="0.45">
      <c r="A872" s="1">
        <v>41451</v>
      </c>
      <c r="B872">
        <v>95.5</v>
      </c>
      <c r="C872">
        <v>2.8551000000000002</v>
      </c>
      <c r="D872">
        <v>2.7178</v>
      </c>
      <c r="E872" s="2">
        <f t="shared" si="882"/>
        <v>20.569800000000004</v>
      </c>
      <c r="F872" s="2">
        <f t="shared" si="884"/>
        <v>20.993400000000008</v>
      </c>
      <c r="G872" s="2">
        <f t="shared" si="886"/>
        <v>21.120799999999992</v>
      </c>
      <c r="H872" s="2">
        <f t="shared" si="887"/>
        <v>1.4698165375772732E-3</v>
      </c>
      <c r="I872" s="2">
        <f t="shared" ref="I872:J872" si="923">LN(C871)-LN(C870)</f>
        <v>1.9259394905257743E-3</v>
      </c>
      <c r="J872" s="2">
        <f t="shared" si="923"/>
        <v>-8.4374259852459943E-4</v>
      </c>
    </row>
    <row r="873" spans="1:10" x14ac:dyDescent="0.45">
      <c r="A873" s="1">
        <v>41452</v>
      </c>
      <c r="B873">
        <v>97.05</v>
      </c>
      <c r="C873">
        <v>2.8879999999999999</v>
      </c>
      <c r="D873">
        <v>2.7281</v>
      </c>
      <c r="E873" s="2">
        <f t="shared" si="882"/>
        <v>19.768800000000017</v>
      </c>
      <c r="F873" s="2">
        <f t="shared" si="884"/>
        <v>20.569800000000004</v>
      </c>
      <c r="G873" s="2">
        <f t="shared" si="886"/>
        <v>20.993400000000008</v>
      </c>
      <c r="H873" s="2">
        <f t="shared" si="887"/>
        <v>1.8865952561428756E-3</v>
      </c>
      <c r="I873" s="2">
        <f t="shared" ref="I873:J873" si="924">LN(C872)-LN(C871)</f>
        <v>-1.1901429576184341E-3</v>
      </c>
      <c r="J873" s="2">
        <f t="shared" si="924"/>
        <v>-2.5723014220268015E-3</v>
      </c>
    </row>
    <row r="874" spans="1:10" x14ac:dyDescent="0.45">
      <c r="A874" s="1">
        <v>41453</v>
      </c>
      <c r="B874">
        <v>96.56</v>
      </c>
      <c r="C874">
        <v>2.8588</v>
      </c>
      <c r="D874">
        <v>2.7155999999999998</v>
      </c>
      <c r="E874" s="2">
        <f t="shared" si="882"/>
        <v>19.499999999999982</v>
      </c>
      <c r="F874" s="2">
        <f t="shared" si="884"/>
        <v>19.768800000000017</v>
      </c>
      <c r="G874" s="2">
        <f t="shared" si="886"/>
        <v>20.569800000000004</v>
      </c>
      <c r="H874" s="2">
        <f t="shared" si="887"/>
        <v>1.6100062128335146E-2</v>
      </c>
      <c r="I874" s="2">
        <f t="shared" ref="I874:J874" si="925">LN(C873)-LN(C872)</f>
        <v>1.1457352266309284E-2</v>
      </c>
      <c r="J874" s="2">
        <f t="shared" si="925"/>
        <v>3.7826666966037648E-3</v>
      </c>
    </row>
    <row r="875" spans="1:10" x14ac:dyDescent="0.45">
      <c r="A875" s="1">
        <v>41456</v>
      </c>
      <c r="B875">
        <v>97.99</v>
      </c>
      <c r="C875">
        <v>2.8736000000000002</v>
      </c>
      <c r="D875">
        <v>2.7378999999999998</v>
      </c>
      <c r="E875" s="2">
        <f t="shared" si="882"/>
        <v>18.901600000000013</v>
      </c>
      <c r="F875" s="2">
        <f t="shared" si="884"/>
        <v>19.499999999999982</v>
      </c>
      <c r="G875" s="2">
        <f t="shared" si="886"/>
        <v>19.768800000000017</v>
      </c>
      <c r="H875" s="2">
        <f t="shared" si="887"/>
        <v>-5.0617328257436256E-3</v>
      </c>
      <c r="I875" s="2">
        <f t="shared" ref="I875:J875" si="926">LN(C874)-LN(C873)</f>
        <v>-1.0162264666892851E-2</v>
      </c>
      <c r="J875" s="2">
        <f t="shared" si="926"/>
        <v>-4.5924727555088918E-3</v>
      </c>
    </row>
    <row r="876" spans="1:10" x14ac:dyDescent="0.45">
      <c r="A876" s="1">
        <v>41457</v>
      </c>
      <c r="B876">
        <v>99.6</v>
      </c>
      <c r="C876">
        <v>2.9014000000000002</v>
      </c>
      <c r="D876">
        <v>2.7833000000000001</v>
      </c>
      <c r="E876" s="2">
        <f t="shared" si="882"/>
        <v>18.952000000000016</v>
      </c>
      <c r="F876" s="2">
        <f t="shared" si="884"/>
        <v>18.901600000000013</v>
      </c>
      <c r="G876" s="2">
        <f t="shared" si="886"/>
        <v>19.499999999999982</v>
      </c>
      <c r="H876" s="2">
        <f t="shared" si="887"/>
        <v>1.4700855858451156E-2</v>
      </c>
      <c r="I876" s="2">
        <f t="shared" ref="I876:J876" si="927">LN(C875)-LN(C874)</f>
        <v>5.1636427620567193E-3</v>
      </c>
      <c r="J876" s="2">
        <f t="shared" si="927"/>
        <v>8.1782797444249766E-3</v>
      </c>
    </row>
    <row r="877" spans="1:10" x14ac:dyDescent="0.45">
      <c r="A877" s="1">
        <v>41458</v>
      </c>
      <c r="B877">
        <v>101.24</v>
      </c>
      <c r="C877">
        <v>2.9512</v>
      </c>
      <c r="D877">
        <v>2.8382000000000001</v>
      </c>
      <c r="E877" s="2">
        <f t="shared" si="882"/>
        <v>19.546400000000006</v>
      </c>
      <c r="F877" s="2">
        <f t="shared" si="884"/>
        <v>18.952000000000016</v>
      </c>
      <c r="G877" s="2">
        <f t="shared" si="886"/>
        <v>18.901600000000013</v>
      </c>
      <c r="H877" s="2">
        <f t="shared" si="887"/>
        <v>1.6296731942825105E-2</v>
      </c>
      <c r="I877" s="2">
        <f t="shared" ref="I877:J877" si="928">LN(C876)-LN(C875)</f>
        <v>9.6277799969213262E-3</v>
      </c>
      <c r="J877" s="2">
        <f t="shared" si="928"/>
        <v>1.6446070885256958E-2</v>
      </c>
    </row>
    <row r="878" spans="1:10" x14ac:dyDescent="0.45">
      <c r="A878" s="1">
        <v>41460</v>
      </c>
      <c r="B878">
        <v>103.22</v>
      </c>
      <c r="C878">
        <v>2.9897</v>
      </c>
      <c r="D878">
        <v>2.8967999999999998</v>
      </c>
      <c r="E878" s="2">
        <f t="shared" si="882"/>
        <v>19.746200000000005</v>
      </c>
      <c r="F878" s="2">
        <f t="shared" si="884"/>
        <v>19.546400000000006</v>
      </c>
      <c r="G878" s="2">
        <f t="shared" si="886"/>
        <v>18.952000000000016</v>
      </c>
      <c r="H878" s="2">
        <f t="shared" si="887"/>
        <v>1.633177108637085E-2</v>
      </c>
      <c r="I878" s="2">
        <f t="shared" ref="I878:J878" si="929">LN(C877)-LN(C876)</f>
        <v>1.7018488177664048E-2</v>
      </c>
      <c r="J878" s="2">
        <f t="shared" si="929"/>
        <v>1.9532774343263393E-2</v>
      </c>
    </row>
    <row r="879" spans="1:10" x14ac:dyDescent="0.45">
      <c r="A879" s="1">
        <v>41463</v>
      </c>
      <c r="B879">
        <v>103.14</v>
      </c>
      <c r="C879">
        <v>2.9801000000000002</v>
      </c>
      <c r="D879">
        <v>2.8837000000000002</v>
      </c>
      <c r="E879" s="2">
        <f t="shared" si="882"/>
        <v>19.325000000000006</v>
      </c>
      <c r="F879" s="2">
        <f t="shared" si="884"/>
        <v>19.746200000000005</v>
      </c>
      <c r="G879" s="2">
        <f t="shared" si="886"/>
        <v>19.546400000000006</v>
      </c>
      <c r="H879" s="2">
        <f t="shared" si="887"/>
        <v>1.9368697043658401E-2</v>
      </c>
      <c r="I879" s="2">
        <f t="shared" ref="I879:J879" si="930">LN(C878)-LN(C877)</f>
        <v>1.2961180620268076E-2</v>
      </c>
      <c r="J879" s="2">
        <f t="shared" si="930"/>
        <v>2.0436631050994025E-2</v>
      </c>
    </row>
    <row r="880" spans="1:10" x14ac:dyDescent="0.45">
      <c r="A880" s="1">
        <v>41464</v>
      </c>
      <c r="B880">
        <v>103.53</v>
      </c>
      <c r="C880">
        <v>2.9857</v>
      </c>
      <c r="D880">
        <v>2.9260000000000002</v>
      </c>
      <c r="E880" s="2">
        <f t="shared" si="882"/>
        <v>20.19779999999999</v>
      </c>
      <c r="F880" s="2">
        <f t="shared" si="884"/>
        <v>19.325000000000006</v>
      </c>
      <c r="G880" s="2">
        <f t="shared" si="886"/>
        <v>19.746200000000005</v>
      </c>
      <c r="H880" s="2">
        <f t="shared" si="887"/>
        <v>-7.7534409776891522E-4</v>
      </c>
      <c r="I880" s="2">
        <f t="shared" ref="I880:J880" si="931">LN(C879)-LN(C878)</f>
        <v>-3.2161909193291205E-3</v>
      </c>
      <c r="J880" s="2">
        <f t="shared" si="931"/>
        <v>-4.5324876486756427E-3</v>
      </c>
    </row>
    <row r="881" spans="1:10" x14ac:dyDescent="0.45">
      <c r="A881" s="1">
        <v>41465</v>
      </c>
      <c r="B881">
        <v>106.52</v>
      </c>
      <c r="C881">
        <v>3.0017</v>
      </c>
      <c r="D881">
        <v>3.0148999999999999</v>
      </c>
      <c r="E881" s="2">
        <f t="shared" si="882"/>
        <v>19.920999999999992</v>
      </c>
      <c r="F881" s="2">
        <f t="shared" si="884"/>
        <v>20.19779999999999</v>
      </c>
      <c r="G881" s="2">
        <f t="shared" si="886"/>
        <v>19.325000000000006</v>
      </c>
      <c r="H881" s="2">
        <f t="shared" si="887"/>
        <v>3.774137155208912E-3</v>
      </c>
      <c r="I881" s="2">
        <f t="shared" ref="I881:J881" si="932">LN(C880)-LN(C879)</f>
        <v>1.877368213742292E-3</v>
      </c>
      <c r="J881" s="2">
        <f t="shared" si="932"/>
        <v>1.4562110777313952E-2</v>
      </c>
    </row>
    <row r="882" spans="1:10" x14ac:dyDescent="0.45">
      <c r="A882" s="1">
        <v>41466</v>
      </c>
      <c r="B882">
        <v>104.91</v>
      </c>
      <c r="C882">
        <v>2.9950000000000001</v>
      </c>
      <c r="D882">
        <v>3.0213999999999999</v>
      </c>
      <c r="E882" s="2">
        <f t="shared" si="882"/>
        <v>21.619199999999996</v>
      </c>
      <c r="F882" s="2">
        <f t="shared" si="884"/>
        <v>19.920999999999992</v>
      </c>
      <c r="G882" s="2">
        <f t="shared" si="886"/>
        <v>20.19779999999999</v>
      </c>
      <c r="H882" s="2">
        <f t="shared" si="887"/>
        <v>2.8471335167710166E-2</v>
      </c>
      <c r="I882" s="2">
        <f t="shared" ref="I882:J882" si="933">LN(C881)-LN(C880)</f>
        <v>5.3445696248390906E-3</v>
      </c>
      <c r="J882" s="2">
        <f t="shared" si="933"/>
        <v>2.9930359535308648E-2</v>
      </c>
    </row>
    <row r="883" spans="1:10" x14ac:dyDescent="0.45">
      <c r="A883" s="1">
        <v>41467</v>
      </c>
      <c r="B883">
        <v>105.95</v>
      </c>
      <c r="C883">
        <v>3.0293999999999999</v>
      </c>
      <c r="D883">
        <v>3.1175000000000002</v>
      </c>
      <c r="E883" s="2">
        <f t="shared" si="882"/>
        <v>23.751599999999996</v>
      </c>
      <c r="F883" s="2">
        <f t="shared" si="884"/>
        <v>21.619199999999996</v>
      </c>
      <c r="G883" s="2">
        <f t="shared" si="886"/>
        <v>19.920999999999992</v>
      </c>
      <c r="H883" s="2">
        <f t="shared" si="887"/>
        <v>-1.5229921202337238E-2</v>
      </c>
      <c r="I883" s="2">
        <f t="shared" ref="I883:J883" si="934">LN(C882)-LN(C881)</f>
        <v>-2.2345632724365405E-3</v>
      </c>
      <c r="J883" s="2">
        <f t="shared" si="934"/>
        <v>2.1536379942463935E-3</v>
      </c>
    </row>
    <row r="884" spans="1:10" x14ac:dyDescent="0.45">
      <c r="A884" s="1">
        <v>41470</v>
      </c>
      <c r="B884">
        <v>106.32</v>
      </c>
      <c r="C884">
        <v>3.0261</v>
      </c>
      <c r="D884">
        <v>3.1029</v>
      </c>
      <c r="E884" s="2">
        <f t="shared" si="882"/>
        <v>22.926600000000008</v>
      </c>
      <c r="F884" s="2">
        <f t="shared" si="884"/>
        <v>23.751599999999996</v>
      </c>
      <c r="G884" s="2">
        <f t="shared" si="886"/>
        <v>21.619199999999996</v>
      </c>
      <c r="H884" s="2">
        <f t="shared" si="887"/>
        <v>9.864444970913766E-3</v>
      </c>
      <c r="I884" s="2">
        <f t="shared" ref="I884:J884" si="935">LN(C883)-LN(C882)</f>
        <v>1.1420348543375258E-2</v>
      </c>
      <c r="J884" s="2">
        <f t="shared" si="935"/>
        <v>3.1311098444567032E-2</v>
      </c>
    </row>
    <row r="885" spans="1:10" x14ac:dyDescent="0.45">
      <c r="A885" s="1">
        <v>41471</v>
      </c>
      <c r="B885">
        <v>106</v>
      </c>
      <c r="C885">
        <v>3.0468999999999999</v>
      </c>
      <c r="D885">
        <v>3.1343000000000001</v>
      </c>
      <c r="E885" s="2">
        <f t="shared" si="882"/>
        <v>24.416999999999991</v>
      </c>
      <c r="F885" s="2">
        <f t="shared" si="884"/>
        <v>22.926600000000008</v>
      </c>
      <c r="G885" s="2">
        <f t="shared" si="886"/>
        <v>23.751599999999996</v>
      </c>
      <c r="H885" s="2">
        <f t="shared" si="887"/>
        <v>3.4861296906818495E-3</v>
      </c>
      <c r="I885" s="2">
        <f t="shared" ref="I885:J885" si="936">LN(C884)-LN(C883)</f>
        <v>-1.0899183640256105E-3</v>
      </c>
      <c r="J885" s="2">
        <f t="shared" si="936"/>
        <v>-4.6942405023240319E-3</v>
      </c>
    </row>
    <row r="886" spans="1:10" x14ac:dyDescent="0.45">
      <c r="A886" s="1">
        <v>41472</v>
      </c>
      <c r="B886">
        <v>106.48</v>
      </c>
      <c r="C886">
        <v>3.0712000000000002</v>
      </c>
      <c r="D886">
        <v>3.1101000000000001</v>
      </c>
      <c r="E886" s="2">
        <f t="shared" si="882"/>
        <v>23.599599999999992</v>
      </c>
      <c r="F886" s="2">
        <f t="shared" si="884"/>
        <v>24.416999999999991</v>
      </c>
      <c r="G886" s="2">
        <f t="shared" si="886"/>
        <v>22.926600000000008</v>
      </c>
      <c r="H886" s="2">
        <f t="shared" si="887"/>
        <v>-3.014320292923145E-3</v>
      </c>
      <c r="I886" s="2">
        <f t="shared" ref="I886:J886" si="937">LN(C885)-LN(C884)</f>
        <v>6.8500185518558521E-3</v>
      </c>
      <c r="J886" s="2">
        <f t="shared" si="937"/>
        <v>1.0068705596794514E-2</v>
      </c>
    </row>
    <row r="887" spans="1:10" x14ac:dyDescent="0.45">
      <c r="A887" s="1">
        <v>41473</v>
      </c>
      <c r="B887">
        <v>107.81</v>
      </c>
      <c r="C887">
        <v>3.1006999999999998</v>
      </c>
      <c r="D887">
        <v>3.1097999999999999</v>
      </c>
      <c r="E887" s="2">
        <f t="shared" si="882"/>
        <v>22.674200000000003</v>
      </c>
      <c r="F887" s="2">
        <f t="shared" si="884"/>
        <v>23.599599999999992</v>
      </c>
      <c r="G887" s="2">
        <f t="shared" si="886"/>
        <v>24.416999999999991</v>
      </c>
      <c r="H887" s="2">
        <f t="shared" si="887"/>
        <v>4.5180799747894795E-3</v>
      </c>
      <c r="I887" s="2">
        <f t="shared" ref="I887:J887" si="938">LN(C886)-LN(C885)</f>
        <v>7.9436844058327072E-3</v>
      </c>
      <c r="J887" s="2">
        <f t="shared" si="938"/>
        <v>-7.7509836514859654E-3</v>
      </c>
    </row>
    <row r="888" spans="1:10" x14ac:dyDescent="0.45">
      <c r="A888" s="1">
        <v>41474</v>
      </c>
      <c r="B888">
        <v>107.87</v>
      </c>
      <c r="C888">
        <v>3.0893999999999999</v>
      </c>
      <c r="D888">
        <v>3.1234000000000002</v>
      </c>
      <c r="E888" s="2">
        <f t="shared" si="882"/>
        <v>22.8368</v>
      </c>
      <c r="F888" s="2">
        <f t="shared" si="884"/>
        <v>22.674200000000003</v>
      </c>
      <c r="G888" s="2">
        <f t="shared" si="886"/>
        <v>23.599599999999992</v>
      </c>
      <c r="H888" s="2">
        <f t="shared" si="887"/>
        <v>1.2413244464170248E-2</v>
      </c>
      <c r="I888" s="2">
        <f t="shared" ref="I888:J888" si="939">LN(C887)-LN(C886)</f>
        <v>9.5595277478228713E-3</v>
      </c>
      <c r="J888" s="2">
        <f t="shared" si="939"/>
        <v>-9.6464573460242065E-5</v>
      </c>
    </row>
    <row r="889" spans="1:10" x14ac:dyDescent="0.45">
      <c r="A889" s="1">
        <v>41477</v>
      </c>
      <c r="B889">
        <v>106.94</v>
      </c>
      <c r="C889">
        <v>3.0688</v>
      </c>
      <c r="D889">
        <v>3.0182000000000002</v>
      </c>
      <c r="E889" s="2">
        <f t="shared" si="882"/>
        <v>20.532800000000009</v>
      </c>
      <c r="F889" s="2">
        <f t="shared" si="884"/>
        <v>22.8368</v>
      </c>
      <c r="G889" s="2">
        <f t="shared" si="886"/>
        <v>22.674200000000003</v>
      </c>
      <c r="H889" s="2">
        <f t="shared" si="887"/>
        <v>5.5637983631129373E-4</v>
      </c>
      <c r="I889" s="2">
        <f t="shared" ref="I889:J889" si="940">LN(C888)-LN(C887)</f>
        <v>-3.6509951542602614E-3</v>
      </c>
      <c r="J889" s="2">
        <f t="shared" si="940"/>
        <v>4.3637366300295355E-3</v>
      </c>
    </row>
    <row r="890" spans="1:10" x14ac:dyDescent="0.45">
      <c r="A890" s="1">
        <v>41478</v>
      </c>
      <c r="B890">
        <v>107.23</v>
      </c>
      <c r="C890">
        <v>3.0724999999999998</v>
      </c>
      <c r="D890">
        <v>3.0289999999999999</v>
      </c>
      <c r="E890" s="2">
        <f t="shared" si="882"/>
        <v>20.596999999999998</v>
      </c>
      <c r="F890" s="2">
        <f t="shared" si="884"/>
        <v>20.532800000000009</v>
      </c>
      <c r="G890" s="2">
        <f t="shared" si="886"/>
        <v>22.8368</v>
      </c>
      <c r="H890" s="2">
        <f t="shared" si="887"/>
        <v>-8.6588688667523783E-3</v>
      </c>
      <c r="I890" s="2">
        <f t="shared" ref="I890:J890" si="941">LN(C889)-LN(C888)</f>
        <v>-6.6902915910314054E-3</v>
      </c>
      <c r="J890" s="2">
        <f t="shared" si="941"/>
        <v>-3.4261524869295235E-2</v>
      </c>
    </row>
    <row r="891" spans="1:10" x14ac:dyDescent="0.45">
      <c r="A891" s="1">
        <v>41479</v>
      </c>
      <c r="B891">
        <v>105.39</v>
      </c>
      <c r="C891">
        <v>3.0508000000000002</v>
      </c>
      <c r="D891">
        <v>3.0219</v>
      </c>
      <c r="E891" s="2">
        <f t="shared" si="882"/>
        <v>21.9344</v>
      </c>
      <c r="F891" s="2">
        <f t="shared" si="884"/>
        <v>20.596999999999998</v>
      </c>
      <c r="G891" s="2">
        <f t="shared" si="886"/>
        <v>20.532800000000009</v>
      </c>
      <c r="H891" s="2">
        <f t="shared" si="887"/>
        <v>2.7081307114684705E-3</v>
      </c>
      <c r="I891" s="2">
        <f t="shared" ref="I891:J891" si="942">LN(C890)-LN(C889)</f>
        <v>1.2049567510705739E-3</v>
      </c>
      <c r="J891" s="2">
        <f t="shared" si="942"/>
        <v>3.5719048427871325E-3</v>
      </c>
    </row>
    <row r="892" spans="1:10" x14ac:dyDescent="0.45">
      <c r="A892" s="1">
        <v>41480</v>
      </c>
      <c r="B892">
        <v>105.49</v>
      </c>
      <c r="C892">
        <v>3.0398999999999998</v>
      </c>
      <c r="D892">
        <v>2.9855</v>
      </c>
      <c r="E892" s="2">
        <f t="shared" si="882"/>
        <v>20.662600000000015</v>
      </c>
      <c r="F892" s="2">
        <f t="shared" si="884"/>
        <v>21.9344</v>
      </c>
      <c r="G892" s="2">
        <f t="shared" si="886"/>
        <v>20.596999999999998</v>
      </c>
      <c r="H892" s="2">
        <f t="shared" si="887"/>
        <v>-1.7308305286208636E-2</v>
      </c>
      <c r="I892" s="2">
        <f t="shared" ref="I892:J892" si="943">LN(C891)-LN(C890)</f>
        <v>-7.0877111501062018E-3</v>
      </c>
      <c r="J892" s="2">
        <f t="shared" si="943"/>
        <v>-2.3467594104922274E-3</v>
      </c>
    </row>
    <row r="893" spans="1:10" x14ac:dyDescent="0.45">
      <c r="A893" s="1">
        <v>41481</v>
      </c>
      <c r="B893">
        <v>104.7</v>
      </c>
      <c r="C893">
        <v>3.0131000000000001</v>
      </c>
      <c r="D893">
        <v>3.0032999999999999</v>
      </c>
      <c r="E893" s="2">
        <f t="shared" si="882"/>
        <v>21.575799999999997</v>
      </c>
      <c r="F893" s="2">
        <f t="shared" si="884"/>
        <v>20.662600000000015</v>
      </c>
      <c r="G893" s="2">
        <f t="shared" si="886"/>
        <v>21.9344</v>
      </c>
      <c r="H893" s="2">
        <f t="shared" si="887"/>
        <v>9.484067478719993E-4</v>
      </c>
      <c r="I893" s="2">
        <f t="shared" ref="I893:J893" si="944">LN(C892)-LN(C891)</f>
        <v>-3.5792311677020905E-3</v>
      </c>
      <c r="J893" s="2">
        <f t="shared" si="944"/>
        <v>-1.2118535629698002E-2</v>
      </c>
    </row>
    <row r="894" spans="1:10" x14ac:dyDescent="0.45">
      <c r="A894" s="1">
        <v>41484</v>
      </c>
      <c r="B894">
        <v>104.55</v>
      </c>
      <c r="C894">
        <v>3.0190000000000001</v>
      </c>
      <c r="D894">
        <v>2.9780000000000002</v>
      </c>
      <c r="E894" s="2">
        <f t="shared" si="882"/>
        <v>21.100000000000023</v>
      </c>
      <c r="F894" s="2">
        <f t="shared" si="884"/>
        <v>21.575799999999997</v>
      </c>
      <c r="G894" s="2">
        <f t="shared" si="886"/>
        <v>20.662600000000015</v>
      </c>
      <c r="H894" s="2">
        <f t="shared" si="887"/>
        <v>-7.5170438172262877E-3</v>
      </c>
      <c r="I894" s="2">
        <f t="shared" ref="I894:J894" si="945">LN(C893)-LN(C892)</f>
        <v>-8.8551710307256393E-3</v>
      </c>
      <c r="J894" s="2">
        <f t="shared" si="945"/>
        <v>5.9444471065004389E-3</v>
      </c>
    </row>
    <row r="895" spans="1:10" x14ac:dyDescent="0.45">
      <c r="A895" s="1">
        <v>41485</v>
      </c>
      <c r="B895">
        <v>103.08</v>
      </c>
      <c r="C895">
        <v>3.0089999999999999</v>
      </c>
      <c r="D895">
        <v>2.9750000000000001</v>
      </c>
      <c r="E895" s="2">
        <f t="shared" si="882"/>
        <v>22.346000000000004</v>
      </c>
      <c r="F895" s="2">
        <f t="shared" si="884"/>
        <v>21.100000000000023</v>
      </c>
      <c r="G895" s="2">
        <f t="shared" si="886"/>
        <v>21.575799999999997</v>
      </c>
      <c r="H895" s="2">
        <f t="shared" si="887"/>
        <v>-1.4336920018482857E-3</v>
      </c>
      <c r="I895" s="2">
        <f t="shared" ref="I895:J895" si="946">LN(C894)-LN(C893)</f>
        <v>1.9562016151830619E-3</v>
      </c>
      <c r="J895" s="2">
        <f t="shared" si="946"/>
        <v>-8.459749849593301E-3</v>
      </c>
    </row>
    <row r="896" spans="1:10" x14ac:dyDescent="0.45">
      <c r="A896" s="1">
        <v>41486</v>
      </c>
      <c r="B896">
        <v>105.03</v>
      </c>
      <c r="C896">
        <v>3.0550000000000002</v>
      </c>
      <c r="D896">
        <v>2.9963000000000002</v>
      </c>
      <c r="E896" s="2">
        <f t="shared" si="882"/>
        <v>21.636399999999998</v>
      </c>
      <c r="F896" s="2">
        <f t="shared" si="884"/>
        <v>22.346000000000004</v>
      </c>
      <c r="G896" s="2">
        <f t="shared" si="886"/>
        <v>21.100000000000023</v>
      </c>
      <c r="H896" s="2">
        <f t="shared" si="887"/>
        <v>-1.4160040090478887E-2</v>
      </c>
      <c r="I896" s="2">
        <f t="shared" ref="I896:J896" si="947">LN(C895)-LN(C894)</f>
        <v>-3.3178530767936643E-3</v>
      </c>
      <c r="J896" s="2">
        <f t="shared" si="947"/>
        <v>-1.0078952642240679E-3</v>
      </c>
    </row>
    <row r="897" spans="1:10" x14ac:dyDescent="0.45">
      <c r="A897" s="1">
        <v>41487</v>
      </c>
      <c r="B897">
        <v>107.89</v>
      </c>
      <c r="C897">
        <v>3.0966</v>
      </c>
      <c r="D897">
        <v>3.0284</v>
      </c>
      <c r="E897" s="2">
        <f t="shared" si="882"/>
        <v>20.257600000000007</v>
      </c>
      <c r="F897" s="2">
        <f t="shared" si="884"/>
        <v>21.636399999999998</v>
      </c>
      <c r="G897" s="2">
        <f t="shared" si="886"/>
        <v>22.346000000000004</v>
      </c>
      <c r="H897" s="2">
        <f t="shared" si="887"/>
        <v>1.8740637850520159E-2</v>
      </c>
      <c r="I897" s="2">
        <f t="shared" ref="I897:J897" si="948">LN(C896)-LN(C895)</f>
        <v>1.5171794975650466E-2</v>
      </c>
      <c r="J897" s="2">
        <f t="shared" si="948"/>
        <v>7.1341551557029259E-3</v>
      </c>
    </row>
    <row r="898" spans="1:10" x14ac:dyDescent="0.45">
      <c r="A898" s="1">
        <v>41488</v>
      </c>
      <c r="B898">
        <v>106.94</v>
      </c>
      <c r="C898">
        <v>3.0714000000000001</v>
      </c>
      <c r="D898">
        <v>2.9946999999999999</v>
      </c>
      <c r="E898" s="2">
        <f t="shared" si="882"/>
        <v>19.911200000000008</v>
      </c>
      <c r="F898" s="2">
        <f t="shared" si="884"/>
        <v>20.257600000000007</v>
      </c>
      <c r="G898" s="2">
        <f t="shared" si="886"/>
        <v>21.636399999999998</v>
      </c>
      <c r="H898" s="2">
        <f t="shared" si="887"/>
        <v>2.6866165928564278E-2</v>
      </c>
      <c r="I898" s="2">
        <f t="shared" ref="I898:J898" si="949">LN(C897)-LN(C896)</f>
        <v>1.3525142777040866E-2</v>
      </c>
      <c r="J898" s="2">
        <f t="shared" si="949"/>
        <v>1.0656233093718326E-2</v>
      </c>
    </row>
    <row r="899" spans="1:10" x14ac:dyDescent="0.45">
      <c r="A899" s="1">
        <v>41491</v>
      </c>
      <c r="B899">
        <v>106.56</v>
      </c>
      <c r="C899">
        <v>3.0522</v>
      </c>
      <c r="D899">
        <v>2.9506000000000001</v>
      </c>
      <c r="E899" s="2">
        <f t="shared" ref="E899:E962" si="950">(2*D899*42+1*C899*42-3*B899)/3</f>
        <v>18.787599999999998</v>
      </c>
      <c r="F899" s="2">
        <f t="shared" si="884"/>
        <v>19.911200000000008</v>
      </c>
      <c r="G899" s="2">
        <f t="shared" si="886"/>
        <v>20.257600000000007</v>
      </c>
      <c r="H899" s="2">
        <f t="shared" si="887"/>
        <v>-8.8442600426628104E-3</v>
      </c>
      <c r="I899" s="2">
        <f t="shared" ref="I899:J899" si="951">LN(C898)-LN(C897)</f>
        <v>-8.1712516911438549E-3</v>
      </c>
      <c r="J899" s="2">
        <f t="shared" si="951"/>
        <v>-1.1190367641553456E-2</v>
      </c>
    </row>
    <row r="900" spans="1:10" x14ac:dyDescent="0.45">
      <c r="A900" s="1">
        <v>41492</v>
      </c>
      <c r="B900">
        <v>105.3</v>
      </c>
      <c r="C900">
        <v>3.0083000000000002</v>
      </c>
      <c r="D900">
        <v>2.9150999999999998</v>
      </c>
      <c r="E900" s="2">
        <f t="shared" si="950"/>
        <v>18.439000000000004</v>
      </c>
      <c r="F900" s="2">
        <f t="shared" ref="F900:F963" si="952">E899</f>
        <v>18.787599999999998</v>
      </c>
      <c r="G900" s="2">
        <f t="shared" si="886"/>
        <v>19.911200000000008</v>
      </c>
      <c r="H900" s="2">
        <f t="shared" si="887"/>
        <v>-3.5597227285064648E-3</v>
      </c>
      <c r="I900" s="2">
        <f t="shared" ref="I900:J900" si="953">LN(C899)-LN(C898)</f>
        <v>-6.2708416348182805E-3</v>
      </c>
      <c r="J900" s="2">
        <f t="shared" si="953"/>
        <v>-1.4835520104131472E-2</v>
      </c>
    </row>
    <row r="901" spans="1:10" x14ac:dyDescent="0.45">
      <c r="A901" s="1">
        <v>41493</v>
      </c>
      <c r="B901">
        <v>104.37</v>
      </c>
      <c r="C901">
        <v>2.9641999999999999</v>
      </c>
      <c r="D901">
        <v>2.8711000000000002</v>
      </c>
      <c r="E901" s="2">
        <f t="shared" si="950"/>
        <v>17.519600000000008</v>
      </c>
      <c r="F901" s="2">
        <f t="shared" si="952"/>
        <v>18.439000000000004</v>
      </c>
      <c r="G901" s="2">
        <f t="shared" ref="G901:G964" si="954">E899</f>
        <v>18.787599999999998</v>
      </c>
      <c r="H901" s="2">
        <f t="shared" ref="H901:H964" si="955">LN(B900)-LN(B899)</f>
        <v>-1.1894787652149574E-2</v>
      </c>
      <c r="I901" s="2">
        <f t="shared" ref="I901:J901" si="956">LN(C900)-LN(C899)</f>
        <v>-1.4487506917599591E-2</v>
      </c>
      <c r="J901" s="2">
        <f t="shared" si="956"/>
        <v>-1.2104414969963617E-2</v>
      </c>
    </row>
    <row r="902" spans="1:10" x14ac:dyDescent="0.45">
      <c r="A902" s="1">
        <v>41494</v>
      </c>
      <c r="B902">
        <v>103.4</v>
      </c>
      <c r="C902">
        <v>2.9573999999999998</v>
      </c>
      <c r="D902">
        <v>2.8576000000000001</v>
      </c>
      <c r="E902" s="2">
        <f t="shared" si="950"/>
        <v>18.016399999999994</v>
      </c>
      <c r="F902" s="2">
        <f t="shared" si="952"/>
        <v>17.519600000000008</v>
      </c>
      <c r="G902" s="2">
        <f t="shared" si="954"/>
        <v>18.439000000000004</v>
      </c>
      <c r="H902" s="2">
        <f t="shared" si="955"/>
        <v>-8.8711413079689549E-3</v>
      </c>
      <c r="I902" s="2">
        <f t="shared" ref="I902:J902" si="957">LN(C901)-LN(C900)</f>
        <v>-1.4767953616360296E-2</v>
      </c>
      <c r="J902" s="2">
        <f t="shared" si="957"/>
        <v>-1.5208892929712725E-2</v>
      </c>
    </row>
    <row r="903" spans="1:10" x14ac:dyDescent="0.45">
      <c r="A903" s="1">
        <v>41495</v>
      </c>
      <c r="B903">
        <v>105.97</v>
      </c>
      <c r="C903">
        <v>2.9935</v>
      </c>
      <c r="D903">
        <v>2.9081999999999999</v>
      </c>
      <c r="E903" s="2">
        <f t="shared" si="950"/>
        <v>17.368600000000015</v>
      </c>
      <c r="F903" s="2">
        <f t="shared" si="952"/>
        <v>18.016399999999994</v>
      </c>
      <c r="G903" s="2">
        <f t="shared" si="954"/>
        <v>17.519600000000008</v>
      </c>
      <c r="H903" s="2">
        <f t="shared" si="955"/>
        <v>-9.3373157576319699E-3</v>
      </c>
      <c r="I903" s="2">
        <f t="shared" ref="I903:J903" si="958">LN(C902)-LN(C901)</f>
        <v>-2.2966775834274422E-3</v>
      </c>
      <c r="J903" s="2">
        <f t="shared" si="958"/>
        <v>-4.7131199016101633E-3</v>
      </c>
    </row>
    <row r="904" spans="1:10" x14ac:dyDescent="0.45">
      <c r="A904" s="1">
        <v>41498</v>
      </c>
      <c r="B904">
        <v>106.11</v>
      </c>
      <c r="C904">
        <v>3.0209000000000001</v>
      </c>
      <c r="D904">
        <v>2.9041000000000001</v>
      </c>
      <c r="E904" s="2">
        <f t="shared" si="950"/>
        <v>17.49740000000001</v>
      </c>
      <c r="F904" s="2">
        <f t="shared" si="952"/>
        <v>17.368600000000015</v>
      </c>
      <c r="G904" s="2">
        <f t="shared" si="954"/>
        <v>18.016399999999994</v>
      </c>
      <c r="H904" s="2">
        <f t="shared" si="955"/>
        <v>2.4551073112416333E-2</v>
      </c>
      <c r="I904" s="2">
        <f t="shared" ref="I904:J904" si="959">LN(C903)-LN(C902)</f>
        <v>1.2132767426019653E-2</v>
      </c>
      <c r="J904" s="2">
        <f t="shared" si="959"/>
        <v>1.7552221397205248E-2</v>
      </c>
    </row>
    <row r="905" spans="1:10" x14ac:dyDescent="0.45">
      <c r="A905" s="1">
        <v>41499</v>
      </c>
      <c r="B905">
        <v>106.83</v>
      </c>
      <c r="C905">
        <v>3.0470999999999999</v>
      </c>
      <c r="D905">
        <v>2.9424999999999999</v>
      </c>
      <c r="E905" s="2">
        <f t="shared" si="950"/>
        <v>18.21939999999999</v>
      </c>
      <c r="F905" s="2">
        <f t="shared" si="952"/>
        <v>17.49740000000001</v>
      </c>
      <c r="G905" s="2">
        <f t="shared" si="954"/>
        <v>17.368600000000015</v>
      </c>
      <c r="H905" s="2">
        <f t="shared" si="955"/>
        <v>1.3202566987535747E-3</v>
      </c>
      <c r="I905" s="2">
        <f t="shared" ref="I905:J905" si="960">LN(C904)-LN(C903)</f>
        <v>9.1115288514149739E-3</v>
      </c>
      <c r="J905" s="2">
        <f t="shared" si="960"/>
        <v>-1.4108014658704704E-3</v>
      </c>
    </row>
    <row r="906" spans="1:10" x14ac:dyDescent="0.45">
      <c r="A906" s="1">
        <v>41500</v>
      </c>
      <c r="B906">
        <v>106.85</v>
      </c>
      <c r="C906">
        <v>3.0478000000000001</v>
      </c>
      <c r="D906">
        <v>2.9830000000000001</v>
      </c>
      <c r="E906" s="2">
        <f t="shared" si="950"/>
        <v>19.343200000000024</v>
      </c>
      <c r="F906" s="2">
        <f t="shared" si="952"/>
        <v>18.21939999999999</v>
      </c>
      <c r="G906" s="2">
        <f t="shared" si="954"/>
        <v>17.49740000000001</v>
      </c>
      <c r="H906" s="2">
        <f t="shared" si="955"/>
        <v>6.7624940722978977E-3</v>
      </c>
      <c r="I906" s="2">
        <f t="shared" ref="I906:J906" si="961">LN(C905)-LN(C904)</f>
        <v>8.6355183967434801E-3</v>
      </c>
      <c r="J906" s="2">
        <f t="shared" si="961"/>
        <v>1.3136028520916998E-2</v>
      </c>
    </row>
    <row r="907" spans="1:10" x14ac:dyDescent="0.45">
      <c r="A907" s="1">
        <v>41501</v>
      </c>
      <c r="B907">
        <v>107.33</v>
      </c>
      <c r="C907">
        <v>3.0728</v>
      </c>
      <c r="D907">
        <v>2.9845000000000002</v>
      </c>
      <c r="E907" s="2">
        <f t="shared" si="950"/>
        <v>19.255200000000002</v>
      </c>
      <c r="F907" s="2">
        <f t="shared" si="952"/>
        <v>19.343200000000024</v>
      </c>
      <c r="G907" s="2">
        <f t="shared" si="954"/>
        <v>18.21939999999999</v>
      </c>
      <c r="H907" s="2">
        <f t="shared" si="955"/>
        <v>1.8719580736004104E-4</v>
      </c>
      <c r="I907" s="2">
        <f t="shared" ref="I907:J907" si="962">LN(C906)-LN(C905)</f>
        <v>2.2970024219515217E-4</v>
      </c>
      <c r="J907" s="2">
        <f t="shared" si="962"/>
        <v>1.366994538031685E-2</v>
      </c>
    </row>
    <row r="908" spans="1:10" x14ac:dyDescent="0.45">
      <c r="A908" s="1">
        <v>41502</v>
      </c>
      <c r="B908">
        <v>107.29</v>
      </c>
      <c r="C908">
        <v>3.0831</v>
      </c>
      <c r="D908">
        <v>2.9674999999999998</v>
      </c>
      <c r="E908" s="2">
        <f t="shared" si="950"/>
        <v>18.963399999999979</v>
      </c>
      <c r="F908" s="2">
        <f t="shared" si="952"/>
        <v>19.255200000000002</v>
      </c>
      <c r="G908" s="2">
        <f t="shared" si="954"/>
        <v>19.343200000000024</v>
      </c>
      <c r="H908" s="2">
        <f t="shared" si="955"/>
        <v>4.482218728276699E-3</v>
      </c>
      <c r="I908" s="2">
        <f t="shared" ref="I908:J908" si="963">LN(C907)-LN(C906)</f>
        <v>8.1691791759346266E-3</v>
      </c>
      <c r="J908" s="2">
        <f t="shared" si="963"/>
        <v>5.0272309395604786E-4</v>
      </c>
    </row>
    <row r="909" spans="1:10" x14ac:dyDescent="0.45">
      <c r="A909" s="1">
        <v>41505</v>
      </c>
      <c r="B909">
        <v>106.86</v>
      </c>
      <c r="C909">
        <v>3.0710000000000002</v>
      </c>
      <c r="D909">
        <v>2.9333</v>
      </c>
      <c r="E909" s="2">
        <f t="shared" si="950"/>
        <v>18.266399999999994</v>
      </c>
      <c r="F909" s="2">
        <f t="shared" si="952"/>
        <v>18.963399999999979</v>
      </c>
      <c r="G909" s="2">
        <f t="shared" si="954"/>
        <v>19.255200000000002</v>
      </c>
      <c r="H909" s="2">
        <f t="shared" si="955"/>
        <v>-3.7275184477802981E-4</v>
      </c>
      <c r="I909" s="2">
        <f t="shared" ref="I909:J909" si="964">LN(C908)-LN(C907)</f>
        <v>3.346386267442103E-3</v>
      </c>
      <c r="J909" s="2">
        <f t="shared" si="964"/>
        <v>-5.7123811248815937E-3</v>
      </c>
    </row>
    <row r="910" spans="1:10" x14ac:dyDescent="0.45">
      <c r="A910" s="1">
        <v>41506</v>
      </c>
      <c r="B910">
        <v>105.11</v>
      </c>
      <c r="C910">
        <v>3.0783999999999998</v>
      </c>
      <c r="D910">
        <v>2.9272</v>
      </c>
      <c r="E910" s="2">
        <f t="shared" si="950"/>
        <v>19.949200000000001</v>
      </c>
      <c r="F910" s="2">
        <f t="shared" si="952"/>
        <v>18.266399999999994</v>
      </c>
      <c r="G910" s="2">
        <f t="shared" si="954"/>
        <v>18.963399999999979</v>
      </c>
      <c r="H910" s="2">
        <f t="shared" si="955"/>
        <v>-4.0158821190301452E-3</v>
      </c>
      <c r="I910" s="2">
        <f t="shared" ref="I910:J910" si="965">LN(C909)-LN(C908)</f>
        <v>-3.9323428583146747E-3</v>
      </c>
      <c r="J910" s="2">
        <f t="shared" si="965"/>
        <v>-1.159177838656511E-2</v>
      </c>
    </row>
    <row r="911" spans="1:10" x14ac:dyDescent="0.45">
      <c r="A911" s="1">
        <v>41507</v>
      </c>
      <c r="B911">
        <v>103.85</v>
      </c>
      <c r="C911">
        <v>3.0815000000000001</v>
      </c>
      <c r="D911">
        <v>2.8184</v>
      </c>
      <c r="E911" s="2">
        <f t="shared" si="950"/>
        <v>18.206200000000006</v>
      </c>
      <c r="F911" s="2">
        <f t="shared" si="952"/>
        <v>19.949200000000001</v>
      </c>
      <c r="G911" s="2">
        <f t="shared" si="954"/>
        <v>18.266399999999994</v>
      </c>
      <c r="H911" s="2">
        <f t="shared" si="955"/>
        <v>-1.651214569436199E-2</v>
      </c>
      <c r="I911" s="2">
        <f t="shared" ref="I911:J911" si="966">LN(C910)-LN(C909)</f>
        <v>2.4067400305649578E-3</v>
      </c>
      <c r="J911" s="2">
        <f t="shared" si="966"/>
        <v>-2.0817343922610032E-3</v>
      </c>
    </row>
    <row r="912" spans="1:10" x14ac:dyDescent="0.45">
      <c r="A912" s="1">
        <v>41508</v>
      </c>
      <c r="B912">
        <v>105.03</v>
      </c>
      <c r="C912">
        <v>3.0737000000000001</v>
      </c>
      <c r="D912">
        <v>2.8384</v>
      </c>
      <c r="E912" s="2">
        <f t="shared" si="950"/>
        <v>17.476999999999993</v>
      </c>
      <c r="F912" s="2">
        <f t="shared" si="952"/>
        <v>18.206200000000006</v>
      </c>
      <c r="G912" s="2">
        <f t="shared" si="954"/>
        <v>19.949200000000001</v>
      </c>
      <c r="H912" s="2">
        <f t="shared" si="955"/>
        <v>-1.2059870513141391E-2</v>
      </c>
      <c r="I912" s="2">
        <f t="shared" ref="I912:J912" si="967">LN(C911)-LN(C910)</f>
        <v>1.0065099309104486E-3</v>
      </c>
      <c r="J912" s="2">
        <f t="shared" si="967"/>
        <v>-3.7876986677969127E-2</v>
      </c>
    </row>
    <row r="913" spans="1:10" x14ac:dyDescent="0.45">
      <c r="A913" s="1">
        <v>41509</v>
      </c>
      <c r="B913">
        <v>106.42</v>
      </c>
      <c r="C913">
        <v>3.0990000000000002</v>
      </c>
      <c r="D913">
        <v>2.8706999999999998</v>
      </c>
      <c r="E913" s="2">
        <f t="shared" si="950"/>
        <v>17.34559999999999</v>
      </c>
      <c r="F913" s="2">
        <f t="shared" si="952"/>
        <v>17.476999999999993</v>
      </c>
      <c r="G913" s="2">
        <f t="shared" si="954"/>
        <v>18.206200000000006</v>
      </c>
      <c r="H913" s="2">
        <f t="shared" si="955"/>
        <v>1.1298473312562507E-2</v>
      </c>
      <c r="I913" s="2">
        <f t="shared" ref="I913:J913" si="968">LN(C912)-LN(C911)</f>
        <v>-2.5344437793126673E-3</v>
      </c>
      <c r="J913" s="2">
        <f t="shared" si="968"/>
        <v>7.0711650882324673E-3</v>
      </c>
    </row>
    <row r="914" spans="1:10" x14ac:dyDescent="0.45">
      <c r="A914" s="1">
        <v>41512</v>
      </c>
      <c r="B914">
        <v>105.92</v>
      </c>
      <c r="C914">
        <v>3.0834999999999999</v>
      </c>
      <c r="D914">
        <v>2.8344999999999998</v>
      </c>
      <c r="E914" s="2">
        <f t="shared" si="950"/>
        <v>16.615000000000009</v>
      </c>
      <c r="F914" s="2">
        <f t="shared" si="952"/>
        <v>17.34559999999999</v>
      </c>
      <c r="G914" s="2">
        <f t="shared" si="954"/>
        <v>17.476999999999993</v>
      </c>
      <c r="H914" s="2">
        <f t="shared" si="955"/>
        <v>1.3147505533539494E-2</v>
      </c>
      <c r="I914" s="2">
        <f t="shared" ref="I914:J914" si="969">LN(C913)-LN(C912)</f>
        <v>8.1974311647632359E-3</v>
      </c>
      <c r="J914" s="2">
        <f t="shared" si="969"/>
        <v>1.1315389338066417E-2</v>
      </c>
    </row>
    <row r="915" spans="1:10" x14ac:dyDescent="0.45">
      <c r="A915" s="1">
        <v>41513</v>
      </c>
      <c r="B915">
        <v>109.01</v>
      </c>
      <c r="C915">
        <v>3.1656</v>
      </c>
      <c r="D915">
        <v>2.9127000000000001</v>
      </c>
      <c r="E915" s="2">
        <f t="shared" si="950"/>
        <v>16.863999999999976</v>
      </c>
      <c r="F915" s="2">
        <f t="shared" si="952"/>
        <v>16.615000000000009</v>
      </c>
      <c r="G915" s="2">
        <f t="shared" si="954"/>
        <v>17.34559999999999</v>
      </c>
      <c r="H915" s="2">
        <f t="shared" si="955"/>
        <v>-4.7094369795255275E-3</v>
      </c>
      <c r="I915" s="2">
        <f t="shared" ref="I915:J915" si="970">LN(C914)-LN(C913)</f>
        <v>-5.0141633562008625E-3</v>
      </c>
      <c r="J915" s="2">
        <f t="shared" si="970"/>
        <v>-1.2690347688968373E-2</v>
      </c>
    </row>
    <row r="916" spans="1:10" x14ac:dyDescent="0.45">
      <c r="A916" s="1">
        <v>41514</v>
      </c>
      <c r="B916">
        <v>110.1</v>
      </c>
      <c r="C916">
        <v>3.2113</v>
      </c>
      <c r="D916">
        <v>2.9615999999999998</v>
      </c>
      <c r="E916" s="2">
        <f t="shared" si="950"/>
        <v>17.783000000000015</v>
      </c>
      <c r="F916" s="2">
        <f t="shared" si="952"/>
        <v>16.863999999999976</v>
      </c>
      <c r="G916" s="2">
        <f t="shared" si="954"/>
        <v>16.615000000000009</v>
      </c>
      <c r="H916" s="2">
        <f t="shared" si="955"/>
        <v>2.8755528951569076E-2</v>
      </c>
      <c r="I916" s="2">
        <f t="shared" ref="I916:J916" si="971">LN(C915)-LN(C914)</f>
        <v>2.6277295639667075E-2</v>
      </c>
      <c r="J916" s="2">
        <f t="shared" si="971"/>
        <v>2.721493127985064E-2</v>
      </c>
    </row>
    <row r="917" spans="1:10" x14ac:dyDescent="0.45">
      <c r="A917" s="1">
        <v>41515</v>
      </c>
      <c r="B917">
        <v>108.8</v>
      </c>
      <c r="C917">
        <v>3.1882999999999999</v>
      </c>
      <c r="D917">
        <v>2.9306000000000001</v>
      </c>
      <c r="E917" s="2">
        <f t="shared" si="950"/>
        <v>17.893000000000011</v>
      </c>
      <c r="F917" s="2">
        <f t="shared" si="952"/>
        <v>17.783000000000015</v>
      </c>
      <c r="G917" s="2">
        <f t="shared" si="954"/>
        <v>16.863999999999976</v>
      </c>
      <c r="H917" s="2">
        <f t="shared" si="955"/>
        <v>9.9494225883667298E-3</v>
      </c>
      <c r="I917" s="2">
        <f t="shared" ref="I917:J917" si="972">LN(C916)-LN(C915)</f>
        <v>1.4333228492465322E-2</v>
      </c>
      <c r="J917" s="2">
        <f t="shared" si="972"/>
        <v>1.6649176775024088E-2</v>
      </c>
    </row>
    <row r="918" spans="1:10" x14ac:dyDescent="0.45">
      <c r="A918" s="1">
        <v>41516</v>
      </c>
      <c r="B918">
        <v>107.65</v>
      </c>
      <c r="C918">
        <v>3.1366000000000001</v>
      </c>
      <c r="D918">
        <v>2.8900999999999999</v>
      </c>
      <c r="E918" s="2">
        <f t="shared" si="950"/>
        <v>17.18519999999997</v>
      </c>
      <c r="F918" s="2">
        <f t="shared" si="952"/>
        <v>17.893000000000011</v>
      </c>
      <c r="G918" s="2">
        <f t="shared" si="954"/>
        <v>17.783000000000015</v>
      </c>
      <c r="H918" s="2">
        <f t="shared" si="955"/>
        <v>-1.1877709306791218E-2</v>
      </c>
      <c r="I918" s="2">
        <f t="shared" ref="I918:J918" si="973">LN(C917)-LN(C916)</f>
        <v>-7.1879801951513222E-3</v>
      </c>
      <c r="J918" s="2">
        <f t="shared" si="973"/>
        <v>-1.0522482615308304E-2</v>
      </c>
    </row>
    <row r="919" spans="1:10" x14ac:dyDescent="0.45">
      <c r="A919" s="1">
        <v>41520</v>
      </c>
      <c r="B919">
        <v>108.54</v>
      </c>
      <c r="C919">
        <v>3.1482999999999999</v>
      </c>
      <c r="D919">
        <v>2.8645999999999998</v>
      </c>
      <c r="E919" s="2">
        <f t="shared" si="950"/>
        <v>15.745000000000005</v>
      </c>
      <c r="F919" s="2">
        <f t="shared" si="952"/>
        <v>17.18519999999997</v>
      </c>
      <c r="G919" s="2">
        <f t="shared" si="954"/>
        <v>17.893000000000011</v>
      </c>
      <c r="H919" s="2">
        <f t="shared" si="955"/>
        <v>-1.0626110611470452E-2</v>
      </c>
      <c r="I919" s="2">
        <f t="shared" ref="I919:J919" si="974">LN(C918)-LN(C917)</f>
        <v>-1.6348448668204396E-2</v>
      </c>
      <c r="J919" s="2">
        <f t="shared" si="974"/>
        <v>-1.3916076619960416E-2</v>
      </c>
    </row>
    <row r="920" spans="1:10" x14ac:dyDescent="0.45">
      <c r="A920" s="1">
        <v>41521</v>
      </c>
      <c r="B920">
        <v>107.23</v>
      </c>
      <c r="C920">
        <v>3.1371000000000002</v>
      </c>
      <c r="D920">
        <v>2.8643000000000001</v>
      </c>
      <c r="E920" s="2">
        <f t="shared" si="950"/>
        <v>16.889800000000019</v>
      </c>
      <c r="F920" s="2">
        <f t="shared" si="952"/>
        <v>15.745000000000005</v>
      </c>
      <c r="G920" s="2">
        <f t="shared" si="954"/>
        <v>17.18519999999997</v>
      </c>
      <c r="H920" s="2">
        <f t="shared" si="955"/>
        <v>8.2335448248862519E-3</v>
      </c>
      <c r="I920" s="2">
        <f t="shared" ref="I920:J920" si="975">LN(C919)-LN(C918)</f>
        <v>3.7232138986333929E-3</v>
      </c>
      <c r="J920" s="2">
        <f t="shared" si="975"/>
        <v>-8.862379238199658E-3</v>
      </c>
    </row>
    <row r="921" spans="1:10" x14ac:dyDescent="0.45">
      <c r="A921" s="1">
        <v>41522</v>
      </c>
      <c r="B921">
        <v>108.37</v>
      </c>
      <c r="C921">
        <v>3.1396999999999999</v>
      </c>
      <c r="D921">
        <v>2.8359999999999999</v>
      </c>
      <c r="E921" s="2">
        <f t="shared" si="950"/>
        <v>14.993800000000002</v>
      </c>
      <c r="F921" s="2">
        <f t="shared" si="952"/>
        <v>16.889800000000019</v>
      </c>
      <c r="G921" s="2">
        <f t="shared" si="954"/>
        <v>15.745000000000005</v>
      </c>
      <c r="H921" s="2">
        <f t="shared" si="955"/>
        <v>-1.2142708403204416E-2</v>
      </c>
      <c r="I921" s="2">
        <f t="shared" ref="I921:J921" si="976">LN(C920)-LN(C919)</f>
        <v>-3.5638183263047019E-3</v>
      </c>
      <c r="J921" s="2">
        <f t="shared" si="976"/>
        <v>-1.0473214762840577E-4</v>
      </c>
    </row>
    <row r="922" spans="1:10" x14ac:dyDescent="0.45">
      <c r="A922" s="1">
        <v>41523</v>
      </c>
      <c r="B922">
        <v>110.53</v>
      </c>
      <c r="C922">
        <v>3.1637</v>
      </c>
      <c r="D922">
        <v>2.8536999999999999</v>
      </c>
      <c r="E922" s="2">
        <f t="shared" si="950"/>
        <v>13.665399999999977</v>
      </c>
      <c r="F922" s="2">
        <f t="shared" si="952"/>
        <v>14.993800000000002</v>
      </c>
      <c r="G922" s="2">
        <f t="shared" si="954"/>
        <v>16.889800000000019</v>
      </c>
      <c r="H922" s="2">
        <f t="shared" si="955"/>
        <v>1.0575237702849627E-2</v>
      </c>
      <c r="I922" s="2">
        <f t="shared" ref="I922:J922" si="977">LN(C921)-LN(C920)</f>
        <v>8.2844766400191894E-4</v>
      </c>
      <c r="J922" s="2">
        <f t="shared" si="977"/>
        <v>-9.9293835461182756E-3</v>
      </c>
    </row>
    <row r="923" spans="1:10" x14ac:dyDescent="0.45">
      <c r="A923" s="1">
        <v>41526</v>
      </c>
      <c r="B923">
        <v>109.52</v>
      </c>
      <c r="C923">
        <v>3.1183000000000001</v>
      </c>
      <c r="D923">
        <v>2.8024</v>
      </c>
      <c r="E923" s="2">
        <f t="shared" si="950"/>
        <v>12.603400000000002</v>
      </c>
      <c r="F923" s="2">
        <f t="shared" si="952"/>
        <v>13.665399999999977</v>
      </c>
      <c r="G923" s="2">
        <f t="shared" si="954"/>
        <v>14.993800000000002</v>
      </c>
      <c r="H923" s="2">
        <f t="shared" si="955"/>
        <v>1.9735679387959948E-2</v>
      </c>
      <c r="I923" s="2">
        <f t="shared" ref="I923:J923" si="978">LN(C922)-LN(C921)</f>
        <v>7.6149747677662916E-3</v>
      </c>
      <c r="J923" s="2">
        <f t="shared" si="978"/>
        <v>6.2217892325391322E-3</v>
      </c>
    </row>
    <row r="924" spans="1:10" x14ac:dyDescent="0.45">
      <c r="A924" s="1">
        <v>41527</v>
      </c>
      <c r="B924">
        <v>107.39</v>
      </c>
      <c r="C924">
        <v>3.0668000000000002</v>
      </c>
      <c r="D924">
        <v>2.7357</v>
      </c>
      <c r="E924" s="2">
        <f t="shared" si="950"/>
        <v>12.144799999999995</v>
      </c>
      <c r="F924" s="2">
        <f t="shared" si="952"/>
        <v>12.603400000000002</v>
      </c>
      <c r="G924" s="2">
        <f t="shared" si="954"/>
        <v>13.665399999999977</v>
      </c>
      <c r="H924" s="2">
        <f t="shared" si="955"/>
        <v>-9.1797963426705209E-3</v>
      </c>
      <c r="I924" s="2">
        <f t="shared" ref="I924:J924" si="979">LN(C923)-LN(C922)</f>
        <v>-1.4454247192344782E-2</v>
      </c>
      <c r="J924" s="2">
        <f t="shared" si="979"/>
        <v>-1.8140205001280219E-2</v>
      </c>
    </row>
    <row r="925" spans="1:10" x14ac:dyDescent="0.45">
      <c r="A925" s="1">
        <v>41528</v>
      </c>
      <c r="B925">
        <v>107.56</v>
      </c>
      <c r="C925">
        <v>3.0718000000000001</v>
      </c>
      <c r="D925">
        <v>2.7122000000000002</v>
      </c>
      <c r="E925" s="2">
        <f t="shared" si="950"/>
        <v>11.386800000000013</v>
      </c>
      <c r="F925" s="2">
        <f t="shared" si="952"/>
        <v>12.144799999999995</v>
      </c>
      <c r="G925" s="2">
        <f t="shared" si="954"/>
        <v>12.603400000000002</v>
      </c>
      <c r="H925" s="2">
        <f t="shared" si="955"/>
        <v>-1.9640113110067858E-2</v>
      </c>
      <c r="I925" s="2">
        <f t="shared" ref="I925:J925" si="980">LN(C924)-LN(C923)</f>
        <v>-1.6653308827336843E-2</v>
      </c>
      <c r="J925" s="2">
        <f t="shared" si="980"/>
        <v>-2.408884827554747E-2</v>
      </c>
    </row>
    <row r="926" spans="1:10" x14ac:dyDescent="0.45">
      <c r="A926" s="1">
        <v>41529</v>
      </c>
      <c r="B926">
        <v>108.6</v>
      </c>
      <c r="C926">
        <v>3.1164000000000001</v>
      </c>
      <c r="D926">
        <v>2.7627000000000002</v>
      </c>
      <c r="E926" s="2">
        <f t="shared" si="950"/>
        <v>12.385200000000017</v>
      </c>
      <c r="F926" s="2">
        <f t="shared" si="952"/>
        <v>11.386800000000013</v>
      </c>
      <c r="G926" s="2">
        <f t="shared" si="954"/>
        <v>12.144799999999995</v>
      </c>
      <c r="H926" s="2">
        <f t="shared" si="955"/>
        <v>1.5817635305390709E-3</v>
      </c>
      <c r="I926" s="2">
        <f t="shared" ref="I926:J926" si="981">LN(C925)-LN(C924)</f>
        <v>1.6290362967883443E-3</v>
      </c>
      <c r="J926" s="2">
        <f t="shared" si="981"/>
        <v>-8.6272309538845127E-3</v>
      </c>
    </row>
    <row r="927" spans="1:10" x14ac:dyDescent="0.45">
      <c r="A927" s="1">
        <v>41530</v>
      </c>
      <c r="B927">
        <v>108.21</v>
      </c>
      <c r="C927">
        <v>3.1137000000000001</v>
      </c>
      <c r="D927">
        <v>2.7696000000000001</v>
      </c>
      <c r="E927" s="2">
        <f t="shared" si="950"/>
        <v>12.930600000000007</v>
      </c>
      <c r="F927" s="2">
        <f t="shared" si="952"/>
        <v>12.385200000000017</v>
      </c>
      <c r="G927" s="2">
        <f t="shared" si="954"/>
        <v>11.386800000000013</v>
      </c>
      <c r="H927" s="2">
        <f t="shared" si="955"/>
        <v>9.6225760991703879E-3</v>
      </c>
      <c r="I927" s="2">
        <f t="shared" ref="I927:J927" si="982">LN(C926)-LN(C925)</f>
        <v>1.4414780475175304E-2</v>
      </c>
      <c r="J927" s="2">
        <f t="shared" si="982"/>
        <v>1.8448348741586185E-2</v>
      </c>
    </row>
    <row r="928" spans="1:10" x14ac:dyDescent="0.45">
      <c r="A928" s="1">
        <v>41533</v>
      </c>
      <c r="B928">
        <v>106.59</v>
      </c>
      <c r="C928">
        <v>3.0636999999999999</v>
      </c>
      <c r="D928">
        <v>2.7166000000000001</v>
      </c>
      <c r="E928" s="2">
        <f t="shared" si="950"/>
        <v>12.366600000000005</v>
      </c>
      <c r="F928" s="2">
        <f t="shared" si="952"/>
        <v>12.930600000000007</v>
      </c>
      <c r="G928" s="2">
        <f t="shared" si="954"/>
        <v>12.385200000000017</v>
      </c>
      <c r="H928" s="2">
        <f t="shared" si="955"/>
        <v>-3.5976239162778256E-3</v>
      </c>
      <c r="I928" s="2">
        <f t="shared" ref="I928:J928" si="983">LN(C927)-LN(C926)</f>
        <v>-8.6675981735018226E-4</v>
      </c>
      <c r="J928" s="2">
        <f t="shared" si="983"/>
        <v>2.494443026513693E-3</v>
      </c>
    </row>
    <row r="929" spans="1:10" x14ac:dyDescent="0.45">
      <c r="A929" s="1">
        <v>41534</v>
      </c>
      <c r="B929">
        <v>105.42</v>
      </c>
      <c r="C929">
        <v>2.9983</v>
      </c>
      <c r="D929">
        <v>2.6610999999999998</v>
      </c>
      <c r="E929" s="2">
        <f t="shared" si="950"/>
        <v>11.067000000000007</v>
      </c>
      <c r="F929" s="2">
        <f t="shared" si="952"/>
        <v>12.366600000000005</v>
      </c>
      <c r="G929" s="2">
        <f t="shared" si="954"/>
        <v>12.930600000000007</v>
      </c>
      <c r="H929" s="2">
        <f t="shared" si="955"/>
        <v>-1.5084084882511561E-2</v>
      </c>
      <c r="I929" s="2">
        <f t="shared" ref="I929:J929" si="984">LN(C928)-LN(C927)</f>
        <v>-1.618839379964232E-2</v>
      </c>
      <c r="J929" s="2">
        <f t="shared" si="984"/>
        <v>-1.9321807033554461E-2</v>
      </c>
    </row>
    <row r="930" spans="1:10" x14ac:dyDescent="0.45">
      <c r="A930" s="1">
        <v>41535</v>
      </c>
      <c r="B930">
        <v>107.28</v>
      </c>
      <c r="C930">
        <v>3.0405000000000002</v>
      </c>
      <c r="D930">
        <v>2.7421000000000002</v>
      </c>
      <c r="E930" s="2">
        <f t="shared" si="950"/>
        <v>12.065800000000005</v>
      </c>
      <c r="F930" s="2">
        <f t="shared" si="952"/>
        <v>11.067000000000007</v>
      </c>
      <c r="G930" s="2">
        <f t="shared" si="954"/>
        <v>12.366600000000005</v>
      </c>
      <c r="H930" s="2">
        <f t="shared" si="955"/>
        <v>-1.1037327273984765E-2</v>
      </c>
      <c r="I930" s="2">
        <f t="shared" ref="I930:J930" si="985">LN(C929)-LN(C928)</f>
        <v>-2.1577874472366254E-2</v>
      </c>
      <c r="J930" s="2">
        <f t="shared" si="985"/>
        <v>-2.0641527259609882E-2</v>
      </c>
    </row>
    <row r="931" spans="1:10" x14ac:dyDescent="0.45">
      <c r="A931" s="1">
        <v>41536</v>
      </c>
      <c r="B931">
        <v>105.86</v>
      </c>
      <c r="C931">
        <v>3.004</v>
      </c>
      <c r="D931">
        <v>2.6796000000000002</v>
      </c>
      <c r="E931" s="2">
        <f t="shared" si="950"/>
        <v>11.224800000000016</v>
      </c>
      <c r="F931" s="2">
        <f t="shared" si="952"/>
        <v>12.065800000000005</v>
      </c>
      <c r="G931" s="2">
        <f t="shared" si="954"/>
        <v>11.067000000000007</v>
      </c>
      <c r="H931" s="2">
        <f t="shared" si="955"/>
        <v>1.748986754636217E-2</v>
      </c>
      <c r="I931" s="2">
        <f t="shared" ref="I931:J931" si="986">LN(C930)-LN(C929)</f>
        <v>1.3976514192820089E-2</v>
      </c>
      <c r="J931" s="2">
        <f t="shared" si="986"/>
        <v>2.9984479058598912E-2</v>
      </c>
    </row>
    <row r="932" spans="1:10" x14ac:dyDescent="0.45">
      <c r="A932" s="1">
        <v>41537</v>
      </c>
      <c r="B932">
        <v>104.75</v>
      </c>
      <c r="C932">
        <v>3.0053000000000001</v>
      </c>
      <c r="D932">
        <v>2.6674000000000002</v>
      </c>
      <c r="E932" s="2">
        <f t="shared" si="950"/>
        <v>12.011400000000018</v>
      </c>
      <c r="F932" s="2">
        <f t="shared" si="952"/>
        <v>11.224800000000016</v>
      </c>
      <c r="G932" s="2">
        <f t="shared" si="954"/>
        <v>12.065800000000005</v>
      </c>
      <c r="H932" s="2">
        <f t="shared" si="955"/>
        <v>-1.3324772543580998E-2</v>
      </c>
      <c r="I932" s="2">
        <f t="shared" ref="I932:J932" si="987">LN(C931)-LN(C930)</f>
        <v>-1.2077241676138994E-2</v>
      </c>
      <c r="J932" s="2">
        <f t="shared" si="987"/>
        <v>-2.3056520553266791E-2</v>
      </c>
    </row>
    <row r="933" spans="1:10" x14ac:dyDescent="0.45">
      <c r="A933" s="1">
        <v>41540</v>
      </c>
      <c r="B933">
        <v>103.59</v>
      </c>
      <c r="C933">
        <v>2.9565999999999999</v>
      </c>
      <c r="D933">
        <v>2.6150000000000002</v>
      </c>
      <c r="E933" s="2">
        <f t="shared" si="950"/>
        <v>11.022400000000024</v>
      </c>
      <c r="F933" s="2">
        <f t="shared" si="952"/>
        <v>12.011400000000018</v>
      </c>
      <c r="G933" s="2">
        <f t="shared" si="954"/>
        <v>11.224800000000016</v>
      </c>
      <c r="H933" s="2">
        <f t="shared" si="955"/>
        <v>-1.0540907627594187E-2</v>
      </c>
      <c r="I933" s="2">
        <f t="shared" ref="I933:J933" si="988">LN(C932)-LN(C931)</f>
        <v>4.3266271288810998E-4</v>
      </c>
      <c r="J933" s="2">
        <f t="shared" si="988"/>
        <v>-4.5633144458183672E-3</v>
      </c>
    </row>
    <row r="934" spans="1:10" x14ac:dyDescent="0.45">
      <c r="A934" s="1">
        <v>41541</v>
      </c>
      <c r="B934">
        <v>103.13</v>
      </c>
      <c r="C934">
        <v>2.9603999999999999</v>
      </c>
      <c r="D934">
        <v>2.6469</v>
      </c>
      <c r="E934" s="2">
        <f t="shared" si="950"/>
        <v>12.428800000000004</v>
      </c>
      <c r="F934" s="2">
        <f t="shared" si="952"/>
        <v>11.022400000000024</v>
      </c>
      <c r="G934" s="2">
        <f t="shared" si="954"/>
        <v>12.011400000000018</v>
      </c>
      <c r="H934" s="2">
        <f t="shared" si="955"/>
        <v>-1.1135758732236489E-2</v>
      </c>
      <c r="I934" s="2">
        <f t="shared" ref="I934:J934" si="989">LN(C933)-LN(C932)</f>
        <v>-1.6337437129924082E-2</v>
      </c>
      <c r="J934" s="2">
        <f t="shared" si="989"/>
        <v>-1.9840117689270853E-2</v>
      </c>
    </row>
    <row r="935" spans="1:10" x14ac:dyDescent="0.45">
      <c r="A935" s="1">
        <v>41542</v>
      </c>
      <c r="B935">
        <v>102.66</v>
      </c>
      <c r="C935">
        <v>2.9712999999999998</v>
      </c>
      <c r="D935">
        <v>2.6568999999999998</v>
      </c>
      <c r="E935" s="2">
        <f t="shared" si="950"/>
        <v>13.331399999999993</v>
      </c>
      <c r="F935" s="2">
        <f t="shared" si="952"/>
        <v>12.428800000000004</v>
      </c>
      <c r="G935" s="2">
        <f t="shared" si="954"/>
        <v>11.022400000000024</v>
      </c>
      <c r="H935" s="2">
        <f t="shared" si="955"/>
        <v>-4.4504717420332796E-3</v>
      </c>
      <c r="I935" s="2">
        <f t="shared" ref="I935:J935" si="990">LN(C934)-LN(C933)</f>
        <v>1.2844348563219032E-3</v>
      </c>
      <c r="J935" s="2">
        <f t="shared" si="990"/>
        <v>1.2125046397145289E-2</v>
      </c>
    </row>
    <row r="936" spans="1:10" x14ac:dyDescent="0.45">
      <c r="A936" s="1">
        <v>41543</v>
      </c>
      <c r="B936">
        <v>103.03</v>
      </c>
      <c r="C936">
        <v>2.9992999999999999</v>
      </c>
      <c r="D936">
        <v>2.6886999999999999</v>
      </c>
      <c r="E936" s="2">
        <f t="shared" si="950"/>
        <v>14.243799999999984</v>
      </c>
      <c r="F936" s="2">
        <f t="shared" si="952"/>
        <v>13.331399999999993</v>
      </c>
      <c r="G936" s="2">
        <f t="shared" si="954"/>
        <v>12.428800000000004</v>
      </c>
      <c r="H936" s="2">
        <f t="shared" si="955"/>
        <v>-4.5677711958207468E-3</v>
      </c>
      <c r="I936" s="2">
        <f t="shared" ref="I936:J936" si="991">LN(C935)-LN(C934)</f>
        <v>3.6751731438751101E-3</v>
      </c>
      <c r="J936" s="2">
        <f t="shared" si="991"/>
        <v>3.7708857233101911E-3</v>
      </c>
    </row>
    <row r="937" spans="1:10" x14ac:dyDescent="0.45">
      <c r="A937" s="1">
        <v>41544</v>
      </c>
      <c r="B937">
        <v>102.87</v>
      </c>
      <c r="C937">
        <v>2.9847999999999999</v>
      </c>
      <c r="D937">
        <v>2.6602000000000001</v>
      </c>
      <c r="E937" s="2">
        <f t="shared" si="950"/>
        <v>13.402799999999994</v>
      </c>
      <c r="F937" s="2">
        <f t="shared" si="952"/>
        <v>14.243799999999984</v>
      </c>
      <c r="G937" s="2">
        <f t="shared" si="954"/>
        <v>13.331399999999993</v>
      </c>
      <c r="H937" s="2">
        <f t="shared" si="955"/>
        <v>3.5976508248198869E-3</v>
      </c>
      <c r="I937" s="2">
        <f t="shared" ref="I937:J937" si="992">LN(C936)-LN(C935)</f>
        <v>9.3793606232692728E-3</v>
      </c>
      <c r="J937" s="2">
        <f t="shared" si="992"/>
        <v>1.1897775787693465E-2</v>
      </c>
    </row>
    <row r="938" spans="1:10" x14ac:dyDescent="0.45">
      <c r="A938" s="1">
        <v>41547</v>
      </c>
      <c r="B938">
        <v>102.33</v>
      </c>
      <c r="C938">
        <v>2.9714999999999998</v>
      </c>
      <c r="D938">
        <v>2.6282000000000001</v>
      </c>
      <c r="E938" s="2">
        <f t="shared" si="950"/>
        <v>12.860599999999996</v>
      </c>
      <c r="F938" s="2">
        <f t="shared" si="952"/>
        <v>13.402799999999994</v>
      </c>
      <c r="G938" s="2">
        <f t="shared" si="954"/>
        <v>14.243799999999984</v>
      </c>
      <c r="H938" s="2">
        <f t="shared" si="955"/>
        <v>-1.5541528140383676E-3</v>
      </c>
      <c r="I938" s="2">
        <f t="shared" ref="I938:J938" si="993">LN(C937)-LN(C936)</f>
        <v>-4.8461851835077674E-3</v>
      </c>
      <c r="J938" s="2">
        <f t="shared" si="993"/>
        <v>-1.065649748797648E-2</v>
      </c>
    </row>
    <row r="939" spans="1:10" x14ac:dyDescent="0.45">
      <c r="A939" s="1">
        <v>41548</v>
      </c>
      <c r="B939">
        <v>102.04</v>
      </c>
      <c r="C939">
        <v>2.9552999999999998</v>
      </c>
      <c r="D939">
        <v>2.6105999999999998</v>
      </c>
      <c r="E939" s="2">
        <f t="shared" si="950"/>
        <v>12.430999999999983</v>
      </c>
      <c r="F939" s="2">
        <f t="shared" si="952"/>
        <v>12.860599999999996</v>
      </c>
      <c r="G939" s="2">
        <f t="shared" si="954"/>
        <v>13.402799999999994</v>
      </c>
      <c r="H939" s="2">
        <f t="shared" si="955"/>
        <v>-5.2631700442749008E-3</v>
      </c>
      <c r="I939" s="2">
        <f t="shared" ref="I939:J939" si="994">LN(C938)-LN(C937)</f>
        <v>-4.4658671002326678E-3</v>
      </c>
      <c r="J939" s="2">
        <f t="shared" si="994"/>
        <v>-1.2102106709658167E-2</v>
      </c>
    </row>
    <row r="940" spans="1:10" x14ac:dyDescent="0.45">
      <c r="A940" s="1">
        <v>41549</v>
      </c>
      <c r="B940">
        <v>104.1</v>
      </c>
      <c r="C940">
        <v>2.9927000000000001</v>
      </c>
      <c r="D940">
        <v>2.6286999999999998</v>
      </c>
      <c r="E940" s="2">
        <f t="shared" si="950"/>
        <v>11.401400000000004</v>
      </c>
      <c r="F940" s="2">
        <f t="shared" si="952"/>
        <v>12.430999999999983</v>
      </c>
      <c r="G940" s="2">
        <f t="shared" si="954"/>
        <v>12.860599999999996</v>
      </c>
      <c r="H940" s="2">
        <f t="shared" si="955"/>
        <v>-2.8379918250527325E-3</v>
      </c>
      <c r="I940" s="2">
        <f t="shared" ref="I940:J940" si="995">LN(C939)-LN(C938)</f>
        <v>-5.4667072769722935E-3</v>
      </c>
      <c r="J940" s="2">
        <f t="shared" si="995"/>
        <v>-6.7191212548483037E-3</v>
      </c>
    </row>
    <row r="941" spans="1:10" x14ac:dyDescent="0.45">
      <c r="A941" s="1">
        <v>41550</v>
      </c>
      <c r="B941">
        <v>103.31</v>
      </c>
      <c r="C941">
        <v>3.0032999999999999</v>
      </c>
      <c r="D941">
        <v>2.6396000000000002</v>
      </c>
      <c r="E941" s="2">
        <f t="shared" si="950"/>
        <v>12.645000000000001</v>
      </c>
      <c r="F941" s="2">
        <f t="shared" si="952"/>
        <v>11.401400000000004</v>
      </c>
      <c r="G941" s="2">
        <f t="shared" si="954"/>
        <v>12.430999999999983</v>
      </c>
      <c r="H941" s="2">
        <f t="shared" si="955"/>
        <v>1.9987082347312501E-2</v>
      </c>
      <c r="I941" s="2">
        <f t="shared" ref="I941:J941" si="996">LN(C940)-LN(C939)</f>
        <v>1.2575821420153899E-2</v>
      </c>
      <c r="J941" s="2">
        <f t="shared" si="996"/>
        <v>6.9093474343485672E-3</v>
      </c>
    </row>
    <row r="942" spans="1:10" x14ac:dyDescent="0.45">
      <c r="A942" s="1">
        <v>41551</v>
      </c>
      <c r="B942">
        <v>103.84</v>
      </c>
      <c r="C942">
        <v>2.9990000000000001</v>
      </c>
      <c r="D942">
        <v>2.6076000000000001</v>
      </c>
      <c r="E942" s="2">
        <f t="shared" si="950"/>
        <v>11.158800000000005</v>
      </c>
      <c r="F942" s="2">
        <f t="shared" si="952"/>
        <v>12.645000000000001</v>
      </c>
      <c r="G942" s="2">
        <f t="shared" si="954"/>
        <v>11.401400000000004</v>
      </c>
      <c r="H942" s="2">
        <f t="shared" si="955"/>
        <v>-7.6177987595693608E-3</v>
      </c>
      <c r="I942" s="2">
        <f t="shared" ref="I942:J942" si="997">LN(C941)-LN(C940)</f>
        <v>3.5356941436506251E-3</v>
      </c>
      <c r="J942" s="2">
        <f t="shared" si="997"/>
        <v>4.1379631202286271E-3</v>
      </c>
    </row>
    <row r="943" spans="1:10" x14ac:dyDescent="0.45">
      <c r="A943" s="1">
        <v>41554</v>
      </c>
      <c r="B943">
        <v>103.03</v>
      </c>
      <c r="C943">
        <v>3.0093000000000001</v>
      </c>
      <c r="D943">
        <v>2.6261000000000001</v>
      </c>
      <c r="E943" s="2">
        <f t="shared" si="950"/>
        <v>12.630999999999991</v>
      </c>
      <c r="F943" s="2">
        <f t="shared" si="952"/>
        <v>11.158800000000005</v>
      </c>
      <c r="G943" s="2">
        <f t="shared" si="954"/>
        <v>12.645000000000001</v>
      </c>
      <c r="H943" s="2">
        <f t="shared" si="955"/>
        <v>5.1170760944261318E-3</v>
      </c>
      <c r="I943" s="2">
        <f t="shared" ref="I943:J943" si="998">LN(C942)-LN(C941)</f>
        <v>-1.4327843445385291E-3</v>
      </c>
      <c r="J943" s="2">
        <f t="shared" si="998"/>
        <v>-1.219713245888232E-2</v>
      </c>
    </row>
    <row r="944" spans="1:10" x14ac:dyDescent="0.45">
      <c r="A944" s="1">
        <v>41555</v>
      </c>
      <c r="B944">
        <v>103.49</v>
      </c>
      <c r="C944">
        <v>3.0325000000000002</v>
      </c>
      <c r="D944">
        <v>2.6305999999999998</v>
      </c>
      <c r="E944" s="2">
        <f t="shared" si="950"/>
        <v>12.621800000000007</v>
      </c>
      <c r="F944" s="2">
        <f t="shared" si="952"/>
        <v>12.630999999999991</v>
      </c>
      <c r="G944" s="2">
        <f t="shared" si="954"/>
        <v>11.158800000000005</v>
      </c>
      <c r="H944" s="2">
        <f t="shared" si="955"/>
        <v>-7.8310449988032715E-3</v>
      </c>
      <c r="I944" s="2">
        <f t="shared" ref="I944:J944" si="999">LN(C943)-LN(C942)</f>
        <v>3.4285938085401035E-3</v>
      </c>
      <c r="J944" s="2">
        <f t="shared" si="999"/>
        <v>7.0695978184546204E-3</v>
      </c>
    </row>
    <row r="945" spans="1:10" x14ac:dyDescent="0.45">
      <c r="A945" s="1">
        <v>41556</v>
      </c>
      <c r="B945">
        <v>101.61</v>
      </c>
      <c r="C945">
        <v>3.0173999999999999</v>
      </c>
      <c r="D945">
        <v>2.6230000000000002</v>
      </c>
      <c r="E945" s="2">
        <f t="shared" si="950"/>
        <v>14.077600000000018</v>
      </c>
      <c r="F945" s="2">
        <f t="shared" si="952"/>
        <v>12.621800000000007</v>
      </c>
      <c r="G945" s="2">
        <f t="shared" si="954"/>
        <v>12.630999999999991</v>
      </c>
      <c r="H945" s="2">
        <f t="shared" si="955"/>
        <v>4.4547817231048725E-3</v>
      </c>
      <c r="I945" s="2">
        <f t="shared" ref="I945:J945" si="1000">LN(C944)-LN(C943)</f>
        <v>7.6798682606560309E-3</v>
      </c>
      <c r="J945" s="2">
        <f t="shared" si="1000"/>
        <v>1.7121011658393082E-3</v>
      </c>
    </row>
    <row r="946" spans="1:10" x14ac:dyDescent="0.45">
      <c r="A946" s="1">
        <v>41557</v>
      </c>
      <c r="B946">
        <v>103.01</v>
      </c>
      <c r="C946">
        <v>3.07</v>
      </c>
      <c r="D946">
        <v>2.6981000000000002</v>
      </c>
      <c r="E946" s="2">
        <f t="shared" si="950"/>
        <v>15.516799999999989</v>
      </c>
      <c r="F946" s="2">
        <f t="shared" si="952"/>
        <v>14.077600000000018</v>
      </c>
      <c r="G946" s="2">
        <f t="shared" si="954"/>
        <v>12.621800000000007</v>
      </c>
      <c r="H946" s="2">
        <f t="shared" si="955"/>
        <v>-1.8333034182291819E-2</v>
      </c>
      <c r="I946" s="2">
        <f t="shared" ref="I946:J946" si="1001">LN(C945)-LN(C944)</f>
        <v>-4.9918284122312251E-3</v>
      </c>
      <c r="J946" s="2">
        <f t="shared" si="1001"/>
        <v>-2.8932561678044477E-3</v>
      </c>
    </row>
    <row r="947" spans="1:10" x14ac:dyDescent="0.45">
      <c r="A947" s="1">
        <v>41558</v>
      </c>
      <c r="B947">
        <v>102.02</v>
      </c>
      <c r="C947">
        <v>3.0348999999999999</v>
      </c>
      <c r="D947">
        <v>2.6680999999999999</v>
      </c>
      <c r="E947" s="2">
        <f t="shared" si="950"/>
        <v>15.175399999999987</v>
      </c>
      <c r="F947" s="2">
        <f t="shared" si="952"/>
        <v>15.516799999999989</v>
      </c>
      <c r="G947" s="2">
        <f t="shared" si="954"/>
        <v>14.077600000000018</v>
      </c>
      <c r="H947" s="2">
        <f t="shared" si="955"/>
        <v>1.368411539781178E-2</v>
      </c>
      <c r="I947" s="2">
        <f t="shared" ref="I947:J947" si="1002">LN(C946)-LN(C945)</f>
        <v>1.7282028175268804E-2</v>
      </c>
      <c r="J947" s="2">
        <f t="shared" si="1002"/>
        <v>2.8229120706172672E-2</v>
      </c>
    </row>
    <row r="948" spans="1:10" x14ac:dyDescent="0.45">
      <c r="A948" s="1">
        <v>41561</v>
      </c>
      <c r="B948">
        <v>102.41</v>
      </c>
      <c r="C948">
        <v>3.0316999999999998</v>
      </c>
      <c r="D948">
        <v>2.6667999999999998</v>
      </c>
      <c r="E948" s="2">
        <f t="shared" si="950"/>
        <v>14.704199999999977</v>
      </c>
      <c r="F948" s="2">
        <f t="shared" si="952"/>
        <v>15.175399999999987</v>
      </c>
      <c r="G948" s="2">
        <f t="shared" si="954"/>
        <v>15.516799999999989</v>
      </c>
      <c r="H948" s="2">
        <f t="shared" si="955"/>
        <v>-9.65719840082091E-3</v>
      </c>
      <c r="I948" s="2">
        <f t="shared" ref="I948:J948" si="1003">LN(C947)-LN(C946)</f>
        <v>-1.1499086559631833E-2</v>
      </c>
      <c r="J948" s="2">
        <f t="shared" si="1003"/>
        <v>-1.1181212980566624E-2</v>
      </c>
    </row>
    <row r="949" spans="1:10" x14ac:dyDescent="0.45">
      <c r="A949" s="1">
        <v>41562</v>
      </c>
      <c r="B949">
        <v>101.21</v>
      </c>
      <c r="C949">
        <v>3.0169999999999999</v>
      </c>
      <c r="D949">
        <v>2.6598000000000002</v>
      </c>
      <c r="E949" s="2">
        <f t="shared" si="950"/>
        <v>15.502400000000003</v>
      </c>
      <c r="F949" s="2">
        <f t="shared" si="952"/>
        <v>14.704199999999977</v>
      </c>
      <c r="G949" s="2">
        <f t="shared" si="954"/>
        <v>15.175399999999987</v>
      </c>
      <c r="H949" s="2">
        <f t="shared" si="955"/>
        <v>3.8154915925652233E-3</v>
      </c>
      <c r="I949" s="2">
        <f t="shared" ref="I949:J949" si="1004">LN(C948)-LN(C947)</f>
        <v>-1.0549567457167619E-3</v>
      </c>
      <c r="J949" s="2">
        <f t="shared" si="1004"/>
        <v>-4.8735684857492689E-4</v>
      </c>
    </row>
    <row r="950" spans="1:10" x14ac:dyDescent="0.45">
      <c r="A950" s="1">
        <v>41563</v>
      </c>
      <c r="B950">
        <v>102.29</v>
      </c>
      <c r="C950">
        <v>3.0392999999999999</v>
      </c>
      <c r="D950">
        <v>2.7021000000000002</v>
      </c>
      <c r="E950" s="2">
        <f t="shared" si="950"/>
        <v>15.919000000000002</v>
      </c>
      <c r="F950" s="2">
        <f t="shared" si="952"/>
        <v>15.502400000000003</v>
      </c>
      <c r="G950" s="2">
        <f t="shared" si="954"/>
        <v>14.704199999999977</v>
      </c>
      <c r="H950" s="2">
        <f t="shared" si="955"/>
        <v>-1.1786797886536249E-2</v>
      </c>
      <c r="I950" s="2">
        <f t="shared" ref="I950:J950" si="1005">LN(C949)-LN(C948)</f>
        <v>-4.8605581168330581E-3</v>
      </c>
      <c r="J950" s="2">
        <f t="shared" si="1005"/>
        <v>-2.6283197648420131E-3</v>
      </c>
    </row>
    <row r="951" spans="1:10" x14ac:dyDescent="0.45">
      <c r="A951" s="1">
        <v>41564</v>
      </c>
      <c r="B951">
        <v>100.67</v>
      </c>
      <c r="C951">
        <v>2.99</v>
      </c>
      <c r="D951">
        <v>2.6478999999999999</v>
      </c>
      <c r="E951" s="2">
        <f t="shared" si="950"/>
        <v>15.331200000000004</v>
      </c>
      <c r="F951" s="2">
        <f t="shared" si="952"/>
        <v>15.919000000000002</v>
      </c>
      <c r="G951" s="2">
        <f t="shared" si="954"/>
        <v>15.502400000000003</v>
      </c>
      <c r="H951" s="2">
        <f t="shared" si="955"/>
        <v>1.0614350268106421E-2</v>
      </c>
      <c r="I951" s="2">
        <f t="shared" ref="I951:J951" si="1006">LN(C950)-LN(C949)</f>
        <v>7.364265568680306E-3</v>
      </c>
      <c r="J951" s="2">
        <f t="shared" si="1006"/>
        <v>1.5778316478744059E-2</v>
      </c>
    </row>
    <row r="952" spans="1:10" x14ac:dyDescent="0.45">
      <c r="A952" s="1">
        <v>41565</v>
      </c>
      <c r="B952">
        <v>101.11</v>
      </c>
      <c r="C952">
        <v>3.0354000000000001</v>
      </c>
      <c r="D952">
        <v>2.6732</v>
      </c>
      <c r="E952" s="2">
        <f t="shared" si="950"/>
        <v>16.235200000000003</v>
      </c>
      <c r="F952" s="2">
        <f t="shared" si="952"/>
        <v>15.331200000000004</v>
      </c>
      <c r="G952" s="2">
        <f t="shared" si="954"/>
        <v>15.919000000000002</v>
      </c>
      <c r="H952" s="2">
        <f t="shared" si="955"/>
        <v>-1.5964075727584515E-2</v>
      </c>
      <c r="I952" s="2">
        <f t="shared" ref="I952:J952" si="1007">LN(C951)-LN(C950)</f>
        <v>-1.6353838343009297E-2</v>
      </c>
      <c r="J952" s="2">
        <f t="shared" si="1007"/>
        <v>-2.0262375464452309E-2</v>
      </c>
    </row>
    <row r="953" spans="1:10" x14ac:dyDescent="0.45">
      <c r="A953" s="1">
        <v>41568</v>
      </c>
      <c r="B953">
        <v>99.68</v>
      </c>
      <c r="C953">
        <v>3.0106000000000002</v>
      </c>
      <c r="D953">
        <v>2.6537999999999999</v>
      </c>
      <c r="E953" s="2">
        <f t="shared" si="950"/>
        <v>16.774799999999988</v>
      </c>
      <c r="F953" s="2">
        <f t="shared" si="952"/>
        <v>16.235200000000003</v>
      </c>
      <c r="G953" s="2">
        <f t="shared" si="954"/>
        <v>15.331200000000004</v>
      </c>
      <c r="H953" s="2">
        <f t="shared" si="955"/>
        <v>4.361192361976407E-3</v>
      </c>
      <c r="I953" s="2">
        <f t="shared" ref="I953:J953" si="1008">LN(C952)-LN(C951)</f>
        <v>1.5069824141213273E-2</v>
      </c>
      <c r="J953" s="2">
        <f t="shared" si="1008"/>
        <v>9.5093836435604651E-3</v>
      </c>
    </row>
    <row r="954" spans="1:10" x14ac:dyDescent="0.45">
      <c r="A954" s="1">
        <v>41569</v>
      </c>
      <c r="B954">
        <v>98.3</v>
      </c>
      <c r="C954">
        <v>2.9954000000000001</v>
      </c>
      <c r="D954">
        <v>2.6067999999999998</v>
      </c>
      <c r="E954" s="2">
        <f t="shared" si="950"/>
        <v>16.626000000000015</v>
      </c>
      <c r="F954" s="2">
        <f t="shared" si="952"/>
        <v>16.774799999999988</v>
      </c>
      <c r="G954" s="2">
        <f t="shared" si="954"/>
        <v>16.235200000000003</v>
      </c>
      <c r="H954" s="2">
        <f t="shared" si="955"/>
        <v>-1.4243978064165219E-2</v>
      </c>
      <c r="I954" s="2">
        <f t="shared" ref="I954:J954" si="1009">LN(C953)-LN(C952)</f>
        <v>-8.2038170995417659E-3</v>
      </c>
      <c r="J954" s="2">
        <f t="shared" si="1009"/>
        <v>-7.283681534579034E-3</v>
      </c>
    </row>
    <row r="955" spans="1:10" x14ac:dyDescent="0.45">
      <c r="A955" s="1">
        <v>41570</v>
      </c>
      <c r="B955">
        <v>96.86</v>
      </c>
      <c r="C955">
        <v>2.9222000000000001</v>
      </c>
      <c r="D955">
        <v>2.5430999999999999</v>
      </c>
      <c r="E955" s="2">
        <f t="shared" si="950"/>
        <v>15.257600000000005</v>
      </c>
      <c r="F955" s="2">
        <f t="shared" si="952"/>
        <v>16.626000000000015</v>
      </c>
      <c r="G955" s="2">
        <f t="shared" si="954"/>
        <v>16.774799999999988</v>
      </c>
      <c r="H955" s="2">
        <f t="shared" si="955"/>
        <v>-1.3941027886022361E-2</v>
      </c>
      <c r="I955" s="2">
        <f t="shared" ref="I955:J955" si="1010">LN(C954)-LN(C953)</f>
        <v>-5.0616158681082712E-3</v>
      </c>
      <c r="J955" s="2">
        <f t="shared" si="1010"/>
        <v>-1.7869159644110844E-2</v>
      </c>
    </row>
    <row r="956" spans="1:10" x14ac:dyDescent="0.45">
      <c r="A956" s="1">
        <v>41571</v>
      </c>
      <c r="B956">
        <v>97.11</v>
      </c>
      <c r="C956">
        <v>2.8988999999999998</v>
      </c>
      <c r="D956">
        <v>2.5724</v>
      </c>
      <c r="E956" s="2">
        <f t="shared" si="950"/>
        <v>15.501800000000003</v>
      </c>
      <c r="F956" s="2">
        <f t="shared" si="952"/>
        <v>15.257600000000005</v>
      </c>
      <c r="G956" s="2">
        <f t="shared" si="954"/>
        <v>16.626000000000015</v>
      </c>
      <c r="H956" s="2">
        <f t="shared" si="955"/>
        <v>-1.4757390178037788E-2</v>
      </c>
      <c r="I956" s="2">
        <f t="shared" ref="I956:J956" si="1011">LN(C955)-LN(C954)</f>
        <v>-2.4741021320311196E-2</v>
      </c>
      <c r="J956" s="2">
        <f t="shared" si="1011"/>
        <v>-2.4739606175755657E-2</v>
      </c>
    </row>
    <row r="957" spans="1:10" x14ac:dyDescent="0.45">
      <c r="A957" s="1">
        <v>41572</v>
      </c>
      <c r="B957">
        <v>97.85</v>
      </c>
      <c r="C957">
        <v>2.9089</v>
      </c>
      <c r="D957">
        <v>2.5674000000000001</v>
      </c>
      <c r="E957" s="2">
        <f t="shared" si="950"/>
        <v>14.761800000000031</v>
      </c>
      <c r="F957" s="2">
        <f t="shared" si="952"/>
        <v>15.501800000000003</v>
      </c>
      <c r="G957" s="2">
        <f t="shared" si="954"/>
        <v>15.257600000000005</v>
      </c>
      <c r="H957" s="2">
        <f t="shared" si="955"/>
        <v>2.577719631180031E-3</v>
      </c>
      <c r="I957" s="2">
        <f t="shared" ref="I957:J957" si="1012">LN(C956)-LN(C955)</f>
        <v>-8.0054025646116855E-3</v>
      </c>
      <c r="J957" s="2">
        <f t="shared" si="1012"/>
        <v>1.1455505978238523E-2</v>
      </c>
    </row>
    <row r="958" spans="1:10" x14ac:dyDescent="0.45">
      <c r="A958" s="1">
        <v>41575</v>
      </c>
      <c r="B958">
        <v>98.68</v>
      </c>
      <c r="C958">
        <v>2.9641999999999999</v>
      </c>
      <c r="D958">
        <v>2.6103000000000001</v>
      </c>
      <c r="E958" s="2">
        <f t="shared" si="950"/>
        <v>15.907199999999989</v>
      </c>
      <c r="F958" s="2">
        <f t="shared" si="952"/>
        <v>14.761800000000031</v>
      </c>
      <c r="G958" s="2">
        <f t="shared" si="954"/>
        <v>15.501800000000003</v>
      </c>
      <c r="H958" s="2">
        <f t="shared" si="955"/>
        <v>7.5913372358220599E-3</v>
      </c>
      <c r="I958" s="2">
        <f t="shared" ref="I958:J958" si="1013">LN(C957)-LN(C956)</f>
        <v>3.4436481567061694E-3</v>
      </c>
      <c r="J958" s="2">
        <f t="shared" si="1013"/>
        <v>-1.9456016098818862E-3</v>
      </c>
    </row>
    <row r="959" spans="1:10" x14ac:dyDescent="0.45">
      <c r="A959" s="1">
        <v>41576</v>
      </c>
      <c r="B959">
        <v>98.2</v>
      </c>
      <c r="C959">
        <v>2.9636</v>
      </c>
      <c r="D959">
        <v>2.5916999999999999</v>
      </c>
      <c r="E959" s="2">
        <f t="shared" si="950"/>
        <v>15.857999999999985</v>
      </c>
      <c r="F959" s="2">
        <f t="shared" si="952"/>
        <v>15.907199999999989</v>
      </c>
      <c r="G959" s="2">
        <f t="shared" si="954"/>
        <v>14.761800000000031</v>
      </c>
      <c r="H959" s="2">
        <f t="shared" si="955"/>
        <v>8.4465978190708668E-3</v>
      </c>
      <c r="I959" s="2">
        <f t="shared" ref="I959:J959" si="1014">LN(C958)-LN(C957)</f>
        <v>1.8832178692735901E-2</v>
      </c>
      <c r="J959" s="2">
        <f t="shared" si="1014"/>
        <v>1.6571443589262325E-2</v>
      </c>
    </row>
    <row r="960" spans="1:10" x14ac:dyDescent="0.45">
      <c r="A960" s="1">
        <v>41577</v>
      </c>
      <c r="B960">
        <v>96.77</v>
      </c>
      <c r="C960">
        <v>2.9767999999999999</v>
      </c>
      <c r="D960">
        <v>2.6215999999999999</v>
      </c>
      <c r="E960" s="2">
        <f t="shared" si="950"/>
        <v>18.310000000000002</v>
      </c>
      <c r="F960" s="2">
        <f t="shared" si="952"/>
        <v>15.857999999999985</v>
      </c>
      <c r="G960" s="2">
        <f t="shared" si="954"/>
        <v>15.907199999999989</v>
      </c>
      <c r="H960" s="2">
        <f t="shared" si="955"/>
        <v>-4.8760763007358321E-3</v>
      </c>
      <c r="I960" s="2">
        <f t="shared" ref="I960:J960" si="1015">LN(C959)-LN(C958)</f>
        <v>-2.0243598031277621E-4</v>
      </c>
      <c r="J960" s="2">
        <f t="shared" si="1015"/>
        <v>-7.1511262071404236E-3</v>
      </c>
    </row>
    <row r="961" spans="1:10" x14ac:dyDescent="0.45">
      <c r="A961" s="1">
        <v>41578</v>
      </c>
      <c r="B961">
        <v>96.38</v>
      </c>
      <c r="C961">
        <v>2.9539</v>
      </c>
      <c r="D961">
        <v>2.5870000000000002</v>
      </c>
      <c r="E961" s="2">
        <f t="shared" si="950"/>
        <v>17.410600000000006</v>
      </c>
      <c r="F961" s="2">
        <f t="shared" si="952"/>
        <v>18.310000000000002</v>
      </c>
      <c r="G961" s="2">
        <f t="shared" si="954"/>
        <v>15.857999999999985</v>
      </c>
      <c r="H961" s="2">
        <f t="shared" si="955"/>
        <v>-1.4669186467568984E-2</v>
      </c>
      <c r="I961" s="2">
        <f t="shared" ref="I961:J961" si="1016">LN(C960)-LN(C959)</f>
        <v>4.4441524899110352E-3</v>
      </c>
      <c r="J961" s="2">
        <f t="shared" si="1016"/>
        <v>1.1470787351656742E-2</v>
      </c>
    </row>
    <row r="962" spans="1:10" x14ac:dyDescent="0.45">
      <c r="A962" s="1">
        <v>41579</v>
      </c>
      <c r="B962">
        <v>94.61</v>
      </c>
      <c r="C962">
        <v>2.8822000000000001</v>
      </c>
      <c r="D962">
        <v>2.5453999999999999</v>
      </c>
      <c r="E962" s="2">
        <f t="shared" si="950"/>
        <v>17.012</v>
      </c>
      <c r="F962" s="2">
        <f t="shared" si="952"/>
        <v>17.410600000000006</v>
      </c>
      <c r="G962" s="2">
        <f t="shared" si="954"/>
        <v>18.310000000000002</v>
      </c>
      <c r="H962" s="2">
        <f t="shared" si="955"/>
        <v>-4.0383176806644272E-3</v>
      </c>
      <c r="I962" s="2">
        <f t="shared" ref="I962:J962" si="1017">LN(C961)-LN(C960)</f>
        <v>-7.7225669176139711E-3</v>
      </c>
      <c r="J962" s="2">
        <f t="shared" si="1017"/>
        <v>-1.3285915198575582E-2</v>
      </c>
    </row>
    <row r="963" spans="1:10" x14ac:dyDescent="0.45">
      <c r="A963" s="1">
        <v>41582</v>
      </c>
      <c r="B963">
        <v>94.62</v>
      </c>
      <c r="C963">
        <v>2.8740999999999999</v>
      </c>
      <c r="D963">
        <v>2.5282</v>
      </c>
      <c r="E963" s="2">
        <f t="shared" ref="E963:E1026" si="1018">(2*D963*42+1*C963*42-3*B963)/3</f>
        <v>16.407</v>
      </c>
      <c r="F963" s="2">
        <f t="shared" si="952"/>
        <v>17.012</v>
      </c>
      <c r="G963" s="2">
        <f t="shared" si="954"/>
        <v>17.410600000000006</v>
      </c>
      <c r="H963" s="2">
        <f t="shared" si="955"/>
        <v>-1.8535532495833174E-2</v>
      </c>
      <c r="I963" s="2">
        <f t="shared" ref="I963:J963" si="1019">LN(C962)-LN(C961)</f>
        <v>-2.4572439710537575E-2</v>
      </c>
      <c r="J963" s="2">
        <f t="shared" si="1019"/>
        <v>-1.6211094628082567E-2</v>
      </c>
    </row>
    <row r="964" spans="1:10" x14ac:dyDescent="0.45">
      <c r="A964" s="1">
        <v>41583</v>
      </c>
      <c r="B964">
        <v>93.37</v>
      </c>
      <c r="C964">
        <v>2.8641000000000001</v>
      </c>
      <c r="D964">
        <v>2.5160999999999998</v>
      </c>
      <c r="E964" s="2">
        <f t="shared" si="1018"/>
        <v>17.178199999999986</v>
      </c>
      <c r="F964" s="2">
        <f t="shared" ref="F964:F1027" si="1020">E963</f>
        <v>16.407</v>
      </c>
      <c r="G964" s="2">
        <f t="shared" si="954"/>
        <v>17.012</v>
      </c>
      <c r="H964" s="2">
        <f t="shared" si="955"/>
        <v>1.056914866488512E-4</v>
      </c>
      <c r="I964" s="2">
        <f t="shared" ref="I964:J964" si="1021">LN(C963)-LN(C962)</f>
        <v>-2.8143096594090977E-3</v>
      </c>
      <c r="J964" s="2">
        <f t="shared" si="1021"/>
        <v>-6.7802214964894914E-3</v>
      </c>
    </row>
    <row r="965" spans="1:10" x14ac:dyDescent="0.45">
      <c r="A965" s="1">
        <v>41584</v>
      </c>
      <c r="B965">
        <v>94.8</v>
      </c>
      <c r="C965">
        <v>2.8696000000000002</v>
      </c>
      <c r="D965">
        <v>2.548</v>
      </c>
      <c r="E965" s="2">
        <f t="shared" si="1018"/>
        <v>16.718400000000013</v>
      </c>
      <c r="F965" s="2">
        <f t="shared" si="1020"/>
        <v>17.178199999999986</v>
      </c>
      <c r="G965" s="2">
        <f t="shared" ref="G965:G1028" si="1022">E963</f>
        <v>16.407</v>
      </c>
      <c r="H965" s="2">
        <f t="shared" ref="H965:H1028" si="1023">LN(B964)-LN(B963)</f>
        <v>-1.3298775707167643E-2</v>
      </c>
      <c r="I965" s="2">
        <f t="shared" ref="I965:J965" si="1024">LN(C964)-LN(C963)</f>
        <v>-3.4854170727549594E-3</v>
      </c>
      <c r="J965" s="2">
        <f t="shared" si="1024"/>
        <v>-4.7975034029817953E-3</v>
      </c>
    </row>
    <row r="966" spans="1:10" x14ac:dyDescent="0.45">
      <c r="A966" s="1">
        <v>41585</v>
      </c>
      <c r="B966">
        <v>94.2</v>
      </c>
      <c r="C966">
        <v>2.8391999999999999</v>
      </c>
      <c r="D966">
        <v>2.5030999999999999</v>
      </c>
      <c r="E966" s="2">
        <f t="shared" si="1018"/>
        <v>15.635599999999991</v>
      </c>
      <c r="F966" s="2">
        <f t="shared" si="1020"/>
        <v>16.718400000000013</v>
      </c>
      <c r="G966" s="2">
        <f t="shared" si="1022"/>
        <v>17.178199999999986</v>
      </c>
      <c r="H966" s="2">
        <f t="shared" si="1023"/>
        <v>1.5199314765141914E-2</v>
      </c>
      <c r="I966" s="2">
        <f t="shared" ref="I966:J966" si="1025">LN(C965)-LN(C964)</f>
        <v>1.9184825459757082E-3</v>
      </c>
      <c r="J966" s="2">
        <f t="shared" si="1025"/>
        <v>1.2598654033578627E-2</v>
      </c>
    </row>
    <row r="967" spans="1:10" x14ac:dyDescent="0.45">
      <c r="A967" s="1">
        <v>41586</v>
      </c>
      <c r="B967">
        <v>94.6</v>
      </c>
      <c r="C967">
        <v>2.8719000000000001</v>
      </c>
      <c r="D967">
        <v>2.5533999999999999</v>
      </c>
      <c r="E967" s="2">
        <f t="shared" si="1018"/>
        <v>17.101800000000008</v>
      </c>
      <c r="F967" s="2">
        <f t="shared" si="1020"/>
        <v>15.635599999999991</v>
      </c>
      <c r="G967" s="2">
        <f t="shared" si="1022"/>
        <v>16.718400000000013</v>
      </c>
      <c r="H967" s="2">
        <f t="shared" si="1023"/>
        <v>-6.3492276786591972E-3</v>
      </c>
      <c r="I967" s="2">
        <f t="shared" ref="I967:J967" si="1026">LN(C966)-LN(C965)</f>
        <v>-1.06503248857861E-2</v>
      </c>
      <c r="J967" s="2">
        <f t="shared" si="1026"/>
        <v>-1.7778774000811071E-2</v>
      </c>
    </row>
    <row r="968" spans="1:10" x14ac:dyDescent="0.45">
      <c r="A968" s="1">
        <v>41589</v>
      </c>
      <c r="B968">
        <v>95.14</v>
      </c>
      <c r="C968">
        <v>2.8913000000000002</v>
      </c>
      <c r="D968">
        <v>2.5964999999999998</v>
      </c>
      <c r="E968" s="2">
        <f t="shared" si="1018"/>
        <v>18.040199999999988</v>
      </c>
      <c r="F968" s="2">
        <f t="shared" si="1020"/>
        <v>17.101800000000008</v>
      </c>
      <c r="G968" s="2">
        <f t="shared" si="1022"/>
        <v>15.635599999999991</v>
      </c>
      <c r="H968" s="2">
        <f t="shared" si="1023"/>
        <v>4.2372944755149078E-3</v>
      </c>
      <c r="I968" s="2">
        <f t="shared" ref="I968:J968" si="1027">LN(C967)-LN(C966)</f>
        <v>1.1451509288130435E-2</v>
      </c>
      <c r="J968" s="2">
        <f t="shared" si="1027"/>
        <v>1.9895840695007494E-2</v>
      </c>
    </row>
    <row r="969" spans="1:10" x14ac:dyDescent="0.45">
      <c r="A969" s="1">
        <v>41590</v>
      </c>
      <c r="B969">
        <v>93.04</v>
      </c>
      <c r="C969">
        <v>2.8532000000000002</v>
      </c>
      <c r="D969">
        <v>2.5863999999999998</v>
      </c>
      <c r="E969" s="2">
        <f t="shared" si="1018"/>
        <v>19.323999999999995</v>
      </c>
      <c r="F969" s="2">
        <f t="shared" si="1020"/>
        <v>18.040199999999988</v>
      </c>
      <c r="G969" s="2">
        <f t="shared" si="1022"/>
        <v>17.101800000000008</v>
      </c>
      <c r="H969" s="2">
        <f t="shared" si="1023"/>
        <v>5.6920149463035585E-3</v>
      </c>
      <c r="I969" s="2">
        <f t="shared" ref="I969:J969" si="1028">LN(C968)-LN(C967)</f>
        <v>6.7323963338494774E-3</v>
      </c>
      <c r="J969" s="2">
        <f t="shared" si="1028"/>
        <v>1.6738579898123107E-2</v>
      </c>
    </row>
    <row r="970" spans="1:10" x14ac:dyDescent="0.45">
      <c r="A970" s="1">
        <v>41591</v>
      </c>
      <c r="B970">
        <v>93.88</v>
      </c>
      <c r="C970">
        <v>2.8976999999999999</v>
      </c>
      <c r="D970">
        <v>2.6280000000000001</v>
      </c>
      <c r="E970" s="2">
        <f t="shared" si="1018"/>
        <v>20.271800000000002</v>
      </c>
      <c r="F970" s="2">
        <f t="shared" si="1020"/>
        <v>19.323999999999995</v>
      </c>
      <c r="G970" s="2">
        <f t="shared" si="1022"/>
        <v>18.040199999999988</v>
      </c>
      <c r="H970" s="2">
        <f t="shared" si="1023"/>
        <v>-2.2319982793726822E-2</v>
      </c>
      <c r="I970" s="2">
        <f t="shared" ref="I970:J970" si="1029">LN(C969)-LN(C968)</f>
        <v>-1.3265056550383569E-2</v>
      </c>
      <c r="J970" s="2">
        <f t="shared" si="1029"/>
        <v>-3.8974368731502507E-3</v>
      </c>
    </row>
    <row r="971" spans="1:10" x14ac:dyDescent="0.45">
      <c r="A971" s="1">
        <v>41592</v>
      </c>
      <c r="B971">
        <v>93.76</v>
      </c>
      <c r="C971">
        <v>2.9306000000000001</v>
      </c>
      <c r="D971">
        <v>2.6837</v>
      </c>
      <c r="E971" s="2">
        <f t="shared" si="1018"/>
        <v>22.411999999999995</v>
      </c>
      <c r="F971" s="2">
        <f t="shared" si="1020"/>
        <v>20.271800000000002</v>
      </c>
      <c r="G971" s="2">
        <f t="shared" si="1022"/>
        <v>19.323999999999995</v>
      </c>
      <c r="H971" s="2">
        <f t="shared" si="1023"/>
        <v>8.9878627724138127E-3</v>
      </c>
      <c r="I971" s="2">
        <f t="shared" ref="I971:J971" si="1030">LN(C970)-LN(C969)</f>
        <v>1.5476147449476674E-2</v>
      </c>
      <c r="J971" s="2">
        <f t="shared" si="1030"/>
        <v>1.5956153193277922E-2</v>
      </c>
    </row>
    <row r="972" spans="1:10" x14ac:dyDescent="0.45">
      <c r="A972" s="1">
        <v>41593</v>
      </c>
      <c r="B972">
        <v>93.84</v>
      </c>
      <c r="C972">
        <v>2.9388999999999998</v>
      </c>
      <c r="D972">
        <v>2.6577000000000002</v>
      </c>
      <c r="E972" s="2">
        <f t="shared" si="1018"/>
        <v>21.720200000000016</v>
      </c>
      <c r="F972" s="2">
        <f t="shared" si="1020"/>
        <v>22.411999999999995</v>
      </c>
      <c r="G972" s="2">
        <f t="shared" si="1022"/>
        <v>20.271800000000002</v>
      </c>
      <c r="H972" s="2">
        <f t="shared" si="1023"/>
        <v>-1.2790451541198067E-3</v>
      </c>
      <c r="I972" s="2">
        <f t="shared" ref="I972:J972" si="1031">LN(C971)-LN(C970)</f>
        <v>1.1289861350564978E-2</v>
      </c>
      <c r="J972" s="2">
        <f t="shared" si="1031"/>
        <v>2.0973338767521943E-2</v>
      </c>
    </row>
    <row r="973" spans="1:10" x14ac:dyDescent="0.45">
      <c r="A973" s="1">
        <v>41596</v>
      </c>
      <c r="B973">
        <v>93.03</v>
      </c>
      <c r="C973">
        <v>2.9222000000000001</v>
      </c>
      <c r="D973">
        <v>2.6568000000000001</v>
      </c>
      <c r="E973" s="2">
        <f t="shared" si="1018"/>
        <v>22.271199999999983</v>
      </c>
      <c r="F973" s="2">
        <f t="shared" si="1020"/>
        <v>21.720200000000016</v>
      </c>
      <c r="G973" s="2">
        <f t="shared" si="1022"/>
        <v>22.411999999999995</v>
      </c>
      <c r="H973" s="2">
        <f t="shared" si="1023"/>
        <v>8.5287851651738578E-4</v>
      </c>
      <c r="I973" s="2">
        <f t="shared" ref="I973:J973" si="1032">LN(C972)-LN(C971)</f>
        <v>2.8281814574908637E-3</v>
      </c>
      <c r="J973" s="2">
        <f t="shared" si="1032"/>
        <v>-9.7353522859267017E-3</v>
      </c>
    </row>
    <row r="974" spans="1:10" x14ac:dyDescent="0.45">
      <c r="A974" s="1">
        <v>41597</v>
      </c>
      <c r="B974">
        <v>93.89</v>
      </c>
      <c r="C974">
        <v>2.9058000000000002</v>
      </c>
      <c r="D974">
        <v>2.6198999999999999</v>
      </c>
      <c r="E974" s="2">
        <f t="shared" si="1018"/>
        <v>20.148399999999999</v>
      </c>
      <c r="F974" s="2">
        <f t="shared" si="1020"/>
        <v>22.271199999999983</v>
      </c>
      <c r="G974" s="2">
        <f t="shared" si="1022"/>
        <v>21.720200000000016</v>
      </c>
      <c r="H974" s="2">
        <f t="shared" si="1023"/>
        <v>-8.6691825647529086E-3</v>
      </c>
      <c r="I974" s="2">
        <f t="shared" ref="I974:J974" si="1033">LN(C973)-LN(C972)</f>
        <v>-5.6986044234315081E-3</v>
      </c>
      <c r="J974" s="2">
        <f t="shared" si="1033"/>
        <v>-3.3869602355962591E-4</v>
      </c>
    </row>
    <row r="975" spans="1:10" x14ac:dyDescent="0.45">
      <c r="A975" s="1">
        <v>41598</v>
      </c>
      <c r="B975">
        <v>93.85</v>
      </c>
      <c r="C975">
        <v>2.9527999999999999</v>
      </c>
      <c r="D975">
        <v>2.6457999999999999</v>
      </c>
      <c r="E975" s="2">
        <f t="shared" si="1018"/>
        <v>21.571600000000007</v>
      </c>
      <c r="F975" s="2">
        <f t="shared" si="1020"/>
        <v>20.148399999999999</v>
      </c>
      <c r="G975" s="2">
        <f t="shared" si="1022"/>
        <v>22.271199999999983</v>
      </c>
      <c r="H975" s="2">
        <f t="shared" si="1023"/>
        <v>9.2018624899887769E-3</v>
      </c>
      <c r="I975" s="2">
        <f t="shared" ref="I975:J975" si="1034">LN(C974)-LN(C973)</f>
        <v>-5.6280176007457161E-3</v>
      </c>
      <c r="J975" s="2">
        <f t="shared" si="1034"/>
        <v>-1.3986241974739966E-2</v>
      </c>
    </row>
    <row r="976" spans="1:10" x14ac:dyDescent="0.45">
      <c r="A976" s="1">
        <v>41599</v>
      </c>
      <c r="B976">
        <v>95.44</v>
      </c>
      <c r="C976">
        <v>3.0055999999999998</v>
      </c>
      <c r="D976">
        <v>2.7191000000000001</v>
      </c>
      <c r="E976" s="2">
        <f t="shared" si="1018"/>
        <v>22.773199999999992</v>
      </c>
      <c r="F976" s="2">
        <f t="shared" si="1020"/>
        <v>21.571600000000007</v>
      </c>
      <c r="G976" s="2">
        <f t="shared" si="1022"/>
        <v>20.148399999999999</v>
      </c>
      <c r="H976" s="2">
        <f t="shared" si="1023"/>
        <v>-4.2612123793794865E-4</v>
      </c>
      <c r="I976" s="2">
        <f t="shared" ref="I976:J976" si="1035">LN(C975)-LN(C974)</f>
        <v>1.6045133078550267E-2</v>
      </c>
      <c r="J976" s="2">
        <f t="shared" si="1035"/>
        <v>9.8373279404828651E-3</v>
      </c>
    </row>
    <row r="977" spans="1:10" x14ac:dyDescent="0.45">
      <c r="A977" s="1">
        <v>41600</v>
      </c>
      <c r="B977">
        <v>94.84</v>
      </c>
      <c r="C977">
        <v>3.0392999999999999</v>
      </c>
      <c r="D977">
        <v>2.7111000000000001</v>
      </c>
      <c r="E977" s="2">
        <f t="shared" si="1018"/>
        <v>23.62100000000002</v>
      </c>
      <c r="F977" s="2">
        <f t="shared" si="1020"/>
        <v>22.773199999999992</v>
      </c>
      <c r="G977" s="2">
        <f t="shared" si="1022"/>
        <v>21.571600000000007</v>
      </c>
      <c r="H977" s="2">
        <f t="shared" si="1023"/>
        <v>1.6800014757142101E-2</v>
      </c>
      <c r="I977" s="2">
        <f t="shared" ref="I977:J977" si="1036">LN(C976)-LN(C975)</f>
        <v>1.7723342543970455E-2</v>
      </c>
      <c r="J977" s="2">
        <f t="shared" si="1036"/>
        <v>2.7327466155178115E-2</v>
      </c>
    </row>
    <row r="978" spans="1:10" x14ac:dyDescent="0.45">
      <c r="A978" s="1">
        <v>41603</v>
      </c>
      <c r="B978">
        <v>94.09</v>
      </c>
      <c r="C978">
        <v>3.0304000000000002</v>
      </c>
      <c r="D978">
        <v>2.6736</v>
      </c>
      <c r="E978" s="2">
        <f t="shared" si="1018"/>
        <v>23.196400000000001</v>
      </c>
      <c r="F978" s="2">
        <f t="shared" si="1020"/>
        <v>23.62100000000002</v>
      </c>
      <c r="G978" s="2">
        <f t="shared" si="1022"/>
        <v>22.773199999999992</v>
      </c>
      <c r="H978" s="2">
        <f t="shared" si="1023"/>
        <v>-6.3065165924554023E-3</v>
      </c>
      <c r="I978" s="2">
        <f t="shared" ref="I978:J978" si="1037">LN(C977)-LN(C976)</f>
        <v>1.1150010467982252E-2</v>
      </c>
      <c r="J978" s="2">
        <f t="shared" si="1037"/>
        <v>-2.9464866074380147E-3</v>
      </c>
    </row>
    <row r="979" spans="1:10" x14ac:dyDescent="0.45">
      <c r="A979" s="1">
        <v>41604</v>
      </c>
      <c r="B979">
        <v>93.68</v>
      </c>
      <c r="C979">
        <v>3.0425</v>
      </c>
      <c r="D979">
        <v>2.6825000000000001</v>
      </c>
      <c r="E979" s="2">
        <f t="shared" si="1018"/>
        <v>24.024999999999995</v>
      </c>
      <c r="F979" s="2">
        <f t="shared" si="1020"/>
        <v>23.196400000000001</v>
      </c>
      <c r="G979" s="2">
        <f t="shared" si="1022"/>
        <v>23.62100000000002</v>
      </c>
      <c r="H979" s="2">
        <f t="shared" si="1023"/>
        <v>-7.9394901785301286E-3</v>
      </c>
      <c r="I979" s="2">
        <f t="shared" ref="I979:J979" si="1038">LN(C978)-LN(C977)</f>
        <v>-2.9326017359823098E-3</v>
      </c>
      <c r="J979" s="2">
        <f t="shared" si="1038"/>
        <v>-1.3928577734890535E-2</v>
      </c>
    </row>
    <row r="980" spans="1:10" x14ac:dyDescent="0.45">
      <c r="A980" s="1">
        <v>41605</v>
      </c>
      <c r="B980">
        <v>92.3</v>
      </c>
      <c r="C980">
        <v>3.0430000000000001</v>
      </c>
      <c r="D980">
        <v>2.6945999999999999</v>
      </c>
      <c r="E980" s="2">
        <f t="shared" si="1018"/>
        <v>25.750800000000009</v>
      </c>
      <c r="F980" s="2">
        <f t="shared" si="1020"/>
        <v>24.024999999999995</v>
      </c>
      <c r="G980" s="2">
        <f t="shared" si="1022"/>
        <v>23.196400000000001</v>
      </c>
      <c r="H980" s="2">
        <f t="shared" si="1023"/>
        <v>-4.367051729213145E-3</v>
      </c>
      <c r="I980" s="2">
        <f t="shared" ref="I980:J980" si="1039">LN(C979)-LN(C978)</f>
        <v>3.9849218699230526E-3</v>
      </c>
      <c r="J980" s="2">
        <f t="shared" si="1039"/>
        <v>3.3233166637243183E-3</v>
      </c>
    </row>
    <row r="981" spans="1:10" x14ac:dyDescent="0.45">
      <c r="A981" s="1">
        <v>41607</v>
      </c>
      <c r="B981">
        <v>92.72</v>
      </c>
      <c r="C981">
        <v>3.0308000000000002</v>
      </c>
      <c r="D981">
        <v>2.6627999999999998</v>
      </c>
      <c r="E981" s="2">
        <f t="shared" si="1018"/>
        <v>24.269600000000008</v>
      </c>
      <c r="F981" s="2">
        <f t="shared" si="1020"/>
        <v>25.750800000000009</v>
      </c>
      <c r="G981" s="2">
        <f t="shared" si="1022"/>
        <v>24.024999999999995</v>
      </c>
      <c r="H981" s="2">
        <f t="shared" si="1023"/>
        <v>-1.484057778065484E-2</v>
      </c>
      <c r="I981" s="2">
        <f t="shared" ref="I981:J981" si="1040">LN(C980)-LN(C979)</f>
        <v>1.6432503528895914E-4</v>
      </c>
      <c r="J981" s="2">
        <f t="shared" si="1040"/>
        <v>4.5005748168936988E-3</v>
      </c>
    </row>
    <row r="982" spans="1:10" x14ac:dyDescent="0.45">
      <c r="A982" s="1">
        <v>41610</v>
      </c>
      <c r="B982">
        <v>93.82</v>
      </c>
      <c r="C982">
        <v>3.0501</v>
      </c>
      <c r="D982">
        <v>2.6783999999999999</v>
      </c>
      <c r="E982" s="2">
        <f t="shared" si="1018"/>
        <v>23.876599999999996</v>
      </c>
      <c r="F982" s="2">
        <f t="shared" si="1020"/>
        <v>24.269600000000008</v>
      </c>
      <c r="G982" s="2">
        <f t="shared" si="1022"/>
        <v>25.750800000000009</v>
      </c>
      <c r="H982" s="2">
        <f t="shared" si="1023"/>
        <v>4.540057522689267E-3</v>
      </c>
      <c r="I982" s="2">
        <f t="shared" ref="I982:J982" si="1041">LN(C981)-LN(C980)</f>
        <v>-4.0172598397527626E-3</v>
      </c>
      <c r="J982" s="2">
        <f t="shared" si="1041"/>
        <v>-1.1871569595198861E-2</v>
      </c>
    </row>
    <row r="983" spans="1:10" x14ac:dyDescent="0.45">
      <c r="A983" s="1">
        <v>41611</v>
      </c>
      <c r="B983">
        <v>96.04</v>
      </c>
      <c r="C983">
        <v>3.0651000000000002</v>
      </c>
      <c r="D983">
        <v>2.7237</v>
      </c>
      <c r="E983" s="2">
        <f t="shared" si="1018"/>
        <v>23.134999999999991</v>
      </c>
      <c r="F983" s="2">
        <f t="shared" si="1020"/>
        <v>23.876599999999996</v>
      </c>
      <c r="G983" s="2">
        <f t="shared" si="1022"/>
        <v>24.269600000000008</v>
      </c>
      <c r="H983" s="2">
        <f t="shared" si="1023"/>
        <v>1.1793853868815596E-2</v>
      </c>
      <c r="I983" s="2">
        <f t="shared" ref="I983:J983" si="1042">LN(C982)-LN(C981)</f>
        <v>6.347765892006807E-3</v>
      </c>
      <c r="J983" s="2">
        <f t="shared" si="1042"/>
        <v>5.8414005686077131E-3</v>
      </c>
    </row>
    <row r="984" spans="1:10" x14ac:dyDescent="0.45">
      <c r="A984" s="1">
        <v>41612</v>
      </c>
      <c r="B984">
        <v>97.2</v>
      </c>
      <c r="C984">
        <v>3.0590999999999999</v>
      </c>
      <c r="D984">
        <v>2.7191999999999998</v>
      </c>
      <c r="E984" s="2">
        <f t="shared" si="1018"/>
        <v>21.764999999999986</v>
      </c>
      <c r="F984" s="2">
        <f t="shared" si="1020"/>
        <v>23.134999999999991</v>
      </c>
      <c r="G984" s="2">
        <f t="shared" si="1022"/>
        <v>23.876599999999996</v>
      </c>
      <c r="H984" s="2">
        <f t="shared" si="1023"/>
        <v>2.3386718452741206E-2</v>
      </c>
      <c r="I984" s="2">
        <f t="shared" ref="I984:J984" si="1043">LN(C983)-LN(C982)</f>
        <v>4.9058183162624669E-3</v>
      </c>
      <c r="J984" s="2">
        <f t="shared" si="1043"/>
        <v>1.6771648750664947E-2</v>
      </c>
    </row>
    <row r="985" spans="1:10" x14ac:dyDescent="0.45">
      <c r="A985" s="1">
        <v>41613</v>
      </c>
      <c r="B985">
        <v>97.38</v>
      </c>
      <c r="C985">
        <v>3.0495999999999999</v>
      </c>
      <c r="D985">
        <v>2.7126999999999999</v>
      </c>
      <c r="E985" s="2">
        <f t="shared" si="1018"/>
        <v>21.27</v>
      </c>
      <c r="F985" s="2">
        <f t="shared" si="1020"/>
        <v>21.764999999999986</v>
      </c>
      <c r="G985" s="2">
        <f t="shared" si="1022"/>
        <v>23.134999999999991</v>
      </c>
      <c r="H985" s="2">
        <f t="shared" si="1023"/>
        <v>1.200594011334033E-2</v>
      </c>
      <c r="I985" s="2">
        <f t="shared" ref="I985:J985" si="1044">LN(C984)-LN(C983)</f>
        <v>-1.9594402271978506E-3</v>
      </c>
      <c r="J985" s="2">
        <f t="shared" si="1044"/>
        <v>-1.6535306639149372E-3</v>
      </c>
    </row>
    <row r="986" spans="1:10" x14ac:dyDescent="0.45">
      <c r="A986" s="1">
        <v>41614</v>
      </c>
      <c r="B986">
        <v>97.65</v>
      </c>
      <c r="C986">
        <v>3.0565000000000002</v>
      </c>
      <c r="D986">
        <v>2.7269000000000001</v>
      </c>
      <c r="E986" s="2">
        <f t="shared" si="1018"/>
        <v>21.494199999999996</v>
      </c>
      <c r="F986" s="2">
        <f t="shared" si="1020"/>
        <v>21.27</v>
      </c>
      <c r="G986" s="2">
        <f t="shared" si="1022"/>
        <v>21.764999999999986</v>
      </c>
      <c r="H986" s="2">
        <f t="shared" si="1023"/>
        <v>1.8501392881615786E-3</v>
      </c>
      <c r="I986" s="2">
        <f t="shared" ref="I986:J986" si="1045">LN(C985)-LN(C984)</f>
        <v>-3.1103205784068777E-3</v>
      </c>
      <c r="J986" s="2">
        <f t="shared" si="1045"/>
        <v>-2.393270532420555E-3</v>
      </c>
    </row>
    <row r="987" spans="1:10" x14ac:dyDescent="0.45">
      <c r="A987" s="1">
        <v>41617</v>
      </c>
      <c r="B987">
        <v>97.34</v>
      </c>
      <c r="C987">
        <v>3.0143</v>
      </c>
      <c r="D987">
        <v>2.6749000000000001</v>
      </c>
      <c r="E987" s="2">
        <f t="shared" si="1018"/>
        <v>19.757400000000001</v>
      </c>
      <c r="F987" s="2">
        <f t="shared" si="1020"/>
        <v>21.494199999999996</v>
      </c>
      <c r="G987" s="2">
        <f t="shared" si="1022"/>
        <v>21.27</v>
      </c>
      <c r="H987" s="2">
        <f t="shared" si="1023"/>
        <v>2.7688065681337193E-3</v>
      </c>
      <c r="I987" s="2">
        <f t="shared" ref="I987:J987" si="1046">LN(C986)-LN(C985)</f>
        <v>2.2600360088973481E-3</v>
      </c>
      <c r="J987" s="2">
        <f t="shared" si="1046"/>
        <v>5.2209839900296817E-3</v>
      </c>
    </row>
    <row r="988" spans="1:10" x14ac:dyDescent="0.45">
      <c r="A988" s="1">
        <v>41618</v>
      </c>
      <c r="B988">
        <v>98.51</v>
      </c>
      <c r="C988">
        <v>3.0173000000000001</v>
      </c>
      <c r="D988">
        <v>2.6829000000000001</v>
      </c>
      <c r="E988" s="2">
        <f t="shared" si="1018"/>
        <v>18.853400000000004</v>
      </c>
      <c r="F988" s="2">
        <f t="shared" si="1020"/>
        <v>19.757400000000001</v>
      </c>
      <c r="G988" s="2">
        <f t="shared" si="1022"/>
        <v>21.494199999999996</v>
      </c>
      <c r="H988" s="2">
        <f t="shared" si="1023"/>
        <v>-3.1796529173799826E-3</v>
      </c>
      <c r="I988" s="2">
        <f t="shared" ref="I988:J988" si="1047">LN(C987)-LN(C986)</f>
        <v>-1.3902839734673433E-2</v>
      </c>
      <c r="J988" s="2">
        <f t="shared" si="1047"/>
        <v>-1.9253436385746836E-2</v>
      </c>
    </row>
    <row r="989" spans="1:10" x14ac:dyDescent="0.45">
      <c r="A989" s="1">
        <v>41619</v>
      </c>
      <c r="B989">
        <v>97.44</v>
      </c>
      <c r="C989">
        <v>3.0211999999999999</v>
      </c>
      <c r="D989">
        <v>2.6610999999999998</v>
      </c>
      <c r="E989" s="2">
        <f t="shared" si="1018"/>
        <v>19.367599999999999</v>
      </c>
      <c r="F989" s="2">
        <f t="shared" si="1020"/>
        <v>18.853400000000004</v>
      </c>
      <c r="G989" s="2">
        <f t="shared" si="1022"/>
        <v>19.757400000000001</v>
      </c>
      <c r="H989" s="2">
        <f t="shared" si="1023"/>
        <v>1.1948061462279114E-2</v>
      </c>
      <c r="I989" s="2">
        <f t="shared" ref="I989:J989" si="1048">LN(C988)-LN(C987)</f>
        <v>9.9476100782136534E-4</v>
      </c>
      <c r="J989" s="2">
        <f t="shared" si="1048"/>
        <v>2.9863025664766951E-3</v>
      </c>
    </row>
    <row r="990" spans="1:10" x14ac:dyDescent="0.45">
      <c r="A990" s="1">
        <v>41620</v>
      </c>
      <c r="B990">
        <v>97.5</v>
      </c>
      <c r="C990">
        <v>2.9801000000000002</v>
      </c>
      <c r="D990">
        <v>2.6347999999999998</v>
      </c>
      <c r="E990" s="2">
        <f t="shared" si="1018"/>
        <v>17.995799999999992</v>
      </c>
      <c r="F990" s="2">
        <f t="shared" si="1020"/>
        <v>19.367599999999999</v>
      </c>
      <c r="G990" s="2">
        <f t="shared" si="1022"/>
        <v>18.853400000000004</v>
      </c>
      <c r="H990" s="2">
        <f t="shared" si="1023"/>
        <v>-1.0921261906000623E-2</v>
      </c>
      <c r="I990" s="2">
        <f t="shared" ref="I990:J990" si="1049">LN(C989)-LN(C988)</f>
        <v>1.2917116973647502E-3</v>
      </c>
      <c r="J990" s="2">
        <f t="shared" si="1049"/>
        <v>-8.1587278914646566E-3</v>
      </c>
    </row>
    <row r="991" spans="1:10" x14ac:dyDescent="0.45">
      <c r="A991" s="1">
        <v>41621</v>
      </c>
      <c r="B991">
        <v>96.6</v>
      </c>
      <c r="C991">
        <v>2.9756999999999998</v>
      </c>
      <c r="D991">
        <v>2.6293000000000002</v>
      </c>
      <c r="E991" s="2">
        <f t="shared" si="1018"/>
        <v>18.680200000000013</v>
      </c>
      <c r="F991" s="2">
        <f t="shared" si="1020"/>
        <v>17.995799999999992</v>
      </c>
      <c r="G991" s="2">
        <f t="shared" si="1022"/>
        <v>19.367599999999999</v>
      </c>
      <c r="H991" s="2">
        <f t="shared" si="1023"/>
        <v>6.1557404221446177E-4</v>
      </c>
      <c r="I991" s="2">
        <f t="shared" ref="I991:J991" si="1050">LN(C990)-LN(C989)</f>
        <v>-1.369724645588799E-2</v>
      </c>
      <c r="J991" s="2">
        <f t="shared" si="1050"/>
        <v>-9.9322933622426612E-3</v>
      </c>
    </row>
    <row r="992" spans="1:10" x14ac:dyDescent="0.45">
      <c r="A992" s="1">
        <v>41624</v>
      </c>
      <c r="B992">
        <v>97.48</v>
      </c>
      <c r="C992">
        <v>2.9902000000000002</v>
      </c>
      <c r="D992">
        <v>2.6436999999999999</v>
      </c>
      <c r="E992" s="2">
        <f t="shared" si="1018"/>
        <v>18.406400000000001</v>
      </c>
      <c r="F992" s="2">
        <f t="shared" si="1020"/>
        <v>18.680200000000013</v>
      </c>
      <c r="G992" s="2">
        <f t="shared" si="1022"/>
        <v>17.995799999999992</v>
      </c>
      <c r="H992" s="2">
        <f t="shared" si="1023"/>
        <v>-9.273636785328776E-3</v>
      </c>
      <c r="I992" s="2">
        <f t="shared" ref="I992:J992" si="1051">LN(C991)-LN(C990)</f>
        <v>-1.4775515633471681E-3</v>
      </c>
      <c r="J992" s="2">
        <f t="shared" si="1051"/>
        <v>-2.0896267173231564E-3</v>
      </c>
    </row>
    <row r="993" spans="1:10" x14ac:dyDescent="0.45">
      <c r="A993" s="1">
        <v>41625</v>
      </c>
      <c r="B993">
        <v>97.47</v>
      </c>
      <c r="C993">
        <v>2.9628999999999999</v>
      </c>
      <c r="D993">
        <v>2.6472000000000002</v>
      </c>
      <c r="E993" s="2">
        <f t="shared" si="1018"/>
        <v>18.132200000000012</v>
      </c>
      <c r="F993" s="2">
        <f t="shared" si="1020"/>
        <v>18.406400000000001</v>
      </c>
      <c r="G993" s="2">
        <f t="shared" si="1022"/>
        <v>18.680200000000013</v>
      </c>
      <c r="H993" s="2">
        <f t="shared" si="1023"/>
        <v>9.0684875385331765E-3</v>
      </c>
      <c r="I993" s="2">
        <f t="shared" ref="I993:J993" si="1052">LN(C992)-LN(C991)</f>
        <v>4.8609693597696513E-3</v>
      </c>
      <c r="J993" s="2">
        <f t="shared" si="1052"/>
        <v>5.4618000369783815E-3</v>
      </c>
    </row>
    <row r="994" spans="1:10" x14ac:dyDescent="0.45">
      <c r="A994" s="1">
        <v>41626</v>
      </c>
      <c r="B994">
        <v>98.06</v>
      </c>
      <c r="C994">
        <v>3.0101</v>
      </c>
      <c r="D994">
        <v>2.6972999999999998</v>
      </c>
      <c r="E994" s="2">
        <f t="shared" si="1018"/>
        <v>19.605799999999988</v>
      </c>
      <c r="F994" s="2">
        <f t="shared" si="1020"/>
        <v>18.132200000000012</v>
      </c>
      <c r="G994" s="2">
        <f t="shared" si="1022"/>
        <v>18.406400000000001</v>
      </c>
      <c r="H994" s="2">
        <f t="shared" si="1023"/>
        <v>-1.0259040788707097E-4</v>
      </c>
      <c r="I994" s="2">
        <f t="shared" ref="I994:J994" si="1053">LN(C993)-LN(C992)</f>
        <v>-9.1717563539224223E-3</v>
      </c>
      <c r="J994" s="2">
        <f t="shared" si="1053"/>
        <v>1.3230265212094139E-3</v>
      </c>
    </row>
    <row r="995" spans="1:10" x14ac:dyDescent="0.45">
      <c r="A995" s="1">
        <v>41627</v>
      </c>
      <c r="B995">
        <v>99.04</v>
      </c>
      <c r="C995">
        <v>3.0253000000000001</v>
      </c>
      <c r="D995">
        <v>2.7469000000000001</v>
      </c>
      <c r="E995" s="2">
        <f t="shared" si="1018"/>
        <v>20.227399999999989</v>
      </c>
      <c r="F995" s="2">
        <f t="shared" si="1020"/>
        <v>19.605799999999988</v>
      </c>
      <c r="G995" s="2">
        <f t="shared" si="1022"/>
        <v>18.132200000000012</v>
      </c>
      <c r="H995" s="2">
        <f t="shared" si="1023"/>
        <v>6.0348978739686032E-3</v>
      </c>
      <c r="I995" s="2">
        <f t="shared" ref="I995:J995" si="1054">LN(C994)-LN(C993)</f>
        <v>1.5804782356520386E-2</v>
      </c>
      <c r="J995" s="2">
        <f t="shared" si="1054"/>
        <v>1.8748795051434342E-2</v>
      </c>
    </row>
    <row r="996" spans="1:10" x14ac:dyDescent="0.45">
      <c r="A996" s="1">
        <v>41628</v>
      </c>
      <c r="B996">
        <v>99.32</v>
      </c>
      <c r="C996">
        <v>3.0701999999999998</v>
      </c>
      <c r="D996">
        <v>2.7848000000000002</v>
      </c>
      <c r="E996" s="2">
        <f t="shared" si="1018"/>
        <v>21.637200000000007</v>
      </c>
      <c r="F996" s="2">
        <f t="shared" si="1020"/>
        <v>20.227399999999989</v>
      </c>
      <c r="G996" s="2">
        <f t="shared" si="1022"/>
        <v>19.605799999999988</v>
      </c>
      <c r="H996" s="2">
        <f t="shared" si="1023"/>
        <v>9.944272713198643E-3</v>
      </c>
      <c r="I996" s="2">
        <f t="shared" ref="I996:J996" si="1055">LN(C995)-LN(C994)</f>
        <v>5.0369593188637207E-3</v>
      </c>
      <c r="J996" s="2">
        <f t="shared" si="1055"/>
        <v>1.8221730424710869E-2</v>
      </c>
    </row>
    <row r="997" spans="1:10" x14ac:dyDescent="0.45">
      <c r="A997" s="1">
        <v>41631</v>
      </c>
      <c r="B997">
        <v>98.91</v>
      </c>
      <c r="C997">
        <v>3.0533999999999999</v>
      </c>
      <c r="D997">
        <v>2.7806999999999999</v>
      </c>
      <c r="E997" s="2">
        <f t="shared" si="1018"/>
        <v>21.697199999999992</v>
      </c>
      <c r="F997" s="2">
        <f t="shared" si="1020"/>
        <v>21.637200000000007</v>
      </c>
      <c r="G997" s="2">
        <f t="shared" si="1022"/>
        <v>20.227399999999989</v>
      </c>
      <c r="H997" s="2">
        <f t="shared" si="1023"/>
        <v>2.8231517036800824E-3</v>
      </c>
      <c r="I997" s="2">
        <f t="shared" ref="I997:J997" si="1056">LN(C996)-LN(C995)</f>
        <v>1.4732445937811978E-2</v>
      </c>
      <c r="J997" s="2">
        <f t="shared" si="1056"/>
        <v>1.3703054413681581E-2</v>
      </c>
    </row>
    <row r="998" spans="1:10" x14ac:dyDescent="0.45">
      <c r="A998" s="1">
        <v>41632</v>
      </c>
      <c r="B998">
        <v>99.22</v>
      </c>
      <c r="C998">
        <v>3.0684999999999998</v>
      </c>
      <c r="D998">
        <v>2.8134000000000001</v>
      </c>
      <c r="E998" s="2">
        <f t="shared" si="1018"/>
        <v>22.514199999999999</v>
      </c>
      <c r="F998" s="2">
        <f t="shared" si="1020"/>
        <v>21.697199999999992</v>
      </c>
      <c r="G998" s="2">
        <f t="shared" si="1022"/>
        <v>21.637200000000007</v>
      </c>
      <c r="H998" s="2">
        <f t="shared" si="1023"/>
        <v>-4.1366148882167053E-3</v>
      </c>
      <c r="I998" s="2">
        <f t="shared" ref="I998:J998" si="1057">LN(C997)-LN(C996)</f>
        <v>-5.4869822162590953E-3</v>
      </c>
      <c r="J998" s="2">
        <f t="shared" si="1057"/>
        <v>-1.4733629473326904E-3</v>
      </c>
    </row>
    <row r="999" spans="1:10" x14ac:dyDescent="0.45">
      <c r="A999" s="1">
        <v>41634</v>
      </c>
      <c r="B999">
        <v>99.55</v>
      </c>
      <c r="C999">
        <v>3.0756000000000001</v>
      </c>
      <c r="D999">
        <v>2.8149000000000002</v>
      </c>
      <c r="E999" s="2">
        <f t="shared" si="1018"/>
        <v>22.325600000000009</v>
      </c>
      <c r="F999" s="2">
        <f t="shared" si="1020"/>
        <v>22.514199999999999</v>
      </c>
      <c r="G999" s="2">
        <f t="shared" si="1022"/>
        <v>21.697199999999992</v>
      </c>
      <c r="H999" s="2">
        <f t="shared" si="1023"/>
        <v>3.1292611211535259E-3</v>
      </c>
      <c r="I999" s="2">
        <f t="shared" ref="I999:J999" si="1058">LN(C998)-LN(C997)</f>
        <v>4.9331190063095498E-3</v>
      </c>
      <c r="J999" s="2">
        <f t="shared" si="1058"/>
        <v>1.1691021773699184E-2</v>
      </c>
    </row>
    <row r="1000" spans="1:10" x14ac:dyDescent="0.45">
      <c r="A1000" s="1">
        <v>41635</v>
      </c>
      <c r="B1000">
        <v>100.32</v>
      </c>
      <c r="C1000">
        <v>3.0920999999999998</v>
      </c>
      <c r="D1000">
        <v>2.8094999999999999</v>
      </c>
      <c r="E1000" s="2">
        <f t="shared" si="1018"/>
        <v>21.635400000000004</v>
      </c>
      <c r="F1000" s="2">
        <f t="shared" si="1020"/>
        <v>22.325600000000009</v>
      </c>
      <c r="G1000" s="2">
        <f t="shared" si="1022"/>
        <v>22.514199999999999</v>
      </c>
      <c r="H1000" s="2">
        <f t="shared" si="1023"/>
        <v>3.3204236373025608E-3</v>
      </c>
      <c r="I1000" s="2">
        <f t="shared" ref="I1000:J1000" si="1059">LN(C999)-LN(C998)</f>
        <v>2.3111613288742117E-3</v>
      </c>
      <c r="J1000" s="2">
        <f t="shared" si="1059"/>
        <v>5.3302064051807818E-4</v>
      </c>
    </row>
    <row r="1001" spans="1:10" x14ac:dyDescent="0.45">
      <c r="A1001" s="1">
        <v>41638</v>
      </c>
      <c r="B1001">
        <v>99.29</v>
      </c>
      <c r="C1001">
        <v>3.0560999999999998</v>
      </c>
      <c r="D1001">
        <v>2.7869000000000002</v>
      </c>
      <c r="E1001" s="2">
        <f t="shared" si="1018"/>
        <v>21.528600000000001</v>
      </c>
      <c r="F1001" s="2">
        <f t="shared" si="1020"/>
        <v>21.635400000000004</v>
      </c>
      <c r="G1001" s="2">
        <f t="shared" si="1022"/>
        <v>22.325600000000009</v>
      </c>
      <c r="H1001" s="2">
        <f t="shared" si="1023"/>
        <v>7.7050463744052777E-3</v>
      </c>
      <c r="I1001" s="2">
        <f t="shared" ref="I1001:J1001" si="1060">LN(C1000)-LN(C999)</f>
        <v>5.3504675528308621E-3</v>
      </c>
      <c r="J1001" s="2">
        <f t="shared" si="1060"/>
        <v>-1.9202054118609979E-3</v>
      </c>
    </row>
    <row r="1002" spans="1:10" x14ac:dyDescent="0.45">
      <c r="A1002" s="1">
        <v>41639</v>
      </c>
      <c r="B1002">
        <v>98.42</v>
      </c>
      <c r="C1002">
        <v>3.0651999999999999</v>
      </c>
      <c r="D1002">
        <v>2.7858999999999998</v>
      </c>
      <c r="E1002" s="2">
        <f t="shared" si="1018"/>
        <v>22.49799999999999</v>
      </c>
      <c r="F1002" s="2">
        <f t="shared" si="1020"/>
        <v>21.528600000000001</v>
      </c>
      <c r="G1002" s="2">
        <f t="shared" si="1022"/>
        <v>21.635400000000004</v>
      </c>
      <c r="H1002" s="2">
        <f t="shared" si="1023"/>
        <v>-1.0320215839107583E-2</v>
      </c>
      <c r="I1002" s="2">
        <f t="shared" ref="I1002:J1002" si="1061">LN(C1001)-LN(C1000)</f>
        <v>-1.1710878446726358E-2</v>
      </c>
      <c r="J1002" s="2">
        <f t="shared" si="1061"/>
        <v>-8.0766645895320455E-3</v>
      </c>
    </row>
    <row r="1003" spans="1:10" x14ac:dyDescent="0.45">
      <c r="A1003" s="1">
        <v>41641</v>
      </c>
      <c r="B1003">
        <v>95.44</v>
      </c>
      <c r="C1003">
        <v>2.9866999999999999</v>
      </c>
      <c r="D1003">
        <v>2.6949999999999998</v>
      </c>
      <c r="E1003" s="2">
        <f t="shared" si="1018"/>
        <v>21.833799999999997</v>
      </c>
      <c r="F1003" s="2">
        <f t="shared" si="1020"/>
        <v>22.49799999999999</v>
      </c>
      <c r="G1003" s="2">
        <f t="shared" si="1022"/>
        <v>21.528600000000001</v>
      </c>
      <c r="H1003" s="2">
        <f t="shared" si="1023"/>
        <v>-8.8008256076710367E-3</v>
      </c>
      <c r="I1003" s="2">
        <f t="shared" ref="I1003:J1003" si="1062">LN(C1002)-LN(C1001)</f>
        <v>2.9732268321189803E-3</v>
      </c>
      <c r="J1003" s="2">
        <f t="shared" si="1062"/>
        <v>-3.5888602165279337E-4</v>
      </c>
    </row>
    <row r="1004" spans="1:10" x14ac:dyDescent="0.45">
      <c r="A1004" s="1">
        <v>41642</v>
      </c>
      <c r="B1004">
        <v>93.96</v>
      </c>
      <c r="C1004">
        <v>2.9394</v>
      </c>
      <c r="D1004">
        <v>2.6488</v>
      </c>
      <c r="E1004" s="2">
        <f t="shared" si="1018"/>
        <v>21.358000000000004</v>
      </c>
      <c r="F1004" s="2">
        <f t="shared" si="1020"/>
        <v>21.833799999999997</v>
      </c>
      <c r="G1004" s="2">
        <f t="shared" si="1022"/>
        <v>22.49799999999999</v>
      </c>
      <c r="H1004" s="2">
        <f t="shared" si="1023"/>
        <v>-3.0746257648171849E-2</v>
      </c>
      <c r="I1004" s="2">
        <f t="shared" ref="I1004:J1004" si="1063">LN(C1003)-LN(C1002)</f>
        <v>-2.5943721143377285E-2</v>
      </c>
      <c r="J1004" s="2">
        <f t="shared" si="1063"/>
        <v>-3.3172776597970577E-2</v>
      </c>
    </row>
    <row r="1005" spans="1:10" x14ac:dyDescent="0.45">
      <c r="A1005" s="1">
        <v>41645</v>
      </c>
      <c r="B1005">
        <v>93.43</v>
      </c>
      <c r="C1005">
        <v>2.9388000000000001</v>
      </c>
      <c r="D1005">
        <v>2.6459999999999999</v>
      </c>
      <c r="E1005" s="2">
        <f t="shared" si="1018"/>
        <v>21.801199999999994</v>
      </c>
      <c r="F1005" s="2">
        <f t="shared" si="1020"/>
        <v>21.358000000000004</v>
      </c>
      <c r="G1005" s="2">
        <f t="shared" si="1022"/>
        <v>21.833799999999997</v>
      </c>
      <c r="H1005" s="2">
        <f t="shared" si="1023"/>
        <v>-1.5628617998948435E-2</v>
      </c>
      <c r="I1005" s="2">
        <f t="shared" ref="I1005:J1005" si="1064">LN(C1004)-LN(C1003)</f>
        <v>-1.5963620080287733E-2</v>
      </c>
      <c r="J1005" s="2">
        <f t="shared" si="1064"/>
        <v>-1.7291497110060949E-2</v>
      </c>
    </row>
    <row r="1006" spans="1:10" x14ac:dyDescent="0.45">
      <c r="A1006" s="1">
        <v>41646</v>
      </c>
      <c r="B1006">
        <v>93.67</v>
      </c>
      <c r="C1006">
        <v>2.9592999999999998</v>
      </c>
      <c r="D1006">
        <v>2.6785999999999999</v>
      </c>
      <c r="E1006" s="2">
        <f t="shared" si="1018"/>
        <v>22.761000000000006</v>
      </c>
      <c r="F1006" s="2">
        <f t="shared" si="1020"/>
        <v>21.801199999999994</v>
      </c>
      <c r="G1006" s="2">
        <f t="shared" si="1022"/>
        <v>21.358000000000004</v>
      </c>
      <c r="H1006" s="2">
        <f t="shared" si="1023"/>
        <v>-5.656666985847103E-3</v>
      </c>
      <c r="I1006" s="2">
        <f t="shared" ref="I1006:J1006" si="1065">LN(C1005)-LN(C1004)</f>
        <v>-2.0414412646174718E-4</v>
      </c>
      <c r="J1006" s="2">
        <f t="shared" si="1065"/>
        <v>-1.0576415581354803E-3</v>
      </c>
    </row>
    <row r="1007" spans="1:10" x14ac:dyDescent="0.45">
      <c r="A1007" s="1">
        <v>41647</v>
      </c>
      <c r="B1007">
        <v>92.33</v>
      </c>
      <c r="C1007">
        <v>2.9493999999999998</v>
      </c>
      <c r="D1007">
        <v>2.6562999999999999</v>
      </c>
      <c r="E1007" s="2">
        <f t="shared" si="1018"/>
        <v>23.338000000000005</v>
      </c>
      <c r="F1007" s="2">
        <f t="shared" si="1020"/>
        <v>22.761000000000006</v>
      </c>
      <c r="G1007" s="2">
        <f t="shared" si="1022"/>
        <v>21.801199999999994</v>
      </c>
      <c r="H1007" s="2">
        <f t="shared" si="1023"/>
        <v>2.5654744161744958E-3</v>
      </c>
      <c r="I1007" s="2">
        <f t="shared" ref="I1007:J1007" si="1066">LN(C1006)-LN(C1005)</f>
        <v>6.9514191181585527E-3</v>
      </c>
      <c r="J1007" s="2">
        <f t="shared" si="1066"/>
        <v>1.2245204278120703E-2</v>
      </c>
    </row>
    <row r="1008" spans="1:10" x14ac:dyDescent="0.45">
      <c r="A1008" s="1">
        <v>41648</v>
      </c>
      <c r="B1008">
        <v>91.66</v>
      </c>
      <c r="C1008">
        <v>2.9214000000000002</v>
      </c>
      <c r="D1008">
        <v>2.6425999999999998</v>
      </c>
      <c r="E1008" s="2">
        <f t="shared" si="1018"/>
        <v>23.232399999999984</v>
      </c>
      <c r="F1008" s="2">
        <f t="shared" si="1020"/>
        <v>23.338000000000005</v>
      </c>
      <c r="G1008" s="2">
        <f t="shared" si="1022"/>
        <v>22.761000000000006</v>
      </c>
      <c r="H1008" s="2">
        <f t="shared" si="1023"/>
        <v>-1.4408851436503056E-2</v>
      </c>
      <c r="I1008" s="2">
        <f t="shared" ref="I1008:J1008" si="1067">LN(C1007)-LN(C1006)</f>
        <v>-3.3509940474405475E-3</v>
      </c>
      <c r="J1008" s="2">
        <f t="shared" si="1067"/>
        <v>-8.3600929280434055E-3</v>
      </c>
    </row>
    <row r="1009" spans="1:10" x14ac:dyDescent="0.45">
      <c r="A1009" s="1">
        <v>41649</v>
      </c>
      <c r="B1009">
        <v>92.72</v>
      </c>
      <c r="C1009">
        <v>2.9407000000000001</v>
      </c>
      <c r="D1009">
        <v>2.6690999999999998</v>
      </c>
      <c r="E1009" s="2">
        <f t="shared" si="1018"/>
        <v>23.184600000000007</v>
      </c>
      <c r="F1009" s="2">
        <f t="shared" si="1020"/>
        <v>23.232399999999984</v>
      </c>
      <c r="G1009" s="2">
        <f t="shared" si="1022"/>
        <v>23.338000000000005</v>
      </c>
      <c r="H1009" s="2">
        <f t="shared" si="1023"/>
        <v>-7.2830367035585653E-3</v>
      </c>
      <c r="I1009" s="2">
        <f t="shared" ref="I1009:J1009" si="1068">LN(C1008)-LN(C1007)</f>
        <v>-9.538806400130273E-3</v>
      </c>
      <c r="J1009" s="2">
        <f t="shared" si="1068"/>
        <v>-5.1708960448618724E-3</v>
      </c>
    </row>
    <row r="1010" spans="1:10" x14ac:dyDescent="0.45">
      <c r="A1010" s="1">
        <v>41652</v>
      </c>
      <c r="B1010">
        <v>91.8</v>
      </c>
      <c r="C1010">
        <v>2.9333</v>
      </c>
      <c r="D1010">
        <v>2.6341000000000001</v>
      </c>
      <c r="E1010" s="2">
        <f t="shared" si="1018"/>
        <v>23.021000000000015</v>
      </c>
      <c r="F1010" s="2">
        <f t="shared" si="1020"/>
        <v>23.184600000000007</v>
      </c>
      <c r="G1010" s="2">
        <f t="shared" si="1022"/>
        <v>23.232399999999984</v>
      </c>
      <c r="H1010" s="2">
        <f t="shared" si="1023"/>
        <v>1.1498119950518415E-2</v>
      </c>
      <c r="I1010" s="2">
        <f t="shared" ref="I1010:J1010" si="1069">LN(C1009)-LN(C1008)</f>
        <v>6.5846948139394179E-3</v>
      </c>
      <c r="J1010" s="2">
        <f t="shared" si="1069"/>
        <v>9.9780559387148138E-3</v>
      </c>
    </row>
    <row r="1011" spans="1:10" x14ac:dyDescent="0.45">
      <c r="A1011" s="1">
        <v>41653</v>
      </c>
      <c r="B1011">
        <v>92.59</v>
      </c>
      <c r="C1011">
        <v>2.9363000000000001</v>
      </c>
      <c r="D1011">
        <v>2.6223999999999998</v>
      </c>
      <c r="E1011" s="2">
        <f t="shared" si="1018"/>
        <v>21.945400000000006</v>
      </c>
      <c r="F1011" s="2">
        <f t="shared" si="1020"/>
        <v>23.021000000000015</v>
      </c>
      <c r="G1011" s="2">
        <f t="shared" si="1022"/>
        <v>23.184600000000007</v>
      </c>
      <c r="H1011" s="2">
        <f t="shared" si="1023"/>
        <v>-9.97190140505122E-3</v>
      </c>
      <c r="I1011" s="2">
        <f t="shared" ref="I1011:J1011" si="1070">LN(C1010)-LN(C1009)</f>
        <v>-2.5195791333916251E-3</v>
      </c>
      <c r="J1011" s="2">
        <f t="shared" si="1070"/>
        <v>-1.319976926412636E-2</v>
      </c>
    </row>
    <row r="1012" spans="1:10" x14ac:dyDescent="0.45">
      <c r="A1012" s="1">
        <v>41654</v>
      </c>
      <c r="B1012">
        <v>94.17</v>
      </c>
      <c r="C1012">
        <v>2.9796</v>
      </c>
      <c r="D1012">
        <v>2.6263999999999998</v>
      </c>
      <c r="E1012" s="2">
        <f t="shared" si="1018"/>
        <v>21.083600000000008</v>
      </c>
      <c r="F1012" s="2">
        <f t="shared" si="1020"/>
        <v>21.945400000000006</v>
      </c>
      <c r="G1012" s="2">
        <f t="shared" si="1022"/>
        <v>23.021000000000015</v>
      </c>
      <c r="H1012" s="2">
        <f t="shared" si="1023"/>
        <v>8.5688468335112233E-3</v>
      </c>
      <c r="I1012" s="2">
        <f t="shared" ref="I1012:J1012" si="1071">LN(C1011)-LN(C1010)</f>
        <v>1.0222162536566159E-3</v>
      </c>
      <c r="J1012" s="2">
        <f t="shared" si="1071"/>
        <v>-4.4516386651396456E-3</v>
      </c>
    </row>
    <row r="1013" spans="1:10" x14ac:dyDescent="0.45">
      <c r="A1013" s="1">
        <v>41655</v>
      </c>
      <c r="B1013">
        <v>93.96</v>
      </c>
      <c r="C1013">
        <v>2.9845000000000002</v>
      </c>
      <c r="D1013">
        <v>2.5951</v>
      </c>
      <c r="E1013" s="2">
        <f t="shared" si="1018"/>
        <v>20.485800000000001</v>
      </c>
      <c r="F1013" s="2">
        <f t="shared" si="1020"/>
        <v>21.083600000000008</v>
      </c>
      <c r="G1013" s="2">
        <f t="shared" si="1022"/>
        <v>21.945400000000006</v>
      </c>
      <c r="H1013" s="2">
        <f t="shared" si="1023"/>
        <v>1.6920515062015973E-2</v>
      </c>
      <c r="I1013" s="2">
        <f t="shared" ref="I1013:J1013" si="1072">LN(C1012)-LN(C1011)</f>
        <v>1.4638777951206716E-2</v>
      </c>
      <c r="J1013" s="2">
        <f t="shared" si="1072"/>
        <v>1.5241581978175933E-3</v>
      </c>
    </row>
    <row r="1014" spans="1:10" x14ac:dyDescent="0.45">
      <c r="A1014" s="1">
        <v>41656</v>
      </c>
      <c r="B1014">
        <v>94.59</v>
      </c>
      <c r="C1014">
        <v>3.0236999999999998</v>
      </c>
      <c r="D1014">
        <v>2.6204000000000001</v>
      </c>
      <c r="E1014" s="2">
        <f t="shared" si="1018"/>
        <v>21.113000000000017</v>
      </c>
      <c r="F1014" s="2">
        <f t="shared" si="1020"/>
        <v>20.485800000000001</v>
      </c>
      <c r="G1014" s="2">
        <f t="shared" si="1022"/>
        <v>21.083600000000008</v>
      </c>
      <c r="H1014" s="2">
        <f t="shared" si="1023"/>
        <v>-2.2324997312601624E-3</v>
      </c>
      <c r="I1014" s="2">
        <f t="shared" ref="I1014:J1014" si="1073">LN(C1013)-LN(C1012)</f>
        <v>1.6431653065833718E-3</v>
      </c>
      <c r="J1014" s="2">
        <f t="shared" si="1073"/>
        <v>-1.1989035684400684E-2</v>
      </c>
    </row>
    <row r="1015" spans="1:10" x14ac:dyDescent="0.45">
      <c r="A1015" s="1">
        <v>41660</v>
      </c>
      <c r="B1015">
        <v>94.97</v>
      </c>
      <c r="C1015">
        <v>2.9510999999999998</v>
      </c>
      <c r="D1015">
        <v>2.6206</v>
      </c>
      <c r="E1015" s="2">
        <f t="shared" si="1018"/>
        <v>19.722200000000004</v>
      </c>
      <c r="F1015" s="2">
        <f t="shared" si="1020"/>
        <v>21.113000000000017</v>
      </c>
      <c r="G1015" s="2">
        <f t="shared" si="1022"/>
        <v>20.485800000000001</v>
      </c>
      <c r="H1015" s="2">
        <f t="shared" si="1023"/>
        <v>6.6826024343669133E-3</v>
      </c>
      <c r="I1015" s="2">
        <f t="shared" ref="I1015:J1015" si="1074">LN(C1014)-LN(C1013)</f>
        <v>1.3049018420237202E-2</v>
      </c>
      <c r="J1015" s="2">
        <f t="shared" si="1074"/>
        <v>9.7019263547392098E-3</v>
      </c>
    </row>
    <row r="1016" spans="1:10" x14ac:dyDescent="0.45">
      <c r="A1016" s="1">
        <v>41661</v>
      </c>
      <c r="B1016">
        <v>96.73</v>
      </c>
      <c r="C1016">
        <v>2.9811999999999999</v>
      </c>
      <c r="D1016">
        <v>2.6882000000000001</v>
      </c>
      <c r="E1016" s="2">
        <f t="shared" si="1018"/>
        <v>20.276400000000006</v>
      </c>
      <c r="F1016" s="2">
        <f t="shared" si="1020"/>
        <v>19.722200000000004</v>
      </c>
      <c r="G1016" s="2">
        <f t="shared" si="1022"/>
        <v>21.113000000000017</v>
      </c>
      <c r="H1016" s="2">
        <f t="shared" si="1023"/>
        <v>4.0092900297823419E-3</v>
      </c>
      <c r="I1016" s="2">
        <f t="shared" ref="I1016:J1016" si="1075">LN(C1015)-LN(C1014)</f>
        <v>-2.4303264842119976E-2</v>
      </c>
      <c r="J1016" s="2">
        <f t="shared" si="1075"/>
        <v>7.6321312763583116E-5</v>
      </c>
    </row>
    <row r="1017" spans="1:10" x14ac:dyDescent="0.45">
      <c r="A1017" s="1">
        <v>41662</v>
      </c>
      <c r="B1017">
        <v>97.32</v>
      </c>
      <c r="C1017">
        <v>2.9910000000000001</v>
      </c>
      <c r="D1017">
        <v>2.6697000000000002</v>
      </c>
      <c r="E1017" s="2">
        <f t="shared" si="1018"/>
        <v>19.305600000000009</v>
      </c>
      <c r="F1017" s="2">
        <f t="shared" si="1020"/>
        <v>20.276400000000006</v>
      </c>
      <c r="G1017" s="2">
        <f t="shared" si="1022"/>
        <v>19.722200000000004</v>
      </c>
      <c r="H1017" s="2">
        <f t="shared" si="1023"/>
        <v>1.8362539939595024E-2</v>
      </c>
      <c r="I1017" s="2">
        <f t="shared" ref="I1017:J1017" si="1076">LN(C1016)-LN(C1015)</f>
        <v>1.0147921820716777E-2</v>
      </c>
      <c r="J1017" s="2">
        <f t="shared" si="1076"/>
        <v>2.5468525466563086E-2</v>
      </c>
    </row>
    <row r="1018" spans="1:10" x14ac:dyDescent="0.45">
      <c r="A1018" s="1">
        <v>41663</v>
      </c>
      <c r="B1018">
        <v>96.64</v>
      </c>
      <c r="C1018">
        <v>3.0158</v>
      </c>
      <c r="D1018">
        <v>2.6705999999999999</v>
      </c>
      <c r="E1018" s="2">
        <f t="shared" si="1018"/>
        <v>20.358000000000004</v>
      </c>
      <c r="F1018" s="2">
        <f t="shared" si="1020"/>
        <v>19.305600000000009</v>
      </c>
      <c r="G1018" s="2">
        <f t="shared" si="1022"/>
        <v>20.276400000000006</v>
      </c>
      <c r="H1018" s="2">
        <f t="shared" si="1023"/>
        <v>6.0809257208660483E-3</v>
      </c>
      <c r="I1018" s="2">
        <f t="shared" ref="I1018:J1018" si="1077">LN(C1017)-LN(C1016)</f>
        <v>3.2818756224093359E-3</v>
      </c>
      <c r="J1018" s="2">
        <f t="shared" si="1077"/>
        <v>-6.9057181061217277E-3</v>
      </c>
    </row>
    <row r="1019" spans="1:10" x14ac:dyDescent="0.45">
      <c r="A1019" s="1">
        <v>41666</v>
      </c>
      <c r="B1019">
        <v>95.72</v>
      </c>
      <c r="C1019">
        <v>2.9666999999999999</v>
      </c>
      <c r="D1019">
        <v>2.6328999999999998</v>
      </c>
      <c r="E1019" s="2">
        <f t="shared" si="1018"/>
        <v>19.535000000000007</v>
      </c>
      <c r="F1019" s="2">
        <f t="shared" si="1020"/>
        <v>20.358000000000004</v>
      </c>
      <c r="G1019" s="2">
        <f t="shared" si="1022"/>
        <v>19.305600000000009</v>
      </c>
      <c r="H1019" s="2">
        <f t="shared" si="1023"/>
        <v>-7.011783728817278E-3</v>
      </c>
      <c r="I1019" s="2">
        <f t="shared" ref="I1019:J1019" si="1078">LN(C1018)-LN(C1017)</f>
        <v>8.2573553017470935E-3</v>
      </c>
      <c r="J1019" s="2">
        <f t="shared" si="1078"/>
        <v>3.3705971893727149E-4</v>
      </c>
    </row>
    <row r="1020" spans="1:10" x14ac:dyDescent="0.45">
      <c r="A1020" s="1">
        <v>41667</v>
      </c>
      <c r="B1020">
        <v>97.41</v>
      </c>
      <c r="C1020">
        <v>2.9939</v>
      </c>
      <c r="D1020">
        <v>2.6375999999999999</v>
      </c>
      <c r="E1020" s="2">
        <f t="shared" si="1018"/>
        <v>18.357399999999984</v>
      </c>
      <c r="F1020" s="2">
        <f t="shared" si="1020"/>
        <v>19.535000000000007</v>
      </c>
      <c r="G1020" s="2">
        <f t="shared" si="1022"/>
        <v>20.358000000000004</v>
      </c>
      <c r="H1020" s="2">
        <f t="shared" si="1023"/>
        <v>-9.5654711463319941E-3</v>
      </c>
      <c r="I1020" s="2">
        <f t="shared" ref="I1020:J1020" si="1079">LN(C1019)-LN(C1018)</f>
        <v>-1.6414910987640363E-2</v>
      </c>
      <c r="J1020" s="2">
        <f t="shared" si="1079"/>
        <v>-1.4217265965868142E-2</v>
      </c>
    </row>
    <row r="1021" spans="1:10" x14ac:dyDescent="0.45">
      <c r="A1021" s="1">
        <v>41668</v>
      </c>
      <c r="B1021">
        <v>97.36</v>
      </c>
      <c r="C1021">
        <v>3.0204</v>
      </c>
      <c r="D1021">
        <v>2.6686000000000001</v>
      </c>
      <c r="E1021" s="2">
        <f t="shared" si="1018"/>
        <v>19.646400000000011</v>
      </c>
      <c r="F1021" s="2">
        <f t="shared" si="1020"/>
        <v>18.357399999999984</v>
      </c>
      <c r="G1021" s="2">
        <f t="shared" si="1022"/>
        <v>19.535000000000007</v>
      </c>
      <c r="H1021" s="2">
        <f t="shared" si="1023"/>
        <v>1.7501611742691381E-2</v>
      </c>
      <c r="I1021" s="2">
        <f t="shared" ref="I1021:J1021" si="1080">LN(C1020)-LN(C1019)</f>
        <v>9.1266613441214339E-3</v>
      </c>
      <c r="J1021" s="2">
        <f t="shared" si="1080"/>
        <v>1.7835124735258168E-3</v>
      </c>
    </row>
    <row r="1022" spans="1:10" x14ac:dyDescent="0.45">
      <c r="A1022" s="1">
        <v>41669</v>
      </c>
      <c r="B1022">
        <v>98.23</v>
      </c>
      <c r="C1022">
        <v>3.0274999999999999</v>
      </c>
      <c r="D1022">
        <v>2.6743000000000001</v>
      </c>
      <c r="E1022" s="2">
        <f t="shared" si="1018"/>
        <v>19.035399999999999</v>
      </c>
      <c r="F1022" s="2">
        <f t="shared" si="1020"/>
        <v>19.646400000000011</v>
      </c>
      <c r="G1022" s="2">
        <f t="shared" si="1022"/>
        <v>18.357399999999984</v>
      </c>
      <c r="H1022" s="2">
        <f t="shared" si="1023"/>
        <v>-5.1342610359217389E-4</v>
      </c>
      <c r="I1022" s="2">
        <f t="shared" ref="I1022:J1022" si="1081">LN(C1021)-LN(C1020)</f>
        <v>8.8123876410943769E-3</v>
      </c>
      <c r="J1022" s="2">
        <f t="shared" si="1081"/>
        <v>1.1684577550799102E-2</v>
      </c>
    </row>
    <row r="1023" spans="1:10" x14ac:dyDescent="0.45">
      <c r="A1023" s="1">
        <v>41670</v>
      </c>
      <c r="B1023">
        <v>97.49</v>
      </c>
      <c r="C1023">
        <v>2.9971000000000001</v>
      </c>
      <c r="D1023">
        <v>2.6314000000000002</v>
      </c>
      <c r="E1023" s="2">
        <f t="shared" si="1018"/>
        <v>18.148600000000027</v>
      </c>
      <c r="F1023" s="2">
        <f t="shared" si="1020"/>
        <v>19.035399999999999</v>
      </c>
      <c r="G1023" s="2">
        <f t="shared" si="1022"/>
        <v>19.646400000000011</v>
      </c>
      <c r="H1023" s="2">
        <f t="shared" si="1023"/>
        <v>8.8962190075063674E-3</v>
      </c>
      <c r="I1023" s="2">
        <f t="shared" ref="I1023:J1023" si="1082">LN(C1022)-LN(C1021)</f>
        <v>2.3479234979766339E-3</v>
      </c>
      <c r="J1023" s="2">
        <f t="shared" si="1082"/>
        <v>2.1336735340234947E-3</v>
      </c>
    </row>
    <row r="1024" spans="1:10" x14ac:dyDescent="0.45">
      <c r="A1024" s="1">
        <v>41673</v>
      </c>
      <c r="B1024">
        <v>96.43</v>
      </c>
      <c r="C1024">
        <v>3.0074999999999998</v>
      </c>
      <c r="D1024">
        <v>2.6069</v>
      </c>
      <c r="E1024" s="2">
        <f t="shared" si="1018"/>
        <v>18.668199999999995</v>
      </c>
      <c r="F1024" s="2">
        <f t="shared" si="1020"/>
        <v>18.148600000000027</v>
      </c>
      <c r="G1024" s="2">
        <f t="shared" si="1022"/>
        <v>19.035399999999999</v>
      </c>
      <c r="H1024" s="2">
        <f t="shared" si="1023"/>
        <v>-7.5618590455981405E-3</v>
      </c>
      <c r="I1024" s="2">
        <f t="shared" ref="I1024:J1024" si="1083">LN(C1023)-LN(C1022)</f>
        <v>-1.0092041967206589E-2</v>
      </c>
      <c r="J1024" s="2">
        <f t="shared" si="1083"/>
        <v>-1.6171639910605884E-2</v>
      </c>
    </row>
    <row r="1025" spans="1:10" x14ac:dyDescent="0.45">
      <c r="A1025" s="1">
        <v>41674</v>
      </c>
      <c r="B1025">
        <v>97.19</v>
      </c>
      <c r="C1025">
        <v>2.9828999999999999</v>
      </c>
      <c r="D1025">
        <v>2.6031</v>
      </c>
      <c r="E1025" s="2">
        <f t="shared" si="1018"/>
        <v>17.457400000000007</v>
      </c>
      <c r="F1025" s="2">
        <f t="shared" si="1020"/>
        <v>18.668199999999995</v>
      </c>
      <c r="G1025" s="2">
        <f t="shared" si="1022"/>
        <v>18.148600000000027</v>
      </c>
      <c r="H1025" s="2">
        <f t="shared" si="1023"/>
        <v>-1.0932452118887603E-2</v>
      </c>
      <c r="I1025" s="2">
        <f t="shared" ref="I1025:J1025" si="1084">LN(C1024)-LN(C1023)</f>
        <v>3.4640143887931796E-3</v>
      </c>
      <c r="J1025" s="2">
        <f t="shared" si="1084"/>
        <v>-9.354248000139731E-3</v>
      </c>
    </row>
    <row r="1026" spans="1:10" x14ac:dyDescent="0.45">
      <c r="A1026" s="1">
        <v>41675</v>
      </c>
      <c r="B1026">
        <v>97.38</v>
      </c>
      <c r="C1026">
        <v>2.9967999999999999</v>
      </c>
      <c r="D1026">
        <v>2.6413000000000002</v>
      </c>
      <c r="E1026" s="2">
        <f t="shared" si="1018"/>
        <v>18.531600000000008</v>
      </c>
      <c r="F1026" s="2">
        <f t="shared" si="1020"/>
        <v>17.457400000000007</v>
      </c>
      <c r="G1026" s="2">
        <f t="shared" si="1022"/>
        <v>18.668199999999995</v>
      </c>
      <c r="H1026" s="2">
        <f t="shared" si="1023"/>
        <v>7.8504689930865013E-3</v>
      </c>
      <c r="I1026" s="2">
        <f t="shared" ref="I1026:J1026" si="1085">LN(C1025)-LN(C1024)</f>
        <v>-8.2131871946962143E-3</v>
      </c>
      <c r="J1026" s="2">
        <f t="shared" si="1085"/>
        <v>-1.4587334640445704E-3</v>
      </c>
    </row>
    <row r="1027" spans="1:10" x14ac:dyDescent="0.45">
      <c r="A1027" s="1">
        <v>41676</v>
      </c>
      <c r="B1027">
        <v>97.84</v>
      </c>
      <c r="C1027">
        <v>2.9950999999999999</v>
      </c>
      <c r="D1027">
        <v>2.6829999999999998</v>
      </c>
      <c r="E1027" s="2">
        <f t="shared" ref="E1027:E1090" si="1086">(2*D1027*42+1*C1027*42-3*B1027)/3</f>
        <v>19.215400000000006</v>
      </c>
      <c r="F1027" s="2">
        <f t="shared" si="1020"/>
        <v>18.531600000000008</v>
      </c>
      <c r="G1027" s="2">
        <f t="shared" si="1022"/>
        <v>17.457400000000007</v>
      </c>
      <c r="H1027" s="2">
        <f t="shared" si="1023"/>
        <v>1.9530252391755099E-3</v>
      </c>
      <c r="I1027" s="2">
        <f t="shared" ref="I1027:J1027" si="1087">LN(C1026)-LN(C1025)</f>
        <v>4.6490710356863474E-3</v>
      </c>
      <c r="J1027" s="2">
        <f t="shared" si="1087"/>
        <v>1.4568177714201824E-2</v>
      </c>
    </row>
    <row r="1028" spans="1:10" x14ac:dyDescent="0.45">
      <c r="A1028" s="1">
        <v>41677</v>
      </c>
      <c r="B1028">
        <v>99.88</v>
      </c>
      <c r="C1028">
        <v>3.0503</v>
      </c>
      <c r="D1028">
        <v>2.7488999999999999</v>
      </c>
      <c r="E1028" s="2">
        <f t="shared" si="1086"/>
        <v>19.793400000000002</v>
      </c>
      <c r="F1028" s="2">
        <f t="shared" ref="F1028:F1091" si="1088">E1027</f>
        <v>19.215400000000006</v>
      </c>
      <c r="G1028" s="2">
        <f t="shared" si="1022"/>
        <v>18.531600000000008</v>
      </c>
      <c r="H1028" s="2">
        <f t="shared" si="1023"/>
        <v>4.7126406243620522E-3</v>
      </c>
      <c r="I1028" s="2">
        <f t="shared" ref="I1028:J1028" si="1089">LN(C1027)-LN(C1026)</f>
        <v>-5.6743271603787448E-4</v>
      </c>
      <c r="J1028" s="2">
        <f t="shared" si="1089"/>
        <v>1.5664351243868557E-2</v>
      </c>
    </row>
    <row r="1029" spans="1:10" x14ac:dyDescent="0.45">
      <c r="A1029" s="1">
        <v>41680</v>
      </c>
      <c r="B1029">
        <v>100.06</v>
      </c>
      <c r="C1029">
        <v>2.9981</v>
      </c>
      <c r="D1029">
        <v>2.7248000000000001</v>
      </c>
      <c r="E1029" s="2">
        <f t="shared" si="1086"/>
        <v>18.207800000000002</v>
      </c>
      <c r="F1029" s="2">
        <f t="shared" si="1088"/>
        <v>19.793400000000002</v>
      </c>
      <c r="G1029" s="2">
        <f t="shared" ref="G1029:G1092" si="1090">E1027</f>
        <v>19.215400000000006</v>
      </c>
      <c r="H1029" s="2">
        <f t="shared" ref="H1029:H1092" si="1091">LN(B1028)-LN(B1027)</f>
        <v>2.0635974032655824E-2</v>
      </c>
      <c r="I1029" s="2">
        <f t="shared" ref="I1029:J1029" si="1092">LN(C1028)-LN(C1027)</f>
        <v>1.8262326446316868E-2</v>
      </c>
      <c r="J1029" s="2">
        <f t="shared" si="1092"/>
        <v>2.4265260213653161E-2</v>
      </c>
    </row>
    <row r="1030" spans="1:10" x14ac:dyDescent="0.45">
      <c r="A1030" s="1">
        <v>41681</v>
      </c>
      <c r="B1030">
        <v>99.94</v>
      </c>
      <c r="C1030">
        <v>3.0280999999999998</v>
      </c>
      <c r="D1030">
        <v>2.7526000000000002</v>
      </c>
      <c r="E1030" s="2">
        <f t="shared" si="1086"/>
        <v>19.526199999999999</v>
      </c>
      <c r="F1030" s="2">
        <f t="shared" si="1088"/>
        <v>18.207800000000002</v>
      </c>
      <c r="G1030" s="2">
        <f t="shared" si="1090"/>
        <v>19.793400000000002</v>
      </c>
      <c r="H1030" s="2">
        <f t="shared" si="1091"/>
        <v>1.8005406484862263E-3</v>
      </c>
      <c r="I1030" s="2">
        <f t="shared" ref="I1030:J1030" si="1093">LN(C1029)-LN(C1028)</f>
        <v>-1.726119174346441E-2</v>
      </c>
      <c r="J1030" s="2">
        <f t="shared" si="1093"/>
        <v>-8.8058007308533526E-3</v>
      </c>
    </row>
    <row r="1031" spans="1:10" x14ac:dyDescent="0.45">
      <c r="A1031" s="1">
        <v>41682</v>
      </c>
      <c r="B1031">
        <v>100.37</v>
      </c>
      <c r="C1031">
        <v>3.0125000000000002</v>
      </c>
      <c r="D1031">
        <v>2.7631000000000001</v>
      </c>
      <c r="E1031" s="2">
        <f t="shared" si="1086"/>
        <v>19.171800000000001</v>
      </c>
      <c r="F1031" s="2">
        <f t="shared" si="1088"/>
        <v>19.526199999999999</v>
      </c>
      <c r="G1031" s="2">
        <f t="shared" si="1090"/>
        <v>18.207800000000002</v>
      </c>
      <c r="H1031" s="2">
        <f t="shared" si="1091"/>
        <v>-1.200000144000235E-3</v>
      </c>
      <c r="I1031" s="2">
        <f t="shared" ref="I1031:J1031" si="1094">LN(C1030)-LN(C1029)</f>
        <v>9.9566054344595312E-3</v>
      </c>
      <c r="J1031" s="2">
        <f t="shared" si="1094"/>
        <v>1.0150888637008304E-2</v>
      </c>
    </row>
    <row r="1032" spans="1:10" x14ac:dyDescent="0.45">
      <c r="A1032" s="1">
        <v>41683</v>
      </c>
      <c r="B1032">
        <v>100.35</v>
      </c>
      <c r="C1032">
        <v>3.0306999999999999</v>
      </c>
      <c r="D1032">
        <v>2.7772000000000001</v>
      </c>
      <c r="E1032" s="2">
        <f t="shared" si="1086"/>
        <v>19.841400000000021</v>
      </c>
      <c r="F1032" s="2">
        <f t="shared" si="1088"/>
        <v>19.171800000000001</v>
      </c>
      <c r="G1032" s="2">
        <f t="shared" si="1090"/>
        <v>19.526199999999999</v>
      </c>
      <c r="H1032" s="2">
        <f t="shared" si="1091"/>
        <v>4.2933519096504114E-3</v>
      </c>
      <c r="I1032" s="2">
        <f t="shared" ref="I1032:J1032" si="1095">LN(C1031)-LN(C1030)</f>
        <v>-5.1650613121876354E-3</v>
      </c>
      <c r="J1032" s="2">
        <f t="shared" si="1095"/>
        <v>3.8073182673858952E-3</v>
      </c>
    </row>
    <row r="1033" spans="1:10" x14ac:dyDescent="0.45">
      <c r="A1033" s="1">
        <v>41684</v>
      </c>
      <c r="B1033">
        <v>100.3</v>
      </c>
      <c r="C1033">
        <v>3.0781999999999998</v>
      </c>
      <c r="D1033">
        <v>2.8052999999999999</v>
      </c>
      <c r="E1033" s="2">
        <f t="shared" si="1086"/>
        <v>21.343200000000007</v>
      </c>
      <c r="F1033" s="2">
        <f t="shared" si="1088"/>
        <v>19.841400000000021</v>
      </c>
      <c r="G1033" s="2">
        <f t="shared" si="1090"/>
        <v>19.171800000000001</v>
      </c>
      <c r="H1033" s="2">
        <f t="shared" si="1091"/>
        <v>-1.9928258336232574E-4</v>
      </c>
      <c r="I1033" s="2">
        <f t="shared" ref="I1033:J1033" si="1096">LN(C1032)-LN(C1031)</f>
        <v>6.0233171250869688E-3</v>
      </c>
      <c r="J1033" s="2">
        <f t="shared" si="1096"/>
        <v>5.0899880663002328E-3</v>
      </c>
    </row>
    <row r="1034" spans="1:10" x14ac:dyDescent="0.45">
      <c r="A1034" s="1">
        <v>41688</v>
      </c>
      <c r="B1034">
        <v>102.1</v>
      </c>
      <c r="C1034">
        <v>3.1017000000000001</v>
      </c>
      <c r="D1034">
        <v>2.8323</v>
      </c>
      <c r="E1034" s="2">
        <f t="shared" si="1086"/>
        <v>20.628200000000032</v>
      </c>
      <c r="F1034" s="2">
        <f t="shared" si="1088"/>
        <v>21.343200000000007</v>
      </c>
      <c r="G1034" s="2">
        <f t="shared" si="1090"/>
        <v>19.841400000000021</v>
      </c>
      <c r="H1034" s="2">
        <f t="shared" si="1091"/>
        <v>-4.9838027445670008E-4</v>
      </c>
      <c r="I1034" s="2">
        <f t="shared" ref="I1034:J1034" si="1097">LN(C1033)-LN(C1032)</f>
        <v>1.5551394621856174E-2</v>
      </c>
      <c r="J1034" s="2">
        <f t="shared" si="1097"/>
        <v>1.0067259230392533E-2</v>
      </c>
    </row>
    <row r="1035" spans="1:10" x14ac:dyDescent="0.45">
      <c r="A1035" s="1">
        <v>41689</v>
      </c>
      <c r="B1035">
        <v>102.84</v>
      </c>
      <c r="C1035">
        <v>3.0726</v>
      </c>
      <c r="D1035">
        <v>2.9967999999999999</v>
      </c>
      <c r="E1035" s="2">
        <f t="shared" si="1086"/>
        <v>24.0868</v>
      </c>
      <c r="F1035" s="2">
        <f t="shared" si="1088"/>
        <v>20.628200000000032</v>
      </c>
      <c r="G1035" s="2">
        <f t="shared" si="1090"/>
        <v>21.343200000000007</v>
      </c>
      <c r="H1035" s="2">
        <f t="shared" si="1091"/>
        <v>1.7787030202729426E-2</v>
      </c>
      <c r="I1035" s="2">
        <f t="shared" ref="I1035:J1035" si="1098">LN(C1034)-LN(C1033)</f>
        <v>7.6053377149036816E-3</v>
      </c>
      <c r="J1035" s="2">
        <f t="shared" si="1098"/>
        <v>9.5786172970697692E-3</v>
      </c>
    </row>
    <row r="1036" spans="1:10" x14ac:dyDescent="0.45">
      <c r="A1036" s="1">
        <v>41690</v>
      </c>
      <c r="B1036">
        <v>102.75</v>
      </c>
      <c r="C1036">
        <v>3.0834000000000001</v>
      </c>
      <c r="D1036">
        <v>3.0209999999999999</v>
      </c>
      <c r="E1036" s="2">
        <f t="shared" si="1086"/>
        <v>25.005599999999998</v>
      </c>
      <c r="F1036" s="2">
        <f t="shared" si="1088"/>
        <v>24.0868</v>
      </c>
      <c r="G1036" s="2">
        <f t="shared" si="1090"/>
        <v>20.628200000000032</v>
      </c>
      <c r="H1036" s="2">
        <f t="shared" si="1091"/>
        <v>7.2216572270695778E-3</v>
      </c>
      <c r="I1036" s="2">
        <f t="shared" ref="I1036:J1036" si="1099">LN(C1035)-LN(C1034)</f>
        <v>-9.426239564197525E-3</v>
      </c>
      <c r="J1036" s="2">
        <f t="shared" si="1099"/>
        <v>5.645595028324335E-2</v>
      </c>
    </row>
    <row r="1037" spans="1:10" x14ac:dyDescent="0.45">
      <c r="A1037" s="1">
        <v>41691</v>
      </c>
      <c r="B1037">
        <v>102.2</v>
      </c>
      <c r="C1037">
        <v>3.0388999999999999</v>
      </c>
      <c r="D1037">
        <v>3.0030000000000001</v>
      </c>
      <c r="E1037" s="2">
        <f t="shared" si="1086"/>
        <v>24.428599999999999</v>
      </c>
      <c r="F1037" s="2">
        <f t="shared" si="1088"/>
        <v>25.005599999999998</v>
      </c>
      <c r="G1037" s="2">
        <f t="shared" si="1090"/>
        <v>24.0868</v>
      </c>
      <c r="H1037" s="2">
        <f t="shared" si="1091"/>
        <v>-8.755290213446898E-4</v>
      </c>
      <c r="I1037" s="2">
        <f t="shared" ref="I1037:J1037" si="1100">LN(C1036)-LN(C1035)</f>
        <v>3.5087755296792089E-3</v>
      </c>
      <c r="J1037" s="2">
        <f t="shared" si="1100"/>
        <v>8.0428496968480978E-3</v>
      </c>
    </row>
    <row r="1038" spans="1:10" x14ac:dyDescent="0.45">
      <c r="A1038" s="1">
        <v>41694</v>
      </c>
      <c r="B1038">
        <v>102.82</v>
      </c>
      <c r="C1038">
        <v>3.0501</v>
      </c>
      <c r="D1038">
        <v>3.0070000000000001</v>
      </c>
      <c r="E1038" s="2">
        <f t="shared" si="1086"/>
        <v>24.077400000000011</v>
      </c>
      <c r="F1038" s="2">
        <f t="shared" si="1088"/>
        <v>24.428599999999999</v>
      </c>
      <c r="G1038" s="2">
        <f t="shared" si="1090"/>
        <v>25.005599999999998</v>
      </c>
      <c r="H1038" s="2">
        <f t="shared" si="1091"/>
        <v>-5.367175606740382E-3</v>
      </c>
      <c r="I1038" s="2">
        <f t="shared" ref="I1038:J1038" si="1101">LN(C1037)-LN(C1036)</f>
        <v>-1.4537276411885625E-2</v>
      </c>
      <c r="J1038" s="2">
        <f t="shared" si="1101"/>
        <v>-5.9761134033418095E-3</v>
      </c>
    </row>
    <row r="1039" spans="1:10" x14ac:dyDescent="0.45">
      <c r="A1039" s="1">
        <v>41695</v>
      </c>
      <c r="B1039">
        <v>101.83</v>
      </c>
      <c r="C1039">
        <v>3.0346000000000002</v>
      </c>
      <c r="D1039">
        <v>2.9716</v>
      </c>
      <c r="E1039" s="2">
        <f t="shared" si="1086"/>
        <v>23.859199999999987</v>
      </c>
      <c r="F1039" s="2">
        <f t="shared" si="1088"/>
        <v>24.077400000000011</v>
      </c>
      <c r="G1039" s="2">
        <f t="shared" si="1090"/>
        <v>24.428599999999999</v>
      </c>
      <c r="H1039" s="2">
        <f t="shared" si="1091"/>
        <v>6.048208857754922E-3</v>
      </c>
      <c r="I1039" s="2">
        <f t="shared" ref="I1039:J1039" si="1102">LN(C1038)-LN(C1037)</f>
        <v>3.6787691348718621E-3</v>
      </c>
      <c r="J1039" s="2">
        <f t="shared" si="1102"/>
        <v>1.3311150051988907E-3</v>
      </c>
    </row>
    <row r="1040" spans="1:10" x14ac:dyDescent="0.45">
      <c r="A1040" s="1">
        <v>41696</v>
      </c>
      <c r="B1040">
        <v>102.59</v>
      </c>
      <c r="C1040">
        <v>3.0383</v>
      </c>
      <c r="D1040">
        <v>2.9857</v>
      </c>
      <c r="E1040" s="2">
        <f t="shared" si="1086"/>
        <v>23.545800000000003</v>
      </c>
      <c r="F1040" s="2">
        <f t="shared" si="1088"/>
        <v>23.859199999999987</v>
      </c>
      <c r="G1040" s="2">
        <f t="shared" si="1090"/>
        <v>24.077400000000011</v>
      </c>
      <c r="H1040" s="2">
        <f t="shared" si="1091"/>
        <v>-9.675130443785207E-3</v>
      </c>
      <c r="I1040" s="2">
        <f t="shared" ref="I1040:J1040" si="1103">LN(C1039)-LN(C1038)</f>
        <v>-5.0947568580843594E-3</v>
      </c>
      <c r="J1040" s="2">
        <f t="shared" si="1103"/>
        <v>-1.1842375710877873E-2</v>
      </c>
    </row>
    <row r="1041" spans="1:10" x14ac:dyDescent="0.45">
      <c r="A1041" s="1">
        <v>41697</v>
      </c>
      <c r="B1041">
        <v>102.4</v>
      </c>
      <c r="C1041">
        <v>3.0076999999999998</v>
      </c>
      <c r="D1041">
        <v>2.9605000000000001</v>
      </c>
      <c r="E1041" s="2">
        <f t="shared" si="1086"/>
        <v>22.601799999999987</v>
      </c>
      <c r="F1041" s="2">
        <f t="shared" si="1088"/>
        <v>23.545800000000003</v>
      </c>
      <c r="G1041" s="2">
        <f t="shared" si="1090"/>
        <v>23.859199999999987</v>
      </c>
      <c r="H1041" s="2">
        <f t="shared" si="1091"/>
        <v>7.4357059160474748E-3</v>
      </c>
      <c r="I1041" s="2">
        <f t="shared" ref="I1041:J1041" si="1104">LN(C1040)-LN(C1039)</f>
        <v>1.2185283662884405E-3</v>
      </c>
      <c r="J1041" s="2">
        <f t="shared" si="1104"/>
        <v>4.7336969194959888E-3</v>
      </c>
    </row>
    <row r="1042" spans="1:10" x14ac:dyDescent="0.45">
      <c r="A1042" s="1">
        <v>41698</v>
      </c>
      <c r="B1042">
        <v>102.59</v>
      </c>
      <c r="C1042">
        <v>3.0163000000000002</v>
      </c>
      <c r="D1042">
        <v>2.9773999999999998</v>
      </c>
      <c r="E1042" s="2">
        <f t="shared" si="1086"/>
        <v>23.005400000000009</v>
      </c>
      <c r="F1042" s="2">
        <f t="shared" si="1088"/>
        <v>22.601799999999987</v>
      </c>
      <c r="G1042" s="2">
        <f t="shared" si="1090"/>
        <v>23.545800000000003</v>
      </c>
      <c r="H1042" s="2">
        <f t="shared" si="1091"/>
        <v>-1.8537494942139077E-3</v>
      </c>
      <c r="I1042" s="2">
        <f t="shared" ref="I1042:J1042" si="1105">LN(C1041)-LN(C1040)</f>
        <v>-1.0122481404022388E-2</v>
      </c>
      <c r="J1042" s="2">
        <f t="shared" si="1105"/>
        <v>-8.4760522253164439E-3</v>
      </c>
    </row>
    <row r="1043" spans="1:10" x14ac:dyDescent="0.45">
      <c r="A1043" s="1">
        <v>41701</v>
      </c>
      <c r="B1043">
        <v>104.92</v>
      </c>
      <c r="C1043">
        <v>3.0804999999999998</v>
      </c>
      <c r="D1043">
        <v>3.0203000000000002</v>
      </c>
      <c r="E1043" s="2">
        <f t="shared" si="1086"/>
        <v>22.775400000000008</v>
      </c>
      <c r="F1043" s="2">
        <f t="shared" si="1088"/>
        <v>23.005400000000009</v>
      </c>
      <c r="G1043" s="2">
        <f t="shared" si="1090"/>
        <v>22.601799999999987</v>
      </c>
      <c r="H1043" s="2">
        <f t="shared" si="1091"/>
        <v>1.8537494942139077E-3</v>
      </c>
      <c r="I1043" s="2">
        <f t="shared" ref="I1043:J1043" si="1106">LN(C1042)-LN(C1041)</f>
        <v>2.855247623698931E-3</v>
      </c>
      <c r="J1043" s="2">
        <f t="shared" si="1106"/>
        <v>5.6922634711260578E-3</v>
      </c>
    </row>
    <row r="1044" spans="1:10" x14ac:dyDescent="0.45">
      <c r="A1044" s="1">
        <v>41702</v>
      </c>
      <c r="B1044">
        <v>103.33</v>
      </c>
      <c r="C1044">
        <v>3.0407000000000002</v>
      </c>
      <c r="D1044">
        <v>2.9853000000000001</v>
      </c>
      <c r="E1044" s="2">
        <f t="shared" si="1086"/>
        <v>22.828199999999999</v>
      </c>
      <c r="F1044" s="2">
        <f t="shared" si="1088"/>
        <v>22.775400000000008</v>
      </c>
      <c r="G1044" s="2">
        <f t="shared" si="1090"/>
        <v>23.005400000000009</v>
      </c>
      <c r="H1044" s="2">
        <f t="shared" si="1091"/>
        <v>2.2457692899052084E-2</v>
      </c>
      <c r="I1044" s="2">
        <f t="shared" ref="I1044:J1044" si="1107">LN(C1043)-LN(C1042)</f>
        <v>2.1061006777519653E-2</v>
      </c>
      <c r="J1044" s="2">
        <f t="shared" si="1107"/>
        <v>1.4305727740635543E-2</v>
      </c>
    </row>
    <row r="1045" spans="1:10" x14ac:dyDescent="0.45">
      <c r="A1045" s="1">
        <v>41703</v>
      </c>
      <c r="B1045">
        <v>101.45</v>
      </c>
      <c r="C1045">
        <v>2.9922</v>
      </c>
      <c r="D1045">
        <v>2.9403000000000001</v>
      </c>
      <c r="E1045" s="2">
        <f t="shared" si="1086"/>
        <v>22.769199999999994</v>
      </c>
      <c r="F1045" s="2">
        <f t="shared" si="1088"/>
        <v>22.828199999999999</v>
      </c>
      <c r="G1045" s="2">
        <f t="shared" si="1090"/>
        <v>22.775400000000008</v>
      </c>
      <c r="H1045" s="2">
        <f t="shared" si="1091"/>
        <v>-1.5270404772409485E-2</v>
      </c>
      <c r="I1045" s="2">
        <f t="shared" ref="I1045:J1045" si="1108">LN(C1044)-LN(C1043)</f>
        <v>-1.3004169402955235E-2</v>
      </c>
      <c r="J1045" s="2">
        <f t="shared" si="1108"/>
        <v>-1.1655919894366207E-2</v>
      </c>
    </row>
    <row r="1046" spans="1:10" x14ac:dyDescent="0.45">
      <c r="A1046" s="1">
        <v>41704</v>
      </c>
      <c r="B1046">
        <v>101.56</v>
      </c>
      <c r="C1046">
        <v>2.9830000000000001</v>
      </c>
      <c r="D1046">
        <v>2.9455</v>
      </c>
      <c r="E1046" s="2">
        <f t="shared" si="1086"/>
        <v>22.675999999999988</v>
      </c>
      <c r="F1046" s="2">
        <f t="shared" si="1088"/>
        <v>22.769199999999994</v>
      </c>
      <c r="G1046" s="2">
        <f t="shared" si="1090"/>
        <v>22.828199999999999</v>
      </c>
      <c r="H1046" s="2">
        <f t="shared" si="1091"/>
        <v>-1.8361683954440267E-2</v>
      </c>
      <c r="I1046" s="2">
        <f t="shared" ref="I1046:J1046" si="1109">LN(C1045)-LN(C1044)</f>
        <v>-1.6078849271538243E-2</v>
      </c>
      <c r="J1046" s="2">
        <f t="shared" si="1109"/>
        <v>-1.5188627345982253E-2</v>
      </c>
    </row>
    <row r="1047" spans="1:10" x14ac:dyDescent="0.45">
      <c r="A1047" s="1">
        <v>41705</v>
      </c>
      <c r="B1047">
        <v>102.58</v>
      </c>
      <c r="C1047">
        <v>3.0121000000000002</v>
      </c>
      <c r="D1047">
        <v>2.9738000000000002</v>
      </c>
      <c r="E1047" s="2">
        <f t="shared" si="1086"/>
        <v>22.855800000000006</v>
      </c>
      <c r="F1047" s="2">
        <f t="shared" si="1088"/>
        <v>22.675999999999988</v>
      </c>
      <c r="G1047" s="2">
        <f t="shared" si="1090"/>
        <v>22.769199999999994</v>
      </c>
      <c r="H1047" s="2">
        <f t="shared" si="1091"/>
        <v>1.0836905646538497E-3</v>
      </c>
      <c r="I1047" s="2">
        <f t="shared" ref="I1047:J1047" si="1110">LN(C1046)-LN(C1045)</f>
        <v>-3.0793972653833102E-3</v>
      </c>
      <c r="J1047" s="2">
        <f t="shared" si="1110"/>
        <v>1.7669650184981567E-3</v>
      </c>
    </row>
    <row r="1048" spans="1:10" x14ac:dyDescent="0.45">
      <c r="A1048" s="1">
        <v>41708</v>
      </c>
      <c r="B1048">
        <v>101.12</v>
      </c>
      <c r="C1048">
        <v>2.9674</v>
      </c>
      <c r="D1048">
        <v>2.9493999999999998</v>
      </c>
      <c r="E1048" s="2">
        <f t="shared" si="1086"/>
        <v>23.006799999999998</v>
      </c>
      <c r="F1048" s="2">
        <f t="shared" si="1088"/>
        <v>22.855800000000006</v>
      </c>
      <c r="G1048" s="2">
        <f t="shared" si="1090"/>
        <v>22.675999999999988</v>
      </c>
      <c r="H1048" s="2">
        <f t="shared" si="1091"/>
        <v>9.9932251246448445E-3</v>
      </c>
      <c r="I1048" s="2">
        <f t="shared" ref="I1048:J1048" si="1111">LN(C1047)-LN(C1046)</f>
        <v>9.7080043851187625E-3</v>
      </c>
      <c r="J1048" s="2">
        <f t="shared" si="1111"/>
        <v>9.5620143013808168E-3</v>
      </c>
    </row>
    <row r="1049" spans="1:10" x14ac:dyDescent="0.45">
      <c r="A1049" s="1">
        <v>41709</v>
      </c>
      <c r="B1049">
        <v>100.03</v>
      </c>
      <c r="C1049">
        <v>2.9609999999999999</v>
      </c>
      <c r="D1049">
        <v>2.9670000000000001</v>
      </c>
      <c r="E1049" s="2">
        <f t="shared" si="1086"/>
        <v>24.5</v>
      </c>
      <c r="F1049" s="2">
        <f t="shared" si="1088"/>
        <v>23.006799999999998</v>
      </c>
      <c r="G1049" s="2">
        <f t="shared" si="1090"/>
        <v>22.855800000000006</v>
      </c>
      <c r="H1049" s="2">
        <f t="shared" si="1091"/>
        <v>-1.4335051562574641E-2</v>
      </c>
      <c r="I1049" s="2">
        <f t="shared" ref="I1049:J1049" si="1112">LN(C1048)-LN(C1047)</f>
        <v>-1.4951361383174211E-2</v>
      </c>
      <c r="J1049" s="2">
        <f t="shared" si="1112"/>
        <v>-8.2388364462824271E-3</v>
      </c>
    </row>
    <row r="1050" spans="1:10" x14ac:dyDescent="0.45">
      <c r="A1050" s="1">
        <v>41710</v>
      </c>
      <c r="B1050">
        <v>97.99</v>
      </c>
      <c r="C1050">
        <v>2.9255</v>
      </c>
      <c r="D1050">
        <v>2.9558</v>
      </c>
      <c r="E1050" s="2">
        <f t="shared" si="1086"/>
        <v>25.729399999999998</v>
      </c>
      <c r="F1050" s="2">
        <f t="shared" si="1088"/>
        <v>24.5</v>
      </c>
      <c r="G1050" s="2">
        <f t="shared" si="1090"/>
        <v>23.006799999999998</v>
      </c>
      <c r="H1050" s="2">
        <f t="shared" si="1091"/>
        <v>-1.0837789401458409E-2</v>
      </c>
      <c r="I1050" s="2">
        <f t="shared" ref="I1050:J1050" si="1113">LN(C1049)-LN(C1048)</f>
        <v>-2.1590994151019505E-3</v>
      </c>
      <c r="J1050" s="2">
        <f t="shared" si="1113"/>
        <v>5.9495814739813913E-3</v>
      </c>
    </row>
    <row r="1051" spans="1:10" x14ac:dyDescent="0.45">
      <c r="A1051" s="1">
        <v>41711</v>
      </c>
      <c r="B1051">
        <v>98.2</v>
      </c>
      <c r="C1051">
        <v>2.9196</v>
      </c>
      <c r="D1051">
        <v>2.9329000000000001</v>
      </c>
      <c r="E1051" s="2">
        <f t="shared" si="1086"/>
        <v>24.795599999999997</v>
      </c>
      <c r="F1051" s="2">
        <f t="shared" si="1088"/>
        <v>25.729399999999998</v>
      </c>
      <c r="G1051" s="2">
        <f t="shared" si="1090"/>
        <v>24.5</v>
      </c>
      <c r="H1051" s="2">
        <f t="shared" si="1091"/>
        <v>-2.06047083493619E-2</v>
      </c>
      <c r="I1051" s="2">
        <f t="shared" ref="I1051:J1051" si="1114">LN(C1050)-LN(C1049)</f>
        <v>-1.2061642873300471E-2</v>
      </c>
      <c r="J1051" s="2">
        <f t="shared" si="1114"/>
        <v>-3.7819995103496318E-3</v>
      </c>
    </row>
    <row r="1052" spans="1:10" x14ac:dyDescent="0.45">
      <c r="A1052" s="1">
        <v>41712</v>
      </c>
      <c r="B1052">
        <v>98.89</v>
      </c>
      <c r="C1052">
        <v>2.9430999999999998</v>
      </c>
      <c r="D1052">
        <v>2.9597000000000002</v>
      </c>
      <c r="E1052" s="2">
        <f t="shared" si="1086"/>
        <v>25.185000000000002</v>
      </c>
      <c r="F1052" s="2">
        <f t="shared" si="1088"/>
        <v>24.795599999999997</v>
      </c>
      <c r="G1052" s="2">
        <f t="shared" si="1090"/>
        <v>25.729399999999998</v>
      </c>
      <c r="H1052" s="2">
        <f t="shared" si="1091"/>
        <v>2.1407827126926904E-3</v>
      </c>
      <c r="I1052" s="2">
        <f t="shared" ref="I1052:J1052" si="1115">LN(C1051)-LN(C1050)</f>
        <v>-2.0187856508135926E-3</v>
      </c>
      <c r="J1052" s="2">
        <f t="shared" si="1115"/>
        <v>-7.7776471677595271E-3</v>
      </c>
    </row>
    <row r="1053" spans="1:10" x14ac:dyDescent="0.45">
      <c r="A1053" s="1">
        <v>41715</v>
      </c>
      <c r="B1053">
        <v>98.08</v>
      </c>
      <c r="C1053">
        <v>2.8908</v>
      </c>
      <c r="D1053">
        <v>2.8811</v>
      </c>
      <c r="E1053" s="2">
        <f t="shared" si="1086"/>
        <v>23.062000000000012</v>
      </c>
      <c r="F1053" s="2">
        <f t="shared" si="1088"/>
        <v>25.185000000000002</v>
      </c>
      <c r="G1053" s="2">
        <f t="shared" si="1090"/>
        <v>24.795599999999997</v>
      </c>
      <c r="H1053" s="2">
        <f t="shared" si="1091"/>
        <v>7.0019059214798673E-3</v>
      </c>
      <c r="I1053" s="2">
        <f t="shared" ref="I1053:J1053" si="1116">LN(C1052)-LN(C1051)</f>
        <v>8.0168270117861873E-3</v>
      </c>
      <c r="J1053" s="2">
        <f t="shared" si="1116"/>
        <v>9.0962172176467515E-3</v>
      </c>
    </row>
    <row r="1054" spans="1:10" x14ac:dyDescent="0.45">
      <c r="A1054" s="1">
        <v>41716</v>
      </c>
      <c r="B1054">
        <v>98.88</v>
      </c>
      <c r="C1054">
        <v>2.9155000000000002</v>
      </c>
      <c r="D1054">
        <v>2.9028</v>
      </c>
      <c r="E1054" s="2">
        <f t="shared" si="1086"/>
        <v>23.215400000000006</v>
      </c>
      <c r="F1054" s="2">
        <f t="shared" si="1088"/>
        <v>23.062000000000012</v>
      </c>
      <c r="G1054" s="2">
        <f t="shared" si="1090"/>
        <v>25.185000000000002</v>
      </c>
      <c r="H1054" s="2">
        <f t="shared" si="1091"/>
        <v>-8.2246490939983374E-3</v>
      </c>
      <c r="I1054" s="2">
        <f t="shared" ref="I1054:J1054" si="1117">LN(C1053)-LN(C1052)</f>
        <v>-1.7930167180437273E-2</v>
      </c>
      <c r="J1054" s="2">
        <f t="shared" si="1117"/>
        <v>-2.691574617813508E-2</v>
      </c>
    </row>
    <row r="1055" spans="1:10" x14ac:dyDescent="0.45">
      <c r="A1055" s="1">
        <v>41717</v>
      </c>
      <c r="B1055">
        <v>99.17</v>
      </c>
      <c r="C1055">
        <v>2.891</v>
      </c>
      <c r="D1055">
        <v>2.8626999999999998</v>
      </c>
      <c r="E1055" s="2">
        <f t="shared" si="1086"/>
        <v>21.459599999999984</v>
      </c>
      <c r="F1055" s="2">
        <f t="shared" si="1088"/>
        <v>23.215400000000006</v>
      </c>
      <c r="G1055" s="2">
        <f t="shared" si="1090"/>
        <v>23.062000000000012</v>
      </c>
      <c r="H1055" s="2">
        <f t="shared" si="1091"/>
        <v>8.1235215214787715E-3</v>
      </c>
      <c r="I1055" s="2">
        <f t="shared" ref="I1055:J1055" si="1118">LN(C1054)-LN(C1053)</f>
        <v>8.5080512533846075E-3</v>
      </c>
      <c r="J1055" s="2">
        <f t="shared" si="1118"/>
        <v>7.5036227517575327E-3</v>
      </c>
    </row>
    <row r="1056" spans="1:10" x14ac:dyDescent="0.45">
      <c r="A1056" s="1">
        <v>41718</v>
      </c>
      <c r="B1056">
        <v>98.9</v>
      </c>
      <c r="C1056">
        <v>2.9131</v>
      </c>
      <c r="D1056">
        <v>2.8889</v>
      </c>
      <c r="E1056" s="2">
        <f t="shared" si="1086"/>
        <v>22.772599999999972</v>
      </c>
      <c r="F1056" s="2">
        <f t="shared" si="1088"/>
        <v>21.459599999999984</v>
      </c>
      <c r="G1056" s="2">
        <f t="shared" si="1090"/>
        <v>23.215400000000006</v>
      </c>
      <c r="H1056" s="2">
        <f t="shared" si="1091"/>
        <v>2.9285554886540055E-3</v>
      </c>
      <c r="I1056" s="2">
        <f t="shared" ref="I1056:J1056" si="1119">LN(C1055)-LN(C1054)</f>
        <v>-8.4388686458647388E-3</v>
      </c>
      <c r="J1056" s="2">
        <f t="shared" si="1119"/>
        <v>-1.3910552986578395E-2</v>
      </c>
    </row>
    <row r="1057" spans="1:10" x14ac:dyDescent="0.45">
      <c r="A1057" s="1">
        <v>41719</v>
      </c>
      <c r="B1057">
        <v>99.46</v>
      </c>
      <c r="C1057">
        <v>2.9134000000000002</v>
      </c>
      <c r="D1057">
        <v>2.8996</v>
      </c>
      <c r="E1057" s="2">
        <f t="shared" si="1086"/>
        <v>22.516399999999994</v>
      </c>
      <c r="F1057" s="2">
        <f t="shared" si="1088"/>
        <v>22.772599999999972</v>
      </c>
      <c r="G1057" s="2">
        <f t="shared" si="1090"/>
        <v>21.459599999999984</v>
      </c>
      <c r="H1057" s="2">
        <f t="shared" si="1091"/>
        <v>-2.7263105693675627E-3</v>
      </c>
      <c r="I1057" s="2">
        <f t="shared" ref="I1057:J1057" si="1120">LN(C1056)-LN(C1055)</f>
        <v>7.6153432244465691E-3</v>
      </c>
      <c r="J1057" s="2">
        <f t="shared" si="1120"/>
        <v>9.1105713964458879E-3</v>
      </c>
    </row>
    <row r="1058" spans="1:10" x14ac:dyDescent="0.45">
      <c r="A1058" s="1">
        <v>41722</v>
      </c>
      <c r="B1058">
        <v>99.6</v>
      </c>
      <c r="C1058">
        <v>2.9102000000000001</v>
      </c>
      <c r="D1058">
        <v>2.8856999999999999</v>
      </c>
      <c r="E1058" s="2">
        <f t="shared" si="1086"/>
        <v>21.942400000000021</v>
      </c>
      <c r="F1058" s="2">
        <f t="shared" si="1088"/>
        <v>22.516399999999994</v>
      </c>
      <c r="G1058" s="2">
        <f t="shared" si="1090"/>
        <v>22.772599999999972</v>
      </c>
      <c r="H1058" s="2">
        <f t="shared" si="1091"/>
        <v>5.6463146579259771E-3</v>
      </c>
      <c r="I1058" s="2">
        <f t="shared" ref="I1058:J1058" si="1121">LN(C1057)-LN(C1056)</f>
        <v>1.0297777405487984E-4</v>
      </c>
      <c r="J1058" s="2">
        <f t="shared" si="1121"/>
        <v>3.696989612873347E-3</v>
      </c>
    </row>
    <row r="1059" spans="1:10" x14ac:dyDescent="0.45">
      <c r="A1059" s="1">
        <v>41723</v>
      </c>
      <c r="B1059">
        <v>99.19</v>
      </c>
      <c r="C1059">
        <v>2.9207999999999998</v>
      </c>
      <c r="D1059">
        <v>2.8816999999999999</v>
      </c>
      <c r="E1059" s="2">
        <f t="shared" si="1086"/>
        <v>22.388800000000003</v>
      </c>
      <c r="F1059" s="2">
        <f t="shared" si="1088"/>
        <v>21.942400000000021</v>
      </c>
      <c r="G1059" s="2">
        <f t="shared" si="1090"/>
        <v>22.516399999999994</v>
      </c>
      <c r="H1059" s="2">
        <f t="shared" si="1091"/>
        <v>1.4066113039596928E-3</v>
      </c>
      <c r="I1059" s="2">
        <f t="shared" ref="I1059:J1059" si="1122">LN(C1058)-LN(C1057)</f>
        <v>-1.0989766886690955E-3</v>
      </c>
      <c r="J1059" s="2">
        <f t="shared" si="1122"/>
        <v>-4.8052916000431711E-3</v>
      </c>
    </row>
    <row r="1060" spans="1:10" x14ac:dyDescent="0.45">
      <c r="A1060" s="1">
        <v>41724</v>
      </c>
      <c r="B1060">
        <v>100.26</v>
      </c>
      <c r="C1060">
        <v>2.9178000000000002</v>
      </c>
      <c r="D1060">
        <v>2.9062999999999999</v>
      </c>
      <c r="E1060" s="2">
        <f t="shared" si="1086"/>
        <v>21.965599999999995</v>
      </c>
      <c r="F1060" s="2">
        <f t="shared" si="1088"/>
        <v>22.388800000000003</v>
      </c>
      <c r="G1060" s="2">
        <f t="shared" si="1090"/>
        <v>21.942400000000021</v>
      </c>
      <c r="H1060" s="2">
        <f t="shared" si="1091"/>
        <v>-4.1249618326499871E-3</v>
      </c>
      <c r="I1060" s="2">
        <f t="shared" ref="I1060:J1060" si="1123">LN(C1059)-LN(C1058)</f>
        <v>3.6357440152487985E-3</v>
      </c>
      <c r="J1060" s="2">
        <f t="shared" si="1123"/>
        <v>-1.3871070643116656E-3</v>
      </c>
    </row>
    <row r="1061" spans="1:10" x14ac:dyDescent="0.45">
      <c r="A1061" s="1">
        <v>41725</v>
      </c>
      <c r="B1061">
        <v>101.28</v>
      </c>
      <c r="C1061">
        <v>2.9428999999999998</v>
      </c>
      <c r="D1061">
        <v>2.9394</v>
      </c>
      <c r="E1061" s="2">
        <f t="shared" si="1086"/>
        <v>22.223799999999983</v>
      </c>
      <c r="F1061" s="2">
        <f t="shared" si="1088"/>
        <v>21.965599999999995</v>
      </c>
      <c r="G1061" s="2">
        <f t="shared" si="1090"/>
        <v>22.388800000000003</v>
      </c>
      <c r="H1061" s="2">
        <f t="shared" si="1091"/>
        <v>1.0729609077454683E-2</v>
      </c>
      <c r="I1061" s="2">
        <f t="shared" ref="I1061:J1061" si="1124">LN(C1060)-LN(C1059)</f>
        <v>-1.027643703631842E-3</v>
      </c>
      <c r="J1061" s="2">
        <f t="shared" si="1124"/>
        <v>8.5003967263814761E-3</v>
      </c>
    </row>
    <row r="1062" spans="1:10" x14ac:dyDescent="0.45">
      <c r="A1062" s="1">
        <v>41726</v>
      </c>
      <c r="B1062">
        <v>101.67</v>
      </c>
      <c r="C1062">
        <v>2.9478</v>
      </c>
      <c r="D1062">
        <v>2.9367000000000001</v>
      </c>
      <c r="E1062" s="2">
        <f t="shared" si="1086"/>
        <v>21.826800000000009</v>
      </c>
      <c r="F1062" s="2">
        <f t="shared" si="1088"/>
        <v>22.223799999999983</v>
      </c>
      <c r="G1062" s="2">
        <f t="shared" si="1090"/>
        <v>21.965599999999995</v>
      </c>
      <c r="H1062" s="2">
        <f t="shared" si="1091"/>
        <v>1.0122146560509471E-2</v>
      </c>
      <c r="I1062" s="2">
        <f t="shared" ref="I1062:J1062" si="1125">LN(C1061)-LN(C1060)</f>
        <v>8.5655820853189901E-3</v>
      </c>
      <c r="J1062" s="2">
        <f t="shared" si="1125"/>
        <v>1.1324684383834827E-2</v>
      </c>
    </row>
    <row r="1063" spans="1:10" x14ac:dyDescent="0.45">
      <c r="A1063" s="1">
        <v>41729</v>
      </c>
      <c r="B1063">
        <v>101.58</v>
      </c>
      <c r="C1063">
        <v>2.9298000000000002</v>
      </c>
      <c r="D1063">
        <v>2.9178999999999999</v>
      </c>
      <c r="E1063" s="2">
        <f t="shared" si="1086"/>
        <v>21.138400000000008</v>
      </c>
      <c r="F1063" s="2">
        <f t="shared" si="1088"/>
        <v>21.826800000000009</v>
      </c>
      <c r="G1063" s="2">
        <f t="shared" si="1090"/>
        <v>22.223799999999983</v>
      </c>
      <c r="H1063" s="2">
        <f t="shared" si="1091"/>
        <v>3.8433158912036802E-3</v>
      </c>
      <c r="I1063" s="2">
        <f t="shared" ref="I1063:J1063" si="1126">LN(C1062)-LN(C1061)</f>
        <v>1.663639679543305E-3</v>
      </c>
      <c r="J1063" s="2">
        <f t="shared" si="1126"/>
        <v>-9.1897693708986594E-4</v>
      </c>
    </row>
    <row r="1064" spans="1:10" x14ac:dyDescent="0.45">
      <c r="A1064" s="1">
        <v>41730</v>
      </c>
      <c r="B1064">
        <v>99.74</v>
      </c>
      <c r="C1064">
        <v>2.8877999999999999</v>
      </c>
      <c r="D1064">
        <v>2.8696999999999999</v>
      </c>
      <c r="E1064" s="2">
        <f t="shared" si="1086"/>
        <v>21.040800000000008</v>
      </c>
      <c r="F1064" s="2">
        <f t="shared" si="1088"/>
        <v>21.138400000000008</v>
      </c>
      <c r="G1064" s="2">
        <f t="shared" si="1090"/>
        <v>21.826800000000009</v>
      </c>
      <c r="H1064" s="2">
        <f t="shared" si="1091"/>
        <v>-8.8560891397104768E-4</v>
      </c>
      <c r="I1064" s="2">
        <f t="shared" ref="I1064:J1064" si="1127">LN(C1063)-LN(C1062)</f>
        <v>-6.1249681069879269E-3</v>
      </c>
      <c r="J1064" s="2">
        <f t="shared" si="1127"/>
        <v>-6.4223224879729202E-3</v>
      </c>
    </row>
    <row r="1065" spans="1:10" x14ac:dyDescent="0.45">
      <c r="A1065" s="1">
        <v>41731</v>
      </c>
      <c r="B1065">
        <v>99.62</v>
      </c>
      <c r="C1065">
        <v>2.8666</v>
      </c>
      <c r="D1065">
        <v>2.8668</v>
      </c>
      <c r="E1065" s="2">
        <f t="shared" si="1086"/>
        <v>20.782799999999991</v>
      </c>
      <c r="F1065" s="2">
        <f t="shared" si="1088"/>
        <v>21.040800000000008</v>
      </c>
      <c r="G1065" s="2">
        <f t="shared" si="1090"/>
        <v>21.138400000000008</v>
      </c>
      <c r="H1065" s="2">
        <f t="shared" si="1091"/>
        <v>-1.8279865255122374E-2</v>
      </c>
      <c r="I1065" s="2">
        <f t="shared" ref="I1065:J1065" si="1128">LN(C1064)-LN(C1063)</f>
        <v>-1.4439194758550933E-2</v>
      </c>
      <c r="J1065" s="2">
        <f t="shared" si="1128"/>
        <v>-1.6656684774180475E-2</v>
      </c>
    </row>
    <row r="1066" spans="1:10" x14ac:dyDescent="0.45">
      <c r="A1066" s="1">
        <v>41732</v>
      </c>
      <c r="B1066">
        <v>100.29</v>
      </c>
      <c r="C1066">
        <v>2.9062000000000001</v>
      </c>
      <c r="D1066">
        <v>2.9117999999999999</v>
      </c>
      <c r="E1066" s="2">
        <f t="shared" si="1086"/>
        <v>21.927199999999988</v>
      </c>
      <c r="F1066" s="2">
        <f t="shared" si="1088"/>
        <v>20.782799999999991</v>
      </c>
      <c r="G1066" s="2">
        <f t="shared" si="1090"/>
        <v>21.040800000000008</v>
      </c>
      <c r="H1066" s="2">
        <f t="shared" si="1091"/>
        <v>-1.203852472839273E-3</v>
      </c>
      <c r="I1066" s="2">
        <f t="shared" ref="I1066:J1066" si="1129">LN(C1065)-LN(C1064)</f>
        <v>-7.3683080480033691E-3</v>
      </c>
      <c r="J1066" s="2">
        <f t="shared" si="1129"/>
        <v>-1.0110695535767711E-3</v>
      </c>
    </row>
    <row r="1067" spans="1:10" x14ac:dyDescent="0.45">
      <c r="A1067" s="1">
        <v>41733</v>
      </c>
      <c r="B1067">
        <v>101.14</v>
      </c>
      <c r="C1067">
        <v>2.9079000000000002</v>
      </c>
      <c r="D1067">
        <v>2.9312999999999998</v>
      </c>
      <c r="E1067" s="2">
        <f t="shared" si="1086"/>
        <v>21.646999999999991</v>
      </c>
      <c r="F1067" s="2">
        <f t="shared" si="1088"/>
        <v>21.927199999999988</v>
      </c>
      <c r="G1067" s="2">
        <f t="shared" si="1090"/>
        <v>20.782799999999991</v>
      </c>
      <c r="H1067" s="2">
        <f t="shared" si="1091"/>
        <v>6.7030414549797968E-3</v>
      </c>
      <c r="I1067" s="2">
        <f t="shared" ref="I1067:J1067" si="1130">LN(C1066)-LN(C1065)</f>
        <v>1.3719727397480286E-2</v>
      </c>
      <c r="J1067" s="2">
        <f t="shared" si="1130"/>
        <v>1.5575021519461218E-2</v>
      </c>
    </row>
    <row r="1068" spans="1:10" x14ac:dyDescent="0.45">
      <c r="A1068" s="1">
        <v>41736</v>
      </c>
      <c r="B1068">
        <v>100.44</v>
      </c>
      <c r="C1068">
        <v>2.8906999999999998</v>
      </c>
      <c r="D1068">
        <v>2.9260000000000002</v>
      </c>
      <c r="E1068" s="2">
        <f t="shared" si="1086"/>
        <v>21.957800000000002</v>
      </c>
      <c r="F1068" s="2">
        <f t="shared" si="1088"/>
        <v>21.646999999999991</v>
      </c>
      <c r="G1068" s="2">
        <f t="shared" si="1090"/>
        <v>21.927199999999988</v>
      </c>
      <c r="H1068" s="2">
        <f t="shared" si="1091"/>
        <v>8.4397065517194392E-3</v>
      </c>
      <c r="I1068" s="2">
        <f t="shared" ref="I1068:J1068" si="1131">LN(C1067)-LN(C1066)</f>
        <v>5.847852800764386E-4</v>
      </c>
      <c r="J1068" s="2">
        <f t="shared" si="1131"/>
        <v>6.6745639791816469E-3</v>
      </c>
    </row>
    <row r="1069" spans="1:10" x14ac:dyDescent="0.45">
      <c r="A1069" s="1">
        <v>41737</v>
      </c>
      <c r="B1069">
        <v>102.56</v>
      </c>
      <c r="C1069">
        <v>2.9344000000000001</v>
      </c>
      <c r="D1069">
        <v>2.9801000000000002</v>
      </c>
      <c r="E1069" s="2">
        <f t="shared" si="1086"/>
        <v>21.964400000000012</v>
      </c>
      <c r="F1069" s="2">
        <f t="shared" si="1088"/>
        <v>21.957800000000002</v>
      </c>
      <c r="G1069" s="2">
        <f t="shared" si="1090"/>
        <v>21.646999999999991</v>
      </c>
      <c r="H1069" s="2">
        <f t="shared" si="1091"/>
        <v>-6.9451613624522679E-3</v>
      </c>
      <c r="I1069" s="2">
        <f t="shared" ref="I1069:J1069" si="1132">LN(C1068)-LN(C1067)</f>
        <v>-5.9324838565264493E-3</v>
      </c>
      <c r="J1069" s="2">
        <f t="shared" si="1132"/>
        <v>-1.8097080383374653E-3</v>
      </c>
    </row>
    <row r="1070" spans="1:10" x14ac:dyDescent="0.45">
      <c r="A1070" s="1">
        <v>41738</v>
      </c>
      <c r="B1070">
        <v>103.6</v>
      </c>
      <c r="C1070">
        <v>2.9540000000000002</v>
      </c>
      <c r="D1070">
        <v>3.0084</v>
      </c>
      <c r="E1070" s="2">
        <f t="shared" si="1086"/>
        <v>21.99120000000001</v>
      </c>
      <c r="F1070" s="2">
        <f t="shared" si="1088"/>
        <v>21.964400000000012</v>
      </c>
      <c r="G1070" s="2">
        <f t="shared" si="1090"/>
        <v>21.957800000000002</v>
      </c>
      <c r="H1070" s="2">
        <f t="shared" si="1091"/>
        <v>2.0887458882975274E-2</v>
      </c>
      <c r="I1070" s="2">
        <f t="shared" ref="I1070:J1070" si="1133">LN(C1069)-LN(C1068)</f>
        <v>1.5004315752000119E-2</v>
      </c>
      <c r="J1070" s="2">
        <f t="shared" si="1133"/>
        <v>1.8320554403335354E-2</v>
      </c>
    </row>
    <row r="1071" spans="1:10" x14ac:dyDescent="0.45">
      <c r="A1071" s="1">
        <v>41739</v>
      </c>
      <c r="B1071">
        <v>103.4</v>
      </c>
      <c r="C1071">
        <v>2.9390000000000001</v>
      </c>
      <c r="D1071">
        <v>3.0078999999999998</v>
      </c>
      <c r="E1071" s="2">
        <f t="shared" si="1086"/>
        <v>21.967199999999973</v>
      </c>
      <c r="F1071" s="2">
        <f t="shared" si="1088"/>
        <v>21.99120000000001</v>
      </c>
      <c r="G1071" s="2">
        <f t="shared" si="1090"/>
        <v>21.964400000000012</v>
      </c>
      <c r="H1071" s="2">
        <f t="shared" si="1091"/>
        <v>1.0089336653022585E-2</v>
      </c>
      <c r="I1071" s="2">
        <f t="shared" ref="I1071:J1071" si="1134">LN(C1070)-LN(C1069)</f>
        <v>6.6571810291793376E-3</v>
      </c>
      <c r="J1071" s="2">
        <f t="shared" si="1134"/>
        <v>9.4515189688431089E-3</v>
      </c>
    </row>
    <row r="1072" spans="1:10" x14ac:dyDescent="0.45">
      <c r="A1072" s="1">
        <v>41740</v>
      </c>
      <c r="B1072">
        <v>103.74</v>
      </c>
      <c r="C1072">
        <v>2.9331999999999998</v>
      </c>
      <c r="D1072">
        <v>3.0144000000000002</v>
      </c>
      <c r="E1072" s="2">
        <f t="shared" si="1086"/>
        <v>21.728000000000009</v>
      </c>
      <c r="F1072" s="2">
        <f t="shared" si="1088"/>
        <v>21.967199999999973</v>
      </c>
      <c r="G1072" s="2">
        <f t="shared" si="1090"/>
        <v>21.99120000000001</v>
      </c>
      <c r="H1072" s="2">
        <f t="shared" si="1091"/>
        <v>-1.9323677510536541E-3</v>
      </c>
      <c r="I1072" s="2">
        <f t="shared" ref="I1072:J1072" si="1135">LN(C1071)-LN(C1070)</f>
        <v>-5.0907966724076381E-3</v>
      </c>
      <c r="J1072" s="2">
        <f t="shared" si="1135"/>
        <v>-1.6621511598535754E-4</v>
      </c>
    </row>
    <row r="1073" spans="1:10" x14ac:dyDescent="0.45">
      <c r="A1073" s="1">
        <v>41743</v>
      </c>
      <c r="B1073">
        <v>104.05</v>
      </c>
      <c r="C1073">
        <v>2.9790999999999999</v>
      </c>
      <c r="D1073">
        <v>3.0384000000000002</v>
      </c>
      <c r="E1073" s="2">
        <f t="shared" si="1086"/>
        <v>22.732600000000009</v>
      </c>
      <c r="F1073" s="2">
        <f t="shared" si="1088"/>
        <v>21.728000000000009</v>
      </c>
      <c r="G1073" s="2">
        <f t="shared" si="1090"/>
        <v>21.967199999999973</v>
      </c>
      <c r="H1073" s="2">
        <f t="shared" si="1091"/>
        <v>3.282806848925901E-3</v>
      </c>
      <c r="I1073" s="2">
        <f t="shared" ref="I1073:J1073" si="1136">LN(C1072)-LN(C1071)</f>
        <v>-1.9754101992730533E-3</v>
      </c>
      <c r="J1073" s="2">
        <f t="shared" si="1136"/>
        <v>2.1586445457812964E-3</v>
      </c>
    </row>
    <row r="1074" spans="1:10" x14ac:dyDescent="0.45">
      <c r="A1074" s="1">
        <v>41744</v>
      </c>
      <c r="B1074">
        <v>103.75</v>
      </c>
      <c r="C1074">
        <v>2.9870000000000001</v>
      </c>
      <c r="D1074">
        <v>3.0421</v>
      </c>
      <c r="E1074" s="2">
        <f t="shared" si="1086"/>
        <v>23.246800000000007</v>
      </c>
      <c r="F1074" s="2">
        <f t="shared" si="1088"/>
        <v>22.732600000000009</v>
      </c>
      <c r="G1074" s="2">
        <f t="shared" si="1090"/>
        <v>21.728000000000009</v>
      </c>
      <c r="H1074" s="2">
        <f t="shared" si="1091"/>
        <v>2.9837839163890933E-3</v>
      </c>
      <c r="I1074" s="2">
        <f t="shared" ref="I1074:J1074" si="1137">LN(C1073)-LN(C1072)</f>
        <v>1.5527264241748551E-2</v>
      </c>
      <c r="J1074" s="2">
        <f t="shared" si="1137"/>
        <v>7.9302556759774934E-3</v>
      </c>
    </row>
    <row r="1075" spans="1:10" x14ac:dyDescent="0.45">
      <c r="A1075" s="1">
        <v>41745</v>
      </c>
      <c r="B1075">
        <v>103.76</v>
      </c>
      <c r="C1075">
        <v>3.0106000000000002</v>
      </c>
      <c r="D1075">
        <v>3.0405000000000002</v>
      </c>
      <c r="E1075" s="2">
        <f t="shared" si="1086"/>
        <v>23.522400000000005</v>
      </c>
      <c r="F1075" s="2">
        <f t="shared" si="1088"/>
        <v>23.246800000000007</v>
      </c>
      <c r="G1075" s="2">
        <f t="shared" si="1090"/>
        <v>22.732600000000009</v>
      </c>
      <c r="H1075" s="2">
        <f t="shared" si="1091"/>
        <v>-2.8873937288356188E-3</v>
      </c>
      <c r="I1075" s="2">
        <f t="shared" ref="I1075:J1075" si="1138">LN(C1074)-LN(C1073)</f>
        <v>2.6482977547168662E-3</v>
      </c>
      <c r="J1075" s="2">
        <f t="shared" si="1138"/>
        <v>1.217005330704124E-3</v>
      </c>
    </row>
    <row r="1076" spans="1:10" x14ac:dyDescent="0.45">
      <c r="A1076" s="1">
        <v>41746</v>
      </c>
      <c r="B1076">
        <v>104.3</v>
      </c>
      <c r="C1076">
        <v>3.0082</v>
      </c>
      <c r="D1076">
        <v>3.0547</v>
      </c>
      <c r="E1076" s="2">
        <f t="shared" si="1086"/>
        <v>23.346400000000017</v>
      </c>
      <c r="F1076" s="2">
        <f t="shared" si="1088"/>
        <v>23.522400000000005</v>
      </c>
      <c r="G1076" s="2">
        <f t="shared" si="1090"/>
        <v>23.246800000000007</v>
      </c>
      <c r="H1076" s="2">
        <f t="shared" si="1091"/>
        <v>9.6380897380399233E-5</v>
      </c>
      <c r="I1076" s="2">
        <f t="shared" ref="I1076:J1076" si="1139">LN(C1075)-LN(C1074)</f>
        <v>7.8698552102938191E-3</v>
      </c>
      <c r="J1076" s="2">
        <f t="shared" si="1139"/>
        <v>-5.260908285611432E-4</v>
      </c>
    </row>
    <row r="1077" spans="1:10" x14ac:dyDescent="0.45">
      <c r="A1077" s="1">
        <v>41750</v>
      </c>
      <c r="B1077">
        <v>103.65</v>
      </c>
      <c r="C1077">
        <v>3.0116999999999998</v>
      </c>
      <c r="D1077">
        <v>3.0869</v>
      </c>
      <c r="E1077" s="2">
        <f t="shared" si="1086"/>
        <v>24.946999999999985</v>
      </c>
      <c r="F1077" s="2">
        <f t="shared" si="1088"/>
        <v>23.346400000000017</v>
      </c>
      <c r="G1077" s="2">
        <f t="shared" si="1090"/>
        <v>23.522400000000005</v>
      </c>
      <c r="H1077" s="2">
        <f t="shared" si="1091"/>
        <v>5.1908219985383752E-3</v>
      </c>
      <c r="I1077" s="2">
        <f t="shared" ref="I1077:J1077" si="1140">LN(C1076)-LN(C1075)</f>
        <v>-7.9750120529076263E-4</v>
      </c>
      <c r="J1077" s="2">
        <f t="shared" si="1140"/>
        <v>4.6594125509600293E-3</v>
      </c>
    </row>
    <row r="1078" spans="1:10" x14ac:dyDescent="0.45">
      <c r="A1078" s="1">
        <v>41751</v>
      </c>
      <c r="B1078">
        <v>101.75</v>
      </c>
      <c r="C1078">
        <v>2.9954999999999998</v>
      </c>
      <c r="D1078">
        <v>3.0446</v>
      </c>
      <c r="E1078" s="2">
        <f t="shared" si="1086"/>
        <v>25.43579999999999</v>
      </c>
      <c r="F1078" s="2">
        <f t="shared" si="1088"/>
        <v>24.946999999999985</v>
      </c>
      <c r="G1078" s="2">
        <f t="shared" si="1090"/>
        <v>23.346400000000017</v>
      </c>
      <c r="H1078" s="2">
        <f t="shared" si="1091"/>
        <v>-6.2515231249378189E-3</v>
      </c>
      <c r="I1078" s="2">
        <f t="shared" ref="I1078:J1078" si="1141">LN(C1077)-LN(C1076)</f>
        <v>1.1628101444776107E-3</v>
      </c>
      <c r="J1078" s="2">
        <f t="shared" si="1141"/>
        <v>1.0485962956395811E-2</v>
      </c>
    </row>
    <row r="1079" spans="1:10" x14ac:dyDescent="0.45">
      <c r="A1079" s="1">
        <v>41752</v>
      </c>
      <c r="B1079">
        <v>101.44</v>
      </c>
      <c r="C1079">
        <v>2.9758</v>
      </c>
      <c r="D1079">
        <v>3.0404</v>
      </c>
      <c r="E1079" s="2">
        <f t="shared" si="1086"/>
        <v>25.352400000000006</v>
      </c>
      <c r="F1079" s="2">
        <f t="shared" si="1088"/>
        <v>25.43579999999999</v>
      </c>
      <c r="G1079" s="2">
        <f t="shared" si="1090"/>
        <v>24.946999999999985</v>
      </c>
      <c r="H1079" s="2">
        <f t="shared" si="1091"/>
        <v>-1.8501014559084261E-2</v>
      </c>
      <c r="I1079" s="2">
        <f t="shared" ref="I1079:J1079" si="1142">LN(C1078)-LN(C1077)</f>
        <v>-5.393540841610811E-3</v>
      </c>
      <c r="J1079" s="2">
        <f t="shared" si="1142"/>
        <v>-1.3797821442366631E-2</v>
      </c>
    </row>
    <row r="1080" spans="1:10" x14ac:dyDescent="0.45">
      <c r="A1080" s="1">
        <v>41753</v>
      </c>
      <c r="B1080">
        <v>101.94</v>
      </c>
      <c r="C1080">
        <v>3.0095000000000001</v>
      </c>
      <c r="D1080">
        <v>3.0451999999999999</v>
      </c>
      <c r="E1080" s="2">
        <f t="shared" si="1086"/>
        <v>25.45859999999999</v>
      </c>
      <c r="F1080" s="2">
        <f t="shared" si="1088"/>
        <v>25.352400000000006</v>
      </c>
      <c r="G1080" s="2">
        <f t="shared" si="1090"/>
        <v>25.43579999999999</v>
      </c>
      <c r="H1080" s="2">
        <f t="shared" si="1091"/>
        <v>-3.0513336337891772E-3</v>
      </c>
      <c r="I1080" s="2">
        <f t="shared" ref="I1080:J1080" si="1143">LN(C1079)-LN(C1078)</f>
        <v>-6.5982521303826758E-3</v>
      </c>
      <c r="J1080" s="2">
        <f t="shared" si="1143"/>
        <v>-1.3804439332683049E-3</v>
      </c>
    </row>
    <row r="1081" spans="1:10" x14ac:dyDescent="0.45">
      <c r="A1081" s="1">
        <v>41754</v>
      </c>
      <c r="B1081">
        <v>100.6</v>
      </c>
      <c r="C1081">
        <v>2.9809000000000001</v>
      </c>
      <c r="D1081">
        <v>3.0266000000000002</v>
      </c>
      <c r="E1081" s="2">
        <f t="shared" si="1086"/>
        <v>25.877400000000023</v>
      </c>
      <c r="F1081" s="2">
        <f t="shared" si="1088"/>
        <v>25.45859999999999</v>
      </c>
      <c r="G1081" s="2">
        <f t="shared" si="1090"/>
        <v>25.352400000000006</v>
      </c>
      <c r="H1081" s="2">
        <f t="shared" si="1091"/>
        <v>4.9169142229805729E-3</v>
      </c>
      <c r="I1081" s="2">
        <f t="shared" ref="I1081:J1081" si="1144">LN(C1080)-LN(C1079)</f>
        <v>1.1261041594228471E-2</v>
      </c>
      <c r="J1081" s="2">
        <f t="shared" si="1144"/>
        <v>1.5774947401721029E-3</v>
      </c>
    </row>
    <row r="1082" spans="1:10" x14ac:dyDescent="0.45">
      <c r="A1082" s="1">
        <v>41757</v>
      </c>
      <c r="B1082">
        <v>100.84</v>
      </c>
      <c r="C1082">
        <v>2.9445000000000001</v>
      </c>
      <c r="D1082">
        <v>2.9864000000000002</v>
      </c>
      <c r="E1082" s="2">
        <f t="shared" si="1086"/>
        <v>24.002200000000016</v>
      </c>
      <c r="F1082" s="2">
        <f t="shared" si="1088"/>
        <v>25.877400000000023</v>
      </c>
      <c r="G1082" s="2">
        <f t="shared" si="1090"/>
        <v>25.45859999999999</v>
      </c>
      <c r="H1082" s="2">
        <f t="shared" si="1091"/>
        <v>-1.323214724625732E-2</v>
      </c>
      <c r="I1082" s="2">
        <f t="shared" ref="I1082:J1082" si="1145">LN(C1081)-LN(C1080)</f>
        <v>-9.548683662429891E-3</v>
      </c>
      <c r="J1082" s="2">
        <f t="shared" si="1145"/>
        <v>-6.1267031791316651E-3</v>
      </c>
    </row>
    <row r="1083" spans="1:10" x14ac:dyDescent="0.45">
      <c r="A1083" s="1">
        <v>41758</v>
      </c>
      <c r="B1083">
        <v>101.28</v>
      </c>
      <c r="C1083">
        <v>2.9634999999999998</v>
      </c>
      <c r="D1083">
        <v>3.008</v>
      </c>
      <c r="E1083" s="2">
        <f t="shared" si="1086"/>
        <v>24.432999999999993</v>
      </c>
      <c r="F1083" s="2">
        <f t="shared" si="1088"/>
        <v>24.002200000000016</v>
      </c>
      <c r="G1083" s="2">
        <f t="shared" si="1090"/>
        <v>25.877400000000023</v>
      </c>
      <c r="H1083" s="2">
        <f t="shared" si="1091"/>
        <v>2.3828446540807846E-3</v>
      </c>
      <c r="I1083" s="2">
        <f t="shared" ref="I1083:J1083" si="1146">LN(C1082)-LN(C1081)</f>
        <v>-1.228624494077013E-2</v>
      </c>
      <c r="J1083" s="2">
        <f t="shared" si="1146"/>
        <v>-1.3371228652551581E-2</v>
      </c>
    </row>
    <row r="1084" spans="1:10" x14ac:dyDescent="0.45">
      <c r="A1084" s="1">
        <v>41759</v>
      </c>
      <c r="B1084">
        <v>99.74</v>
      </c>
      <c r="C1084">
        <v>2.9281000000000001</v>
      </c>
      <c r="D1084">
        <v>2.9643999999999999</v>
      </c>
      <c r="E1084" s="2">
        <f t="shared" si="1086"/>
        <v>24.256600000000009</v>
      </c>
      <c r="F1084" s="2">
        <f t="shared" si="1088"/>
        <v>24.432999999999993</v>
      </c>
      <c r="G1084" s="2">
        <f t="shared" si="1090"/>
        <v>24.002200000000016</v>
      </c>
      <c r="H1084" s="2">
        <f t="shared" si="1091"/>
        <v>4.3538560761469114E-3</v>
      </c>
      <c r="I1084" s="2">
        <f t="shared" ref="I1084:J1084" si="1147">LN(C1083)-LN(C1082)</f>
        <v>6.4319788432674052E-3</v>
      </c>
      <c r="J1084" s="2">
        <f t="shared" si="1147"/>
        <v>7.2067574693561731E-3</v>
      </c>
    </row>
    <row r="1085" spans="1:10" x14ac:dyDescent="0.45">
      <c r="A1085" s="1">
        <v>41760</v>
      </c>
      <c r="B1085">
        <v>99.42</v>
      </c>
      <c r="C1085">
        <v>2.9140000000000001</v>
      </c>
      <c r="D1085">
        <v>2.9388000000000001</v>
      </c>
      <c r="E1085" s="2">
        <f t="shared" si="1086"/>
        <v>23.662400000000009</v>
      </c>
      <c r="F1085" s="2">
        <f t="shared" si="1088"/>
        <v>24.256600000000009</v>
      </c>
      <c r="G1085" s="2">
        <f t="shared" si="1090"/>
        <v>24.432999999999993</v>
      </c>
      <c r="H1085" s="2">
        <f t="shared" si="1091"/>
        <v>-1.5322158277889741E-2</v>
      </c>
      <c r="I1085" s="2">
        <f t="shared" ref="I1085:J1085" si="1148">LN(C1084)-LN(C1083)</f>
        <v>-1.2017253724426746E-2</v>
      </c>
      <c r="J1085" s="2">
        <f t="shared" si="1148"/>
        <v>-1.4600754992526666E-2</v>
      </c>
    </row>
    <row r="1086" spans="1:10" x14ac:dyDescent="0.45">
      <c r="A1086" s="1">
        <v>41761</v>
      </c>
      <c r="B1086">
        <v>99.76</v>
      </c>
      <c r="C1086">
        <v>2.9222999999999999</v>
      </c>
      <c r="D1086">
        <v>2.9445000000000001</v>
      </c>
      <c r="E1086" s="2">
        <f t="shared" si="1086"/>
        <v>23.598200000000002</v>
      </c>
      <c r="F1086" s="2">
        <f t="shared" si="1088"/>
        <v>23.662400000000009</v>
      </c>
      <c r="G1086" s="2">
        <f t="shared" si="1090"/>
        <v>24.256600000000009</v>
      </c>
      <c r="H1086" s="2">
        <f t="shared" si="1091"/>
        <v>-3.2134994514505522E-3</v>
      </c>
      <c r="I1086" s="2">
        <f t="shared" ref="I1086:J1086" si="1149">LN(C1085)-LN(C1084)</f>
        <v>-4.8270407483159694E-3</v>
      </c>
      <c r="J1086" s="2">
        <f t="shared" si="1149"/>
        <v>-8.67331633108126E-3</v>
      </c>
    </row>
    <row r="1087" spans="1:10" x14ac:dyDescent="0.45">
      <c r="A1087" s="1">
        <v>41764</v>
      </c>
      <c r="B1087">
        <v>99.48</v>
      </c>
      <c r="C1087">
        <v>2.9064000000000001</v>
      </c>
      <c r="D1087">
        <v>2.9091999999999998</v>
      </c>
      <c r="E1087" s="2">
        <f t="shared" si="1086"/>
        <v>22.667199999999998</v>
      </c>
      <c r="F1087" s="2">
        <f t="shared" si="1088"/>
        <v>23.598200000000002</v>
      </c>
      <c r="G1087" s="2">
        <f t="shared" si="1090"/>
        <v>23.662400000000009</v>
      </c>
      <c r="H1087" s="2">
        <f t="shared" si="1091"/>
        <v>3.4140007052547716E-3</v>
      </c>
      <c r="I1087" s="2">
        <f t="shared" ref="I1087:J1087" si="1150">LN(C1086)-LN(C1085)</f>
        <v>2.8442696898693942E-3</v>
      </c>
      <c r="J1087" s="2">
        <f t="shared" si="1150"/>
        <v>1.9376886385029657E-3</v>
      </c>
    </row>
    <row r="1088" spans="1:10" x14ac:dyDescent="0.45">
      <c r="A1088" s="1">
        <v>41765</v>
      </c>
      <c r="B1088">
        <v>99.5</v>
      </c>
      <c r="C1088">
        <v>2.8877000000000002</v>
      </c>
      <c r="D1088">
        <v>2.8858000000000001</v>
      </c>
      <c r="E1088" s="2">
        <f t="shared" si="1086"/>
        <v>21.730200000000007</v>
      </c>
      <c r="F1088" s="2">
        <f t="shared" si="1088"/>
        <v>22.667199999999998</v>
      </c>
      <c r="G1088" s="2">
        <f t="shared" si="1090"/>
        <v>23.598200000000002</v>
      </c>
      <c r="H1088" s="2">
        <f t="shared" si="1091"/>
        <v>-2.8106824365767835E-3</v>
      </c>
      <c r="I1088" s="2">
        <f t="shared" ref="I1088:J1088" si="1151">LN(C1087)-LN(C1086)</f>
        <v>-5.4557755380273409E-3</v>
      </c>
      <c r="J1088" s="2">
        <f t="shared" si="1151"/>
        <v>-1.2060894104239939E-2</v>
      </c>
    </row>
    <row r="1089" spans="1:10" x14ac:dyDescent="0.45">
      <c r="A1089" s="1">
        <v>41766</v>
      </c>
      <c r="B1089">
        <v>100.77</v>
      </c>
      <c r="C1089">
        <v>2.9275000000000002</v>
      </c>
      <c r="D1089">
        <v>2.9182000000000001</v>
      </c>
      <c r="E1089" s="2">
        <f t="shared" si="1086"/>
        <v>21.924599999999998</v>
      </c>
      <c r="F1089" s="2">
        <f t="shared" si="1088"/>
        <v>21.730200000000007</v>
      </c>
      <c r="G1089" s="2">
        <f t="shared" si="1090"/>
        <v>22.667199999999998</v>
      </c>
      <c r="H1089" s="2">
        <f t="shared" si="1091"/>
        <v>2.0102522934273281E-4</v>
      </c>
      <c r="I1089" s="2">
        <f t="shared" ref="I1089:J1089" si="1152">LN(C1088)-LN(C1087)</f>
        <v>-6.4548644063240346E-3</v>
      </c>
      <c r="J1089" s="2">
        <f t="shared" si="1152"/>
        <v>-8.0759714172300434E-3</v>
      </c>
    </row>
    <row r="1090" spans="1:10" x14ac:dyDescent="0.45">
      <c r="A1090" s="1">
        <v>41767</v>
      </c>
      <c r="B1090">
        <v>100.26</v>
      </c>
      <c r="C1090">
        <v>2.9201999999999999</v>
      </c>
      <c r="D1090">
        <v>2.9049999999999998</v>
      </c>
      <c r="E1090" s="2">
        <f t="shared" si="1086"/>
        <v>21.962799999999977</v>
      </c>
      <c r="F1090" s="2">
        <f t="shared" si="1088"/>
        <v>21.924599999999998</v>
      </c>
      <c r="G1090" s="2">
        <f t="shared" si="1090"/>
        <v>21.730200000000007</v>
      </c>
      <c r="H1090" s="2">
        <f t="shared" si="1091"/>
        <v>1.2683048127763996E-2</v>
      </c>
      <c r="I1090" s="2">
        <f t="shared" ref="I1090:J1090" si="1153">LN(C1089)-LN(C1088)</f>
        <v>1.3688478971204399E-2</v>
      </c>
      <c r="J1090" s="2">
        <f t="shared" si="1153"/>
        <v>1.1164829966766598E-2</v>
      </c>
    </row>
    <row r="1091" spans="1:10" x14ac:dyDescent="0.45">
      <c r="A1091" s="1">
        <v>41768</v>
      </c>
      <c r="B1091">
        <v>99.99</v>
      </c>
      <c r="C1091">
        <v>2.9068000000000001</v>
      </c>
      <c r="D1091">
        <v>2.8959999999999999</v>
      </c>
      <c r="E1091" s="2">
        <f t="shared" ref="E1091:E1154" si="1154">(2*D1091*42+1*C1091*42-3*B1091)/3</f>
        <v>21.793200000000013</v>
      </c>
      <c r="F1091" s="2">
        <f t="shared" si="1088"/>
        <v>21.962799999999977</v>
      </c>
      <c r="G1091" s="2">
        <f t="shared" si="1090"/>
        <v>21.924599999999998</v>
      </c>
      <c r="H1091" s="2">
        <f t="shared" si="1091"/>
        <v>-5.0738804569538942E-3</v>
      </c>
      <c r="I1091" s="2">
        <f t="shared" ref="I1091:J1091" si="1155">LN(C1090)-LN(C1089)</f>
        <v>-2.4967094044090477E-3</v>
      </c>
      <c r="J1091" s="2">
        <f t="shared" si="1155"/>
        <v>-4.5335975439104725E-3</v>
      </c>
    </row>
    <row r="1092" spans="1:10" x14ac:dyDescent="0.45">
      <c r="A1092" s="1">
        <v>41771</v>
      </c>
      <c r="B1092">
        <v>100.59</v>
      </c>
      <c r="C1092">
        <v>2.9184999999999999</v>
      </c>
      <c r="D1092">
        <v>2.9146000000000001</v>
      </c>
      <c r="E1092" s="2">
        <f t="shared" si="1154"/>
        <v>21.877800000000018</v>
      </c>
      <c r="F1092" s="2">
        <f t="shared" ref="F1092:F1155" si="1156">E1091</f>
        <v>21.793200000000013</v>
      </c>
      <c r="G1092" s="2">
        <f t="shared" si="1090"/>
        <v>21.962799999999977</v>
      </c>
      <c r="H1092" s="2">
        <f t="shared" si="1091"/>
        <v>-2.6966308475993017E-3</v>
      </c>
      <c r="I1092" s="2">
        <f t="shared" ref="I1092:J1092" si="1157">LN(C1091)-LN(C1090)</f>
        <v>-4.5992873249827149E-3</v>
      </c>
      <c r="J1092" s="2">
        <f t="shared" si="1157"/>
        <v>-3.1029157804045582E-3</v>
      </c>
    </row>
    <row r="1093" spans="1:10" x14ac:dyDescent="0.45">
      <c r="A1093" s="1">
        <v>41772</v>
      </c>
      <c r="B1093">
        <v>101.7</v>
      </c>
      <c r="C1093">
        <v>2.944</v>
      </c>
      <c r="D1093">
        <v>2.9302000000000001</v>
      </c>
      <c r="E1093" s="2">
        <f t="shared" si="1154"/>
        <v>21.561599999999999</v>
      </c>
      <c r="F1093" s="2">
        <f t="shared" si="1156"/>
        <v>21.877800000000018</v>
      </c>
      <c r="G1093" s="2">
        <f t="shared" ref="G1093:G1156" si="1158">E1091</f>
        <v>21.793200000000013</v>
      </c>
      <c r="H1093" s="2">
        <f t="shared" ref="H1093:H1156" si="1159">LN(B1092)-LN(B1091)</f>
        <v>5.982668158488913E-3</v>
      </c>
      <c r="I1093" s="2">
        <f t="shared" ref="I1093:J1093" si="1160">LN(C1092)-LN(C1091)</f>
        <v>4.0169659013649106E-3</v>
      </c>
      <c r="J1093" s="2">
        <f t="shared" si="1160"/>
        <v>6.4021145939892055E-3</v>
      </c>
    </row>
    <row r="1094" spans="1:10" x14ac:dyDescent="0.45">
      <c r="A1094" s="1">
        <v>41773</v>
      </c>
      <c r="B1094">
        <v>102.37</v>
      </c>
      <c r="C1094">
        <v>2.9626000000000001</v>
      </c>
      <c r="D1094">
        <v>2.9693000000000001</v>
      </c>
      <c r="E1094" s="2">
        <f t="shared" si="1154"/>
        <v>22.246800000000007</v>
      </c>
      <c r="F1094" s="2">
        <f t="shared" si="1156"/>
        <v>21.561599999999999</v>
      </c>
      <c r="G1094" s="2">
        <f t="shared" si="1158"/>
        <v>21.877800000000018</v>
      </c>
      <c r="H1094" s="2">
        <f t="shared" si="1159"/>
        <v>1.0974453908267456E-2</v>
      </c>
      <c r="I1094" s="2">
        <f t="shared" ref="I1094:J1094" si="1161">LN(C1093)-LN(C1092)</f>
        <v>8.6994152049211237E-3</v>
      </c>
      <c r="J1094" s="2">
        <f t="shared" si="1161"/>
        <v>5.3380909676163935E-3</v>
      </c>
    </row>
    <row r="1095" spans="1:10" x14ac:dyDescent="0.45">
      <c r="A1095" s="1">
        <v>41774</v>
      </c>
      <c r="B1095">
        <v>101.5</v>
      </c>
      <c r="C1095">
        <v>2.9506000000000001</v>
      </c>
      <c r="D1095">
        <v>2.9641999999999999</v>
      </c>
      <c r="E1095" s="2">
        <f t="shared" si="1154"/>
        <v>22.806000000000001</v>
      </c>
      <c r="F1095" s="2">
        <f t="shared" si="1156"/>
        <v>22.246800000000007</v>
      </c>
      <c r="G1095" s="2">
        <f t="shared" si="1158"/>
        <v>21.561599999999999</v>
      </c>
      <c r="H1095" s="2">
        <f t="shared" si="1159"/>
        <v>6.5663978771652864E-3</v>
      </c>
      <c r="I1095" s="2">
        <f t="shared" ref="I1095:J1095" si="1162">LN(C1094)-LN(C1093)</f>
        <v>6.2980602991851153E-3</v>
      </c>
      <c r="J1095" s="2">
        <f t="shared" si="1162"/>
        <v>1.3255554714533879E-2</v>
      </c>
    </row>
    <row r="1096" spans="1:10" x14ac:dyDescent="0.45">
      <c r="A1096" s="1">
        <v>41775</v>
      </c>
      <c r="B1096">
        <v>102.02</v>
      </c>
      <c r="C1096">
        <v>2.9535999999999998</v>
      </c>
      <c r="D1096">
        <v>2.9735</v>
      </c>
      <c r="E1096" s="2">
        <f t="shared" si="1154"/>
        <v>22.588399999999996</v>
      </c>
      <c r="F1096" s="2">
        <f t="shared" si="1156"/>
        <v>22.806000000000001</v>
      </c>
      <c r="G1096" s="2">
        <f t="shared" si="1158"/>
        <v>22.246800000000007</v>
      </c>
      <c r="H1096" s="2">
        <f t="shared" si="1159"/>
        <v>-8.534902449837567E-3</v>
      </c>
      <c r="I1096" s="2">
        <f t="shared" ref="I1096:J1096" si="1163">LN(C1095)-LN(C1094)</f>
        <v>-4.0587216644853985E-3</v>
      </c>
      <c r="J1096" s="2">
        <f t="shared" si="1163"/>
        <v>-1.7190532589319574E-3</v>
      </c>
    </row>
    <row r="1097" spans="1:10" x14ac:dyDescent="0.45">
      <c r="A1097" s="1">
        <v>41778</v>
      </c>
      <c r="B1097">
        <v>102.11</v>
      </c>
      <c r="C1097">
        <v>2.9409000000000001</v>
      </c>
      <c r="D1097">
        <v>2.9645999999999999</v>
      </c>
      <c r="E1097" s="2">
        <f t="shared" si="1154"/>
        <v>22.071400000000001</v>
      </c>
      <c r="F1097" s="2">
        <f t="shared" si="1156"/>
        <v>22.588399999999996</v>
      </c>
      <c r="G1097" s="2">
        <f t="shared" si="1158"/>
        <v>22.806000000000001</v>
      </c>
      <c r="H1097" s="2">
        <f t="shared" si="1159"/>
        <v>5.1100740129390587E-3</v>
      </c>
      <c r="I1097" s="2">
        <f t="shared" ref="I1097:J1097" si="1164">LN(C1096)-LN(C1095)</f>
        <v>1.0162258250663303E-3</v>
      </c>
      <c r="J1097" s="2">
        <f t="shared" si="1164"/>
        <v>3.1325286238339523E-3</v>
      </c>
    </row>
    <row r="1098" spans="1:10" x14ac:dyDescent="0.45">
      <c r="A1098" s="1">
        <v>41779</v>
      </c>
      <c r="B1098">
        <v>102.33</v>
      </c>
      <c r="C1098">
        <v>2.9491999999999998</v>
      </c>
      <c r="D1098">
        <v>2.9502000000000002</v>
      </c>
      <c r="E1098" s="2">
        <f t="shared" si="1154"/>
        <v>21.564399999999996</v>
      </c>
      <c r="F1098" s="2">
        <f t="shared" si="1156"/>
        <v>22.071400000000001</v>
      </c>
      <c r="G1098" s="2">
        <f t="shared" si="1158"/>
        <v>22.588399999999996</v>
      </c>
      <c r="H1098" s="2">
        <f t="shared" si="1159"/>
        <v>8.8179107266572743E-4</v>
      </c>
      <c r="I1098" s="2">
        <f t="shared" ref="I1098:J1098" si="1165">LN(C1097)-LN(C1096)</f>
        <v>-4.309108372742676E-3</v>
      </c>
      <c r="J1098" s="2">
        <f t="shared" si="1165"/>
        <v>-2.9975940668891532E-3</v>
      </c>
    </row>
    <row r="1099" spans="1:10" x14ac:dyDescent="0.45">
      <c r="A1099" s="1">
        <v>41780</v>
      </c>
      <c r="B1099">
        <v>104.07</v>
      </c>
      <c r="C1099">
        <v>2.9525999999999999</v>
      </c>
      <c r="D1099">
        <v>2.9792999999999998</v>
      </c>
      <c r="E1099" s="2">
        <f t="shared" si="1154"/>
        <v>20.686800000000005</v>
      </c>
      <c r="F1099" s="2">
        <f t="shared" si="1156"/>
        <v>21.564399999999996</v>
      </c>
      <c r="G1099" s="2">
        <f t="shared" si="1158"/>
        <v>22.071400000000001</v>
      </c>
      <c r="H1099" s="2">
        <f t="shared" si="1159"/>
        <v>2.15222153121708E-3</v>
      </c>
      <c r="I1099" s="2">
        <f t="shared" ref="I1099:J1099" si="1166">LN(C1098)-LN(C1097)</f>
        <v>2.8182901797053628E-3</v>
      </c>
      <c r="J1099" s="2">
        <f t="shared" si="1166"/>
        <v>-4.8691514338106145E-3</v>
      </c>
    </row>
    <row r="1100" spans="1:10" x14ac:dyDescent="0.45">
      <c r="A1100" s="1">
        <v>41781</v>
      </c>
      <c r="B1100">
        <v>103.74</v>
      </c>
      <c r="C1100">
        <v>2.9500999999999999</v>
      </c>
      <c r="D1100">
        <v>2.9883999999999999</v>
      </c>
      <c r="E1100" s="2">
        <f t="shared" si="1154"/>
        <v>21.23660000000001</v>
      </c>
      <c r="F1100" s="2">
        <f t="shared" si="1156"/>
        <v>20.686800000000005</v>
      </c>
      <c r="G1100" s="2">
        <f t="shared" si="1158"/>
        <v>21.564399999999996</v>
      </c>
      <c r="H1100" s="2">
        <f t="shared" si="1159"/>
        <v>1.6860864551103916E-2</v>
      </c>
      <c r="I1100" s="2">
        <f t="shared" ref="I1100:J1100" si="1167">LN(C1099)-LN(C1098)</f>
        <v>1.1521909844920408E-3</v>
      </c>
      <c r="J1100" s="2">
        <f t="shared" si="1167"/>
        <v>9.8154089314737014E-3</v>
      </c>
    </row>
    <row r="1101" spans="1:10" x14ac:dyDescent="0.45">
      <c r="A1101" s="1">
        <v>41782</v>
      </c>
      <c r="B1101">
        <v>104.35</v>
      </c>
      <c r="C1101">
        <v>2.9548999999999999</v>
      </c>
      <c r="D1101">
        <v>3.0066000000000002</v>
      </c>
      <c r="E1101" s="2">
        <f t="shared" si="1154"/>
        <v>21.203400000000027</v>
      </c>
      <c r="F1101" s="2">
        <f t="shared" si="1156"/>
        <v>21.23660000000001</v>
      </c>
      <c r="G1101" s="2">
        <f t="shared" si="1158"/>
        <v>20.686800000000005</v>
      </c>
      <c r="H1101" s="2">
        <f t="shared" si="1159"/>
        <v>-3.1759807265130391E-3</v>
      </c>
      <c r="I1101" s="2">
        <f t="shared" ref="I1101:J1101" si="1168">LN(C1100)-LN(C1099)</f>
        <v>-8.4707003557182858E-4</v>
      </c>
      <c r="J1101" s="2">
        <f t="shared" si="1168"/>
        <v>3.0497535242237639E-3</v>
      </c>
    </row>
    <row r="1102" spans="1:10" x14ac:dyDescent="0.45">
      <c r="A1102" s="1">
        <v>41786</v>
      </c>
      <c r="B1102">
        <v>104.11</v>
      </c>
      <c r="C1102">
        <v>2.9394</v>
      </c>
      <c r="D1102">
        <v>2.9807000000000001</v>
      </c>
      <c r="E1102" s="2">
        <f t="shared" si="1154"/>
        <v>20.501200000000022</v>
      </c>
      <c r="F1102" s="2">
        <f t="shared" si="1156"/>
        <v>21.203400000000027</v>
      </c>
      <c r="G1102" s="2">
        <f t="shared" si="1158"/>
        <v>21.23660000000001</v>
      </c>
      <c r="H1102" s="2">
        <f t="shared" si="1159"/>
        <v>5.8628645999547757E-3</v>
      </c>
      <c r="I1102" s="2">
        <f t="shared" ref="I1102:J1102" si="1169">LN(C1101)-LN(C1100)</f>
        <v>1.6257412556184292E-3</v>
      </c>
      <c r="J1102" s="2">
        <f t="shared" si="1169"/>
        <v>6.0717450920877436E-3</v>
      </c>
    </row>
    <row r="1103" spans="1:10" x14ac:dyDescent="0.45">
      <c r="A1103" s="1">
        <v>41787</v>
      </c>
      <c r="B1103">
        <v>102.72</v>
      </c>
      <c r="C1103">
        <v>2.9304000000000001</v>
      </c>
      <c r="D1103">
        <v>2.9881000000000002</v>
      </c>
      <c r="E1103" s="2">
        <f t="shared" si="1154"/>
        <v>21.972400000000011</v>
      </c>
      <c r="F1103" s="2">
        <f t="shared" si="1156"/>
        <v>20.501200000000022</v>
      </c>
      <c r="G1103" s="2">
        <f t="shared" si="1158"/>
        <v>21.203400000000027</v>
      </c>
      <c r="H1103" s="2">
        <f t="shared" si="1159"/>
        <v>-2.3026010365478911E-3</v>
      </c>
      <c r="I1103" s="2">
        <f t="shared" ref="I1103:J1103" si="1170">LN(C1102)-LN(C1101)</f>
        <v>-5.2593304474499725E-3</v>
      </c>
      <c r="J1103" s="2">
        <f t="shared" si="1170"/>
        <v>-8.6516999499524072E-3</v>
      </c>
    </row>
    <row r="1104" spans="1:10" x14ac:dyDescent="0.45">
      <c r="A1104" s="1">
        <v>41788</v>
      </c>
      <c r="B1104">
        <v>103.58</v>
      </c>
      <c r="C1104">
        <v>2.9199000000000002</v>
      </c>
      <c r="D1104">
        <v>2.9958</v>
      </c>
      <c r="E1104" s="2">
        <f t="shared" si="1154"/>
        <v>21.181000000000001</v>
      </c>
      <c r="F1104" s="2">
        <f t="shared" si="1156"/>
        <v>21.972400000000011</v>
      </c>
      <c r="G1104" s="2">
        <f t="shared" si="1158"/>
        <v>20.501200000000022</v>
      </c>
      <c r="H1104" s="2">
        <f t="shared" si="1159"/>
        <v>-1.3441192545010416E-2</v>
      </c>
      <c r="I1104" s="2">
        <f t="shared" ref="I1104:J1104" si="1171">LN(C1103)-LN(C1102)</f>
        <v>-3.0665464079795424E-3</v>
      </c>
      <c r="J1104" s="2">
        <f t="shared" si="1171"/>
        <v>2.4795616510540075E-3</v>
      </c>
    </row>
    <row r="1105" spans="1:10" x14ac:dyDescent="0.45">
      <c r="A1105" s="1">
        <v>41789</v>
      </c>
      <c r="B1105">
        <v>102.71</v>
      </c>
      <c r="C1105">
        <v>2.8881999999999999</v>
      </c>
      <c r="D1105">
        <v>2.9719000000000002</v>
      </c>
      <c r="E1105" s="2">
        <f t="shared" si="1154"/>
        <v>20.938000000000006</v>
      </c>
      <c r="F1105" s="2">
        <f t="shared" si="1156"/>
        <v>21.181000000000001</v>
      </c>
      <c r="G1105" s="2">
        <f t="shared" si="1158"/>
        <v>21.972400000000011</v>
      </c>
      <c r="H1105" s="2">
        <f t="shared" si="1159"/>
        <v>8.3374210540947402E-3</v>
      </c>
      <c r="I1105" s="2">
        <f t="shared" ref="I1105:J1105" si="1172">LN(C1104)-LN(C1103)</f>
        <v>-3.5895633640470326E-3</v>
      </c>
      <c r="J1105" s="2">
        <f t="shared" si="1172"/>
        <v>2.5735738397831831E-3</v>
      </c>
    </row>
    <row r="1106" spans="1:10" x14ac:dyDescent="0.45">
      <c r="A1106" s="1">
        <v>41792</v>
      </c>
      <c r="B1106">
        <v>102.47</v>
      </c>
      <c r="C1106">
        <v>2.8773</v>
      </c>
      <c r="D1106">
        <v>2.9499</v>
      </c>
      <c r="E1106" s="2">
        <f t="shared" si="1154"/>
        <v>20.409400000000005</v>
      </c>
      <c r="F1106" s="2">
        <f t="shared" si="1156"/>
        <v>20.938000000000006</v>
      </c>
      <c r="G1106" s="2">
        <f t="shared" si="1158"/>
        <v>21.181000000000001</v>
      </c>
      <c r="H1106" s="2">
        <f t="shared" si="1159"/>
        <v>-8.4347778180324795E-3</v>
      </c>
      <c r="I1106" s="2">
        <f t="shared" ref="I1106:J1106" si="1173">LN(C1105)-LN(C1104)</f>
        <v>-1.0915898408092817E-2</v>
      </c>
      <c r="J1106" s="2">
        <f t="shared" si="1173"/>
        <v>-8.0098288385592742E-3</v>
      </c>
    </row>
    <row r="1107" spans="1:10" x14ac:dyDescent="0.45">
      <c r="A1107" s="1">
        <v>41793</v>
      </c>
      <c r="B1107">
        <v>102.66</v>
      </c>
      <c r="C1107">
        <v>2.8658000000000001</v>
      </c>
      <c r="D1107">
        <v>2.9487000000000001</v>
      </c>
      <c r="E1107" s="2">
        <f t="shared" si="1154"/>
        <v>20.024799999999988</v>
      </c>
      <c r="F1107" s="2">
        <f t="shared" si="1156"/>
        <v>20.409400000000005</v>
      </c>
      <c r="G1107" s="2">
        <f t="shared" si="1158"/>
        <v>20.938000000000006</v>
      </c>
      <c r="H1107" s="2">
        <f t="shared" si="1159"/>
        <v>-2.3394103660869803E-3</v>
      </c>
      <c r="I1107" s="2">
        <f t="shared" ref="I1107:J1107" si="1174">LN(C1106)-LN(C1105)</f>
        <v>-3.7811162904497486E-3</v>
      </c>
      <c r="J1107" s="2">
        <f t="shared" si="1174"/>
        <v>-7.4302074418393094E-3</v>
      </c>
    </row>
    <row r="1108" spans="1:10" x14ac:dyDescent="0.45">
      <c r="A1108" s="1">
        <v>41794</v>
      </c>
      <c r="B1108">
        <v>102.64</v>
      </c>
      <c r="C1108">
        <v>2.8481000000000001</v>
      </c>
      <c r="D1108">
        <v>2.9352</v>
      </c>
      <c r="E1108" s="2">
        <f t="shared" si="1154"/>
        <v>19.419</v>
      </c>
      <c r="F1108" s="2">
        <f t="shared" si="1156"/>
        <v>20.024799999999988</v>
      </c>
      <c r="G1108" s="2">
        <f t="shared" si="1158"/>
        <v>20.409400000000005</v>
      </c>
      <c r="H1108" s="2">
        <f t="shared" si="1159"/>
        <v>1.8524843205307562E-3</v>
      </c>
      <c r="I1108" s="2">
        <f t="shared" ref="I1108:J1108" si="1175">LN(C1107)-LN(C1106)</f>
        <v>-4.0048111195125635E-3</v>
      </c>
      <c r="J1108" s="2">
        <f t="shared" si="1175"/>
        <v>-4.068762135267523E-4</v>
      </c>
    </row>
    <row r="1109" spans="1:10" x14ac:dyDescent="0.45">
      <c r="A1109" s="1">
        <v>41795</v>
      </c>
      <c r="B1109">
        <v>102.48</v>
      </c>
      <c r="C1109">
        <v>2.8797000000000001</v>
      </c>
      <c r="D1109">
        <v>2.9563000000000001</v>
      </c>
      <c r="E1109" s="2">
        <f t="shared" si="1154"/>
        <v>20.612200000000012</v>
      </c>
      <c r="F1109" s="2">
        <f t="shared" si="1156"/>
        <v>19.419</v>
      </c>
      <c r="G1109" s="2">
        <f t="shared" si="1158"/>
        <v>20.024799999999988</v>
      </c>
      <c r="H1109" s="2">
        <f t="shared" si="1159"/>
        <v>-1.9483682477616782E-4</v>
      </c>
      <c r="I1109" s="2">
        <f t="shared" ref="I1109:J1109" si="1176">LN(C1108)-LN(C1107)</f>
        <v>-6.1954380075099902E-3</v>
      </c>
      <c r="J1109" s="2">
        <f t="shared" si="1176"/>
        <v>-4.5888011996211286E-3</v>
      </c>
    </row>
    <row r="1110" spans="1:10" x14ac:dyDescent="0.45">
      <c r="A1110" s="1">
        <v>41796</v>
      </c>
      <c r="B1110">
        <v>102.66</v>
      </c>
      <c r="C1110">
        <v>2.8712</v>
      </c>
      <c r="D1110">
        <v>2.9390000000000001</v>
      </c>
      <c r="E1110" s="2">
        <f t="shared" si="1154"/>
        <v>19.828800000000001</v>
      </c>
      <c r="F1110" s="2">
        <f t="shared" si="1156"/>
        <v>20.612200000000012</v>
      </c>
      <c r="G1110" s="2">
        <f t="shared" si="1158"/>
        <v>19.419</v>
      </c>
      <c r="H1110" s="2">
        <f t="shared" si="1159"/>
        <v>-1.5600627189016336E-3</v>
      </c>
      <c r="I1110" s="2">
        <f t="shared" ref="I1110:J1110" si="1177">LN(C1109)-LN(C1108)</f>
        <v>1.1034016762608401E-2</v>
      </c>
      <c r="J1110" s="2">
        <f t="shared" si="1177"/>
        <v>7.1628923753812579E-3</v>
      </c>
    </row>
    <row r="1111" spans="1:10" x14ac:dyDescent="0.45">
      <c r="A1111" s="1">
        <v>41799</v>
      </c>
      <c r="B1111">
        <v>104.41</v>
      </c>
      <c r="C1111">
        <v>2.8912</v>
      </c>
      <c r="D1111">
        <v>2.9847999999999999</v>
      </c>
      <c r="E1111" s="2">
        <f t="shared" si="1154"/>
        <v>19.641199999999987</v>
      </c>
      <c r="F1111" s="2">
        <f t="shared" si="1156"/>
        <v>19.828800000000001</v>
      </c>
      <c r="G1111" s="2">
        <f t="shared" si="1158"/>
        <v>20.612200000000012</v>
      </c>
      <c r="H1111" s="2">
        <f t="shared" si="1159"/>
        <v>1.7548995436778014E-3</v>
      </c>
      <c r="I1111" s="2">
        <f t="shared" ref="I1111:J1111" si="1178">LN(C1110)-LN(C1109)</f>
        <v>-2.9560612042034418E-3</v>
      </c>
      <c r="J1111" s="2">
        <f t="shared" si="1178"/>
        <v>-5.8690989975360708E-3</v>
      </c>
    </row>
    <row r="1112" spans="1:10" x14ac:dyDescent="0.45">
      <c r="A1112" s="1">
        <v>41800</v>
      </c>
      <c r="B1112">
        <v>104.35</v>
      </c>
      <c r="C1112">
        <v>2.8841000000000001</v>
      </c>
      <c r="D1112">
        <v>2.9744999999999999</v>
      </c>
      <c r="E1112" s="2">
        <f t="shared" si="1154"/>
        <v>19.313400000000019</v>
      </c>
      <c r="F1112" s="2">
        <f t="shared" si="1156"/>
        <v>19.641199999999987</v>
      </c>
      <c r="G1112" s="2">
        <f t="shared" si="1158"/>
        <v>19.828800000000001</v>
      </c>
      <c r="H1112" s="2">
        <f t="shared" si="1159"/>
        <v>1.6902899169862096E-2</v>
      </c>
      <c r="I1112" s="2">
        <f t="shared" ref="I1112:J1112" si="1179">LN(C1111)-LN(C1110)</f>
        <v>6.9415800045664611E-3</v>
      </c>
      <c r="J1112" s="2">
        <f t="shared" si="1179"/>
        <v>1.5463355488030572E-2</v>
      </c>
    </row>
    <row r="1113" spans="1:10" x14ac:dyDescent="0.45">
      <c r="A1113" s="1">
        <v>41801</v>
      </c>
      <c r="B1113">
        <v>104.4</v>
      </c>
      <c r="C1113">
        <v>2.9043000000000001</v>
      </c>
      <c r="D1113">
        <v>3.0007999999999999</v>
      </c>
      <c r="E1113" s="2">
        <f t="shared" si="1154"/>
        <v>20.282599999999984</v>
      </c>
      <c r="F1113" s="2">
        <f t="shared" si="1156"/>
        <v>19.313400000000019</v>
      </c>
      <c r="G1113" s="2">
        <f t="shared" si="1158"/>
        <v>19.641199999999987</v>
      </c>
      <c r="H1113" s="2">
        <f t="shared" si="1159"/>
        <v>-5.748227788098248E-4</v>
      </c>
      <c r="I1113" s="2">
        <f t="shared" ref="I1113:J1113" si="1180">LN(C1112)-LN(C1111)</f>
        <v>-2.4587479704554216E-3</v>
      </c>
      <c r="J1113" s="2">
        <f t="shared" si="1180"/>
        <v>-3.4567852789877396E-3</v>
      </c>
    </row>
    <row r="1114" spans="1:10" x14ac:dyDescent="0.45">
      <c r="A1114" s="1">
        <v>41802</v>
      </c>
      <c r="B1114">
        <v>106.53</v>
      </c>
      <c r="C1114">
        <v>2.9893000000000001</v>
      </c>
      <c r="D1114">
        <v>3.0836999999999999</v>
      </c>
      <c r="E1114" s="2">
        <f t="shared" si="1154"/>
        <v>21.663799999999998</v>
      </c>
      <c r="F1114" s="2">
        <f t="shared" si="1156"/>
        <v>20.282599999999984</v>
      </c>
      <c r="G1114" s="2">
        <f t="shared" si="1158"/>
        <v>19.313400000000019</v>
      </c>
      <c r="H1114" s="2">
        <f t="shared" si="1159"/>
        <v>4.7904192532932655E-4</v>
      </c>
      <c r="I1114" s="2">
        <f t="shared" ref="I1114:J1114" si="1181">LN(C1113)-LN(C1112)</f>
        <v>6.9795045266269895E-3</v>
      </c>
      <c r="J1114" s="2">
        <f t="shared" si="1181"/>
        <v>8.8029621397172075E-3</v>
      </c>
    </row>
    <row r="1115" spans="1:10" x14ac:dyDescent="0.45">
      <c r="A1115" s="1">
        <v>41803</v>
      </c>
      <c r="B1115">
        <v>106.91</v>
      </c>
      <c r="C1115">
        <v>2.9876</v>
      </c>
      <c r="D1115">
        <v>3.0577000000000001</v>
      </c>
      <c r="E1115" s="2">
        <f t="shared" si="1154"/>
        <v>20.532</v>
      </c>
      <c r="F1115" s="2">
        <f t="shared" si="1156"/>
        <v>21.663799999999998</v>
      </c>
      <c r="G1115" s="2">
        <f t="shared" si="1158"/>
        <v>20.282599999999984</v>
      </c>
      <c r="H1115" s="2">
        <f t="shared" si="1159"/>
        <v>2.0196960174567735E-2</v>
      </c>
      <c r="I1115" s="2">
        <f t="shared" ref="I1115:J1115" si="1182">LN(C1114)-LN(C1113)</f>
        <v>2.8846848869328978E-2</v>
      </c>
      <c r="J1115" s="2">
        <f t="shared" si="1182"/>
        <v>2.7251254919308465E-2</v>
      </c>
    </row>
    <row r="1116" spans="1:10" x14ac:dyDescent="0.45">
      <c r="A1116" s="1">
        <v>41806</v>
      </c>
      <c r="B1116">
        <v>106.9</v>
      </c>
      <c r="C1116">
        <v>2.9979</v>
      </c>
      <c r="D1116">
        <v>3.0718000000000001</v>
      </c>
      <c r="E1116" s="2">
        <f t="shared" si="1154"/>
        <v>21.080999999999978</v>
      </c>
      <c r="F1116" s="2">
        <f t="shared" si="1156"/>
        <v>20.532</v>
      </c>
      <c r="G1116" s="2">
        <f t="shared" si="1158"/>
        <v>21.663799999999998</v>
      </c>
      <c r="H1116" s="2">
        <f t="shared" si="1159"/>
        <v>3.5607234023018464E-3</v>
      </c>
      <c r="I1116" s="2">
        <f t="shared" ref="I1116:J1116" si="1183">LN(C1115)-LN(C1114)</f>
        <v>-5.6885678055285105E-4</v>
      </c>
      <c r="J1116" s="2">
        <f t="shared" si="1183"/>
        <v>-8.4671753459386601E-3</v>
      </c>
    </row>
    <row r="1117" spans="1:10" x14ac:dyDescent="0.45">
      <c r="A1117" s="1">
        <v>41807</v>
      </c>
      <c r="B1117">
        <v>106.36</v>
      </c>
      <c r="C1117">
        <v>3.0179999999999998</v>
      </c>
      <c r="D1117">
        <v>3.0911</v>
      </c>
      <c r="E1117" s="2">
        <f t="shared" si="1154"/>
        <v>22.442799999999995</v>
      </c>
      <c r="F1117" s="2">
        <f t="shared" si="1156"/>
        <v>21.080999999999978</v>
      </c>
      <c r="G1117" s="2">
        <f t="shared" si="1158"/>
        <v>20.532</v>
      </c>
      <c r="H1117" s="2">
        <f t="shared" si="1159"/>
        <v>-9.3540994408947142E-5</v>
      </c>
      <c r="I1117" s="2">
        <f t="shared" ref="I1117:J1117" si="1184">LN(C1116)-LN(C1115)</f>
        <v>3.4416540529418338E-3</v>
      </c>
      <c r="J1117" s="2">
        <f t="shared" si="1184"/>
        <v>4.6007096404805381E-3</v>
      </c>
    </row>
    <row r="1118" spans="1:10" x14ac:dyDescent="0.45">
      <c r="A1118" s="1">
        <v>41808</v>
      </c>
      <c r="B1118">
        <v>105.59</v>
      </c>
      <c r="C1118">
        <v>3.0400999999999998</v>
      </c>
      <c r="D1118">
        <v>3.0981999999999998</v>
      </c>
      <c r="E1118" s="2">
        <f t="shared" si="1154"/>
        <v>23.720999999999986</v>
      </c>
      <c r="F1118" s="2">
        <f t="shared" si="1156"/>
        <v>22.442799999999995</v>
      </c>
      <c r="G1118" s="2">
        <f t="shared" si="1158"/>
        <v>21.080999999999978</v>
      </c>
      <c r="H1118" s="2">
        <f t="shared" si="1159"/>
        <v>-5.0642516561802964E-3</v>
      </c>
      <c r="I1118" s="2">
        <f t="shared" ref="I1118:J1118" si="1185">LN(C1117)-LN(C1116)</f>
        <v>6.6823167919407567E-3</v>
      </c>
      <c r="J1118" s="2">
        <f t="shared" si="1185"/>
        <v>6.2633056169214552E-3</v>
      </c>
    </row>
    <row r="1119" spans="1:10" x14ac:dyDescent="0.45">
      <c r="A1119" s="1">
        <v>41809</v>
      </c>
      <c r="B1119">
        <v>106.05</v>
      </c>
      <c r="C1119">
        <v>3.0598999999999998</v>
      </c>
      <c r="D1119">
        <v>3.0928</v>
      </c>
      <c r="E1119" s="2">
        <f t="shared" si="1154"/>
        <v>23.387000000000018</v>
      </c>
      <c r="F1119" s="2">
        <f t="shared" si="1156"/>
        <v>23.720999999999986</v>
      </c>
      <c r="G1119" s="2">
        <f t="shared" si="1158"/>
        <v>22.442799999999995</v>
      </c>
      <c r="H1119" s="2">
        <f t="shared" si="1159"/>
        <v>-7.2658965563956457E-3</v>
      </c>
      <c r="I1119" s="2">
        <f t="shared" ref="I1119:J1119" si="1186">LN(C1118)-LN(C1117)</f>
        <v>7.2960492682951905E-3</v>
      </c>
      <c r="J1119" s="2">
        <f t="shared" si="1186"/>
        <v>2.2942830738132969E-3</v>
      </c>
    </row>
    <row r="1120" spans="1:10" x14ac:dyDescent="0.45">
      <c r="A1120" s="1">
        <v>41810</v>
      </c>
      <c r="B1120">
        <v>106.83</v>
      </c>
      <c r="C1120">
        <v>3.0585</v>
      </c>
      <c r="D1120">
        <v>3.1276999999999999</v>
      </c>
      <c r="E1120" s="2">
        <f t="shared" si="1154"/>
        <v>23.564599999999984</v>
      </c>
      <c r="F1120" s="2">
        <f t="shared" si="1156"/>
        <v>23.387000000000018</v>
      </c>
      <c r="G1120" s="2">
        <f t="shared" si="1158"/>
        <v>23.720999999999986</v>
      </c>
      <c r="H1120" s="2">
        <f t="shared" si="1159"/>
        <v>4.3470111922685462E-3</v>
      </c>
      <c r="I1120" s="2">
        <f t="shared" ref="I1120:J1120" si="1187">LN(C1119)-LN(C1118)</f>
        <v>6.4918260777806491E-3</v>
      </c>
      <c r="J1120" s="2">
        <f t="shared" si="1187"/>
        <v>-1.7444682181961824E-3</v>
      </c>
    </row>
    <row r="1121" spans="1:10" x14ac:dyDescent="0.45">
      <c r="A1121" s="1">
        <v>41813</v>
      </c>
      <c r="B1121">
        <v>106.17</v>
      </c>
      <c r="C1121">
        <v>3.0405000000000002</v>
      </c>
      <c r="D1121">
        <v>3.0792000000000002</v>
      </c>
      <c r="E1121" s="2">
        <f t="shared" si="1154"/>
        <v>22.614600000000014</v>
      </c>
      <c r="F1121" s="2">
        <f t="shared" si="1156"/>
        <v>23.564599999999984</v>
      </c>
      <c r="G1121" s="2">
        <f t="shared" si="1158"/>
        <v>23.387000000000018</v>
      </c>
      <c r="H1121" s="2">
        <f t="shared" si="1159"/>
        <v>7.3281049471045634E-3</v>
      </c>
      <c r="I1121" s="2">
        <f t="shared" ref="I1121:J1121" si="1188">LN(C1120)-LN(C1119)</f>
        <v>-4.5763599125048238E-4</v>
      </c>
      <c r="J1121" s="2">
        <f t="shared" si="1188"/>
        <v>1.1221080683287088E-2</v>
      </c>
    </row>
    <row r="1122" spans="1:10" x14ac:dyDescent="0.45">
      <c r="A1122" s="1">
        <v>41814</v>
      </c>
      <c r="B1122">
        <v>106.03</v>
      </c>
      <c r="C1122">
        <v>3.0489999999999999</v>
      </c>
      <c r="D1122">
        <v>3.0964999999999998</v>
      </c>
      <c r="E1122" s="2">
        <f t="shared" si="1154"/>
        <v>23.357999999999986</v>
      </c>
      <c r="F1122" s="2">
        <f t="shared" si="1156"/>
        <v>22.614600000000014</v>
      </c>
      <c r="G1122" s="2">
        <f t="shared" si="1158"/>
        <v>23.564599999999984</v>
      </c>
      <c r="H1122" s="2">
        <f t="shared" si="1159"/>
        <v>-6.1972029323147382E-3</v>
      </c>
      <c r="I1122" s="2">
        <f t="shared" ref="I1122:J1122" si="1189">LN(C1121)-LN(C1120)</f>
        <v>-5.9026241224551246E-3</v>
      </c>
      <c r="J1122" s="2">
        <f t="shared" si="1189"/>
        <v>-1.5628087167817162E-2</v>
      </c>
    </row>
    <row r="1123" spans="1:10" x14ac:dyDescent="0.45">
      <c r="A1123" s="1">
        <v>41815</v>
      </c>
      <c r="B1123">
        <v>106.5</v>
      </c>
      <c r="C1123">
        <v>3.0358999999999998</v>
      </c>
      <c r="D1123">
        <v>3.0705</v>
      </c>
      <c r="E1123" s="2">
        <f t="shared" si="1154"/>
        <v>21.976600000000001</v>
      </c>
      <c r="F1123" s="2">
        <f t="shared" si="1156"/>
        <v>23.357999999999986</v>
      </c>
      <c r="G1123" s="2">
        <f t="shared" si="1158"/>
        <v>22.614600000000014</v>
      </c>
      <c r="H1123" s="2">
        <f t="shared" si="1159"/>
        <v>-1.3195100877751997E-3</v>
      </c>
      <c r="I1123" s="2">
        <f t="shared" ref="I1123:J1123" si="1190">LN(C1122)-LN(C1121)</f>
        <v>2.7916924280904087E-3</v>
      </c>
      <c r="J1123" s="2">
        <f t="shared" si="1190"/>
        <v>5.6026184085793407E-3</v>
      </c>
    </row>
    <row r="1124" spans="1:10" x14ac:dyDescent="0.45">
      <c r="A1124" s="1">
        <v>41816</v>
      </c>
      <c r="B1124">
        <v>105.84</v>
      </c>
      <c r="C1124">
        <v>3.0186000000000002</v>
      </c>
      <c r="D1124">
        <v>3.0611999999999999</v>
      </c>
      <c r="E1124" s="2">
        <f t="shared" si="1154"/>
        <v>22.134000000000015</v>
      </c>
      <c r="F1124" s="2">
        <f t="shared" si="1156"/>
        <v>21.976600000000001</v>
      </c>
      <c r="G1124" s="2">
        <f t="shared" si="1158"/>
        <v>23.357999999999986</v>
      </c>
      <c r="H1124" s="2">
        <f t="shared" si="1159"/>
        <v>4.4229122117735997E-3</v>
      </c>
      <c r="I1124" s="2">
        <f t="shared" ref="I1124:J1124" si="1191">LN(C1123)-LN(C1122)</f>
        <v>-4.305747091621015E-3</v>
      </c>
      <c r="J1124" s="2">
        <f t="shared" si="1191"/>
        <v>-8.4320266086617135E-3</v>
      </c>
    </row>
    <row r="1125" spans="1:10" x14ac:dyDescent="0.45">
      <c r="A1125" s="1">
        <v>41817</v>
      </c>
      <c r="B1125">
        <v>105.74</v>
      </c>
      <c r="C1125">
        <v>3.0034999999999998</v>
      </c>
      <c r="D1125">
        <v>3.0741999999999998</v>
      </c>
      <c r="E1125" s="2">
        <f t="shared" si="1154"/>
        <v>22.386600000000005</v>
      </c>
      <c r="F1125" s="2">
        <f t="shared" si="1156"/>
        <v>22.134000000000015</v>
      </c>
      <c r="G1125" s="2">
        <f t="shared" si="1158"/>
        <v>21.976600000000001</v>
      </c>
      <c r="H1125" s="2">
        <f t="shared" si="1159"/>
        <v>-6.2164653427796424E-3</v>
      </c>
      <c r="I1125" s="2">
        <f t="shared" ref="I1125:J1125" si="1192">LN(C1124)-LN(C1123)</f>
        <v>-5.7147731713058647E-3</v>
      </c>
      <c r="J1125" s="2">
        <f t="shared" si="1192"/>
        <v>-3.0334188336880175E-3</v>
      </c>
    </row>
    <row r="1126" spans="1:10" x14ac:dyDescent="0.45">
      <c r="A1126" s="1">
        <v>41820</v>
      </c>
      <c r="B1126">
        <v>105.37</v>
      </c>
      <c r="C1126">
        <v>2.9752999999999998</v>
      </c>
      <c r="D1126">
        <v>3.0432999999999999</v>
      </c>
      <c r="E1126" s="2">
        <f t="shared" si="1154"/>
        <v>21.496599999999983</v>
      </c>
      <c r="F1126" s="2">
        <f t="shared" si="1156"/>
        <v>22.386600000000005</v>
      </c>
      <c r="G1126" s="2">
        <f t="shared" si="1158"/>
        <v>22.134000000000015</v>
      </c>
      <c r="H1126" s="2">
        <f t="shared" si="1159"/>
        <v>-9.4526899939673115E-4</v>
      </c>
      <c r="I1126" s="2">
        <f t="shared" ref="I1126:J1126" si="1193">LN(C1125)-LN(C1124)</f>
        <v>-5.0148724351120055E-3</v>
      </c>
      <c r="J1126" s="2">
        <f t="shared" si="1193"/>
        <v>4.2377088550658026E-3</v>
      </c>
    </row>
    <row r="1127" spans="1:10" x14ac:dyDescent="0.45">
      <c r="A1127" s="1">
        <v>41821</v>
      </c>
      <c r="B1127">
        <v>105.34</v>
      </c>
      <c r="C1127">
        <v>2.9782000000000002</v>
      </c>
      <c r="D1127">
        <v>3.0366</v>
      </c>
      <c r="E1127" s="2">
        <f t="shared" si="1154"/>
        <v>21.3796</v>
      </c>
      <c r="F1127" s="2">
        <f t="shared" si="1156"/>
        <v>21.496599999999983</v>
      </c>
      <c r="G1127" s="2">
        <f t="shared" si="1158"/>
        <v>22.386600000000005</v>
      </c>
      <c r="H1127" s="2">
        <f t="shared" si="1159"/>
        <v>-3.505285195867458E-3</v>
      </c>
      <c r="I1127" s="2">
        <f t="shared" ref="I1127:J1127" si="1194">LN(C1126)-LN(C1125)</f>
        <v>-9.4334010583962957E-3</v>
      </c>
      <c r="J1127" s="2">
        <f t="shared" si="1194"/>
        <v>-1.0102251832429854E-2</v>
      </c>
    </row>
    <row r="1128" spans="1:10" x14ac:dyDescent="0.45">
      <c r="A1128" s="1">
        <v>41822</v>
      </c>
      <c r="B1128">
        <v>104.48</v>
      </c>
      <c r="C1128">
        <v>2.9460999999999999</v>
      </c>
      <c r="D1128">
        <v>3.024</v>
      </c>
      <c r="E1128" s="2">
        <f t="shared" si="1154"/>
        <v>21.437400000000007</v>
      </c>
      <c r="F1128" s="2">
        <f t="shared" si="1156"/>
        <v>21.3796</v>
      </c>
      <c r="G1128" s="2">
        <f t="shared" si="1158"/>
        <v>21.496599999999983</v>
      </c>
      <c r="H1128" s="2">
        <f t="shared" si="1159"/>
        <v>-2.8475155619300807E-4</v>
      </c>
      <c r="I1128" s="2">
        <f t="shared" ref="I1128:J1128" si="1195">LN(C1127)-LN(C1126)</f>
        <v>9.7421692428500961E-4</v>
      </c>
      <c r="J1128" s="2">
        <f t="shared" si="1195"/>
        <v>-2.2039845103145606E-3</v>
      </c>
    </row>
    <row r="1129" spans="1:10" x14ac:dyDescent="0.45">
      <c r="A1129" s="1">
        <v>41823</v>
      </c>
      <c r="B1129">
        <v>104.06</v>
      </c>
      <c r="C1129">
        <v>2.9283999999999999</v>
      </c>
      <c r="D1129">
        <v>3.0198</v>
      </c>
      <c r="E1129" s="2">
        <f t="shared" si="1154"/>
        <v>21.492000000000001</v>
      </c>
      <c r="F1129" s="2">
        <f t="shared" si="1156"/>
        <v>21.437400000000007</v>
      </c>
      <c r="G1129" s="2">
        <f t="shared" si="1158"/>
        <v>21.3796</v>
      </c>
      <c r="H1129" s="2">
        <f t="shared" si="1159"/>
        <v>-8.1975485271224002E-3</v>
      </c>
      <c r="I1129" s="2">
        <f t="shared" ref="I1129:J1129" si="1196">LN(C1128)-LN(C1127)</f>
        <v>-1.0836829378328305E-2</v>
      </c>
      <c r="J1129" s="2">
        <f t="shared" si="1196"/>
        <v>-4.1580101486637933E-3</v>
      </c>
    </row>
    <row r="1130" spans="1:10" x14ac:dyDescent="0.45">
      <c r="A1130" s="1">
        <v>41827</v>
      </c>
      <c r="B1130">
        <v>103.53</v>
      </c>
      <c r="C1130">
        <v>2.9144999999999999</v>
      </c>
      <c r="D1130">
        <v>2.9889999999999999</v>
      </c>
      <c r="E1130" s="2">
        <f t="shared" si="1154"/>
        <v>20.964999999999993</v>
      </c>
      <c r="F1130" s="2">
        <f t="shared" si="1156"/>
        <v>21.492000000000001</v>
      </c>
      <c r="G1130" s="2">
        <f t="shared" si="1158"/>
        <v>21.437400000000007</v>
      </c>
      <c r="H1130" s="2">
        <f t="shared" si="1159"/>
        <v>-4.0280096659630615E-3</v>
      </c>
      <c r="I1130" s="2">
        <f t="shared" ref="I1130:J1130" si="1197">LN(C1129)-LN(C1128)</f>
        <v>-6.0260630052888509E-3</v>
      </c>
      <c r="J1130" s="2">
        <f t="shared" si="1197"/>
        <v>-1.3898542890542487E-3</v>
      </c>
    </row>
    <row r="1131" spans="1:10" x14ac:dyDescent="0.45">
      <c r="A1131" s="1">
        <v>41828</v>
      </c>
      <c r="B1131">
        <v>103.4</v>
      </c>
      <c r="C1131">
        <v>2.8736000000000002</v>
      </c>
      <c r="D1131">
        <v>2.9729000000000001</v>
      </c>
      <c r="E1131" s="2">
        <f t="shared" si="1154"/>
        <v>20.071599999999989</v>
      </c>
      <c r="F1131" s="2">
        <f t="shared" si="1156"/>
        <v>20.964999999999993</v>
      </c>
      <c r="G1131" s="2">
        <f t="shared" si="1158"/>
        <v>21.492000000000001</v>
      </c>
      <c r="H1131" s="2">
        <f t="shared" si="1159"/>
        <v>-5.1062300841362429E-3</v>
      </c>
      <c r="I1131" s="2">
        <f t="shared" ref="I1131:J1131" si="1198">LN(C1130)-LN(C1129)</f>
        <v>-4.7579202868830439E-3</v>
      </c>
      <c r="J1131" s="2">
        <f t="shared" si="1198"/>
        <v>-1.0251720726431435E-2</v>
      </c>
    </row>
    <row r="1132" spans="1:10" x14ac:dyDescent="0.45">
      <c r="A1132" s="1">
        <v>41829</v>
      </c>
      <c r="B1132">
        <v>102.29</v>
      </c>
      <c r="C1132">
        <v>2.8711000000000002</v>
      </c>
      <c r="D1132">
        <v>2.9377</v>
      </c>
      <c r="E1132" s="2">
        <f t="shared" si="1154"/>
        <v>20.161000000000001</v>
      </c>
      <c r="F1132" s="2">
        <f t="shared" si="1156"/>
        <v>20.071599999999989</v>
      </c>
      <c r="G1132" s="2">
        <f t="shared" si="1158"/>
        <v>20.964999999999993</v>
      </c>
      <c r="H1132" s="2">
        <f t="shared" si="1159"/>
        <v>-1.2564637036929227E-3</v>
      </c>
      <c r="I1132" s="2">
        <f t="shared" ref="I1132:J1132" si="1199">LN(C1131)-LN(C1130)</f>
        <v>-1.4132679377723889E-2</v>
      </c>
      <c r="J1132" s="2">
        <f t="shared" si="1199"/>
        <v>-5.4009759093989196E-3</v>
      </c>
    </row>
    <row r="1133" spans="1:10" x14ac:dyDescent="0.45">
      <c r="A1133" s="1">
        <v>41830</v>
      </c>
      <c r="B1133">
        <v>102.93</v>
      </c>
      <c r="C1133">
        <v>2.8933</v>
      </c>
      <c r="D1133">
        <v>2.9575999999999998</v>
      </c>
      <c r="E1133" s="2">
        <f t="shared" si="1154"/>
        <v>20.388999999999992</v>
      </c>
      <c r="F1133" s="2">
        <f t="shared" si="1156"/>
        <v>20.161000000000001</v>
      </c>
      <c r="G1133" s="2">
        <f t="shared" si="1158"/>
        <v>20.071599999999989</v>
      </c>
      <c r="H1133" s="2">
        <f t="shared" si="1159"/>
        <v>-1.0793045605412388E-2</v>
      </c>
      <c r="I1133" s="2">
        <f t="shared" ref="I1133:J1133" si="1200">LN(C1132)-LN(C1131)</f>
        <v>-8.7036752409042073E-4</v>
      </c>
      <c r="J1133" s="2">
        <f t="shared" si="1200"/>
        <v>-1.1910945133427164E-2</v>
      </c>
    </row>
    <row r="1134" spans="1:10" x14ac:dyDescent="0.45">
      <c r="A1134" s="1">
        <v>41831</v>
      </c>
      <c r="B1134">
        <v>100.83</v>
      </c>
      <c r="C1134">
        <v>2.8609</v>
      </c>
      <c r="D1134">
        <v>2.9085000000000001</v>
      </c>
      <c r="E1134" s="2">
        <f t="shared" si="1154"/>
        <v>20.660600000000006</v>
      </c>
      <c r="F1134" s="2">
        <f t="shared" si="1156"/>
        <v>20.388999999999992</v>
      </c>
      <c r="G1134" s="2">
        <f t="shared" si="1158"/>
        <v>20.161000000000001</v>
      </c>
      <c r="H1134" s="2">
        <f t="shared" si="1159"/>
        <v>6.2372290695522636E-3</v>
      </c>
      <c r="I1134" s="2">
        <f t="shared" ref="I1134:J1134" si="1201">LN(C1133)-LN(C1132)</f>
        <v>7.7024875988045416E-3</v>
      </c>
      <c r="J1134" s="2">
        <f t="shared" si="1201"/>
        <v>6.7511663813102363E-3</v>
      </c>
    </row>
    <row r="1135" spans="1:10" x14ac:dyDescent="0.45">
      <c r="A1135" s="1">
        <v>41834</v>
      </c>
      <c r="B1135">
        <v>100.91</v>
      </c>
      <c r="C1135">
        <v>2.8729</v>
      </c>
      <c r="D1135">
        <v>2.9251</v>
      </c>
      <c r="E1135" s="2">
        <f t="shared" si="1154"/>
        <v>21.213399999999996</v>
      </c>
      <c r="F1135" s="2">
        <f t="shared" si="1156"/>
        <v>20.660600000000006</v>
      </c>
      <c r="G1135" s="2">
        <f t="shared" si="1158"/>
        <v>20.388999999999992</v>
      </c>
      <c r="H1135" s="2">
        <f t="shared" si="1159"/>
        <v>-2.0613215133344909E-2</v>
      </c>
      <c r="I1135" s="2">
        <f t="shared" ref="I1135:J1135" si="1202">LN(C1134)-LN(C1133)</f>
        <v>-1.1261458557049853E-2</v>
      </c>
      <c r="J1135" s="2">
        <f t="shared" si="1202"/>
        <v>-1.674064427160582E-2</v>
      </c>
    </row>
    <row r="1136" spans="1:10" x14ac:dyDescent="0.45">
      <c r="A1136" s="1">
        <v>41835</v>
      </c>
      <c r="B1136">
        <v>99.96</v>
      </c>
      <c r="C1136">
        <v>2.8555000000000001</v>
      </c>
      <c r="D1136">
        <v>2.8986000000000001</v>
      </c>
      <c r="E1136" s="2">
        <f t="shared" si="1154"/>
        <v>21.177800000000008</v>
      </c>
      <c r="F1136" s="2">
        <f t="shared" si="1156"/>
        <v>21.213399999999996</v>
      </c>
      <c r="G1136" s="2">
        <f t="shared" si="1158"/>
        <v>20.660600000000006</v>
      </c>
      <c r="H1136" s="2">
        <f t="shared" si="1159"/>
        <v>7.9310007131372373E-4</v>
      </c>
      <c r="I1136" s="2">
        <f t="shared" ref="I1136:J1136" si="1203">LN(C1135)-LN(C1134)</f>
        <v>4.1857119258361664E-3</v>
      </c>
      <c r="J1136" s="2">
        <f t="shared" si="1203"/>
        <v>5.6911837649311625E-3</v>
      </c>
    </row>
    <row r="1137" spans="1:10" x14ac:dyDescent="0.45">
      <c r="A1137" s="1">
        <v>41836</v>
      </c>
      <c r="B1137">
        <v>101.2</v>
      </c>
      <c r="C1137">
        <v>2.8578000000000001</v>
      </c>
      <c r="D1137">
        <v>2.8824999999999998</v>
      </c>
      <c r="E1137" s="2">
        <f t="shared" si="1154"/>
        <v>19.519199999999994</v>
      </c>
      <c r="F1137" s="2">
        <f t="shared" si="1156"/>
        <v>21.177800000000008</v>
      </c>
      <c r="G1137" s="2">
        <f t="shared" si="1158"/>
        <v>21.213399999999996</v>
      </c>
      <c r="H1137" s="2">
        <f t="shared" si="1159"/>
        <v>-9.4589245096861063E-3</v>
      </c>
      <c r="I1137" s="2">
        <f t="shared" ref="I1137:J1137" si="1204">LN(C1136)-LN(C1135)</f>
        <v>-6.0750134464633287E-3</v>
      </c>
      <c r="J1137" s="2">
        <f t="shared" si="1204"/>
        <v>-9.1008063273312345E-3</v>
      </c>
    </row>
    <row r="1138" spans="1:10" x14ac:dyDescent="0.45">
      <c r="A1138" s="1">
        <v>41837</v>
      </c>
      <c r="B1138">
        <v>103.19</v>
      </c>
      <c r="C1138">
        <v>2.8592</v>
      </c>
      <c r="D1138">
        <v>2.8816999999999999</v>
      </c>
      <c r="E1138" s="2">
        <f t="shared" si="1154"/>
        <v>17.526399999999985</v>
      </c>
      <c r="F1138" s="2">
        <f t="shared" si="1156"/>
        <v>19.519199999999994</v>
      </c>
      <c r="G1138" s="2">
        <f t="shared" si="1158"/>
        <v>21.177800000000008</v>
      </c>
      <c r="H1138" s="2">
        <f t="shared" si="1159"/>
        <v>1.2328650886614057E-2</v>
      </c>
      <c r="I1138" s="2">
        <f t="shared" ref="I1138:J1138" si="1205">LN(C1137)-LN(C1136)</f>
        <v>8.0513892995215386E-4</v>
      </c>
      <c r="J1138" s="2">
        <f t="shared" si="1205"/>
        <v>-5.5698886452020258E-3</v>
      </c>
    </row>
    <row r="1139" spans="1:10" x14ac:dyDescent="0.45">
      <c r="A1139" s="1">
        <v>41838</v>
      </c>
      <c r="B1139">
        <v>101.95</v>
      </c>
      <c r="C1139">
        <v>2.8452000000000002</v>
      </c>
      <c r="D1139">
        <v>2.8603000000000001</v>
      </c>
      <c r="E1139" s="2">
        <f t="shared" si="1154"/>
        <v>17.971199999999993</v>
      </c>
      <c r="F1139" s="2">
        <f t="shared" si="1156"/>
        <v>17.526399999999985</v>
      </c>
      <c r="G1139" s="2">
        <f t="shared" si="1158"/>
        <v>19.519199999999994</v>
      </c>
      <c r="H1139" s="2">
        <f t="shared" si="1159"/>
        <v>1.9473192274257478E-2</v>
      </c>
      <c r="I1139" s="2">
        <f t="shared" ref="I1139:J1139" si="1206">LN(C1138)-LN(C1137)</f>
        <v>4.8976737029371442E-4</v>
      </c>
      <c r="J1139" s="2">
        <f t="shared" si="1206"/>
        <v>-2.7757538084616229E-4</v>
      </c>
    </row>
    <row r="1140" spans="1:10" x14ac:dyDescent="0.45">
      <c r="A1140" s="1">
        <v>41841</v>
      </c>
      <c r="B1140">
        <v>102.86</v>
      </c>
      <c r="C1140">
        <v>2.8588</v>
      </c>
      <c r="D1140">
        <v>2.8632</v>
      </c>
      <c r="E1140" s="2">
        <f t="shared" si="1154"/>
        <v>17.332800000000002</v>
      </c>
      <c r="F1140" s="2">
        <f t="shared" si="1156"/>
        <v>17.971199999999993</v>
      </c>
      <c r="G1140" s="2">
        <f t="shared" si="1158"/>
        <v>17.526399999999985</v>
      </c>
      <c r="H1140" s="2">
        <f t="shared" si="1159"/>
        <v>-1.2089452107158394E-2</v>
      </c>
      <c r="I1140" s="2">
        <f t="shared" ref="I1140:J1140" si="1207">LN(C1139)-LN(C1138)</f>
        <v>-4.9085015458034675E-3</v>
      </c>
      <c r="J1140" s="2">
        <f t="shared" si="1207"/>
        <v>-7.4538833446813335E-3</v>
      </c>
    </row>
    <row r="1141" spans="1:10" x14ac:dyDescent="0.45">
      <c r="A1141" s="1">
        <v>41842</v>
      </c>
      <c r="B1141">
        <v>102.39</v>
      </c>
      <c r="C1141">
        <v>2.8635999999999999</v>
      </c>
      <c r="D1141">
        <v>2.8523000000000001</v>
      </c>
      <c r="E1141" s="2">
        <f t="shared" si="1154"/>
        <v>17.564799999999991</v>
      </c>
      <c r="F1141" s="2">
        <f t="shared" si="1156"/>
        <v>17.332800000000002</v>
      </c>
      <c r="G1141" s="2">
        <f t="shared" si="1158"/>
        <v>17.971199999999993</v>
      </c>
      <c r="H1141" s="2">
        <f t="shared" si="1159"/>
        <v>8.8863433263055569E-3</v>
      </c>
      <c r="I1141" s="2">
        <f t="shared" ref="I1141:J1141" si="1208">LN(C1140)-LN(C1139)</f>
        <v>4.7685924864637741E-3</v>
      </c>
      <c r="J1141" s="2">
        <f t="shared" si="1208"/>
        <v>1.0133660341293815E-3</v>
      </c>
    </row>
    <row r="1142" spans="1:10" x14ac:dyDescent="0.45">
      <c r="A1142" s="1">
        <v>41843</v>
      </c>
      <c r="B1142">
        <v>103.12</v>
      </c>
      <c r="C1142">
        <v>2.8856999999999999</v>
      </c>
      <c r="D1142">
        <v>2.8388</v>
      </c>
      <c r="E1142" s="2">
        <f t="shared" si="1154"/>
        <v>16.766199999999987</v>
      </c>
      <c r="F1142" s="2">
        <f t="shared" si="1156"/>
        <v>17.564799999999991</v>
      </c>
      <c r="G1142" s="2">
        <f t="shared" si="1158"/>
        <v>17.332800000000002</v>
      </c>
      <c r="H1142" s="2">
        <f t="shared" si="1159"/>
        <v>-4.5797887600445009E-3</v>
      </c>
      <c r="I1142" s="2">
        <f t="shared" ref="I1142:J1142" si="1209">LN(C1141)-LN(C1140)</f>
        <v>1.6776181762059306E-3</v>
      </c>
      <c r="J1142" s="2">
        <f t="shared" si="1209"/>
        <v>-3.8141941088267739E-3</v>
      </c>
    </row>
    <row r="1143" spans="1:10" x14ac:dyDescent="0.45">
      <c r="A1143" s="1">
        <v>41844</v>
      </c>
      <c r="B1143">
        <v>102.07</v>
      </c>
      <c r="C1143">
        <v>2.8792</v>
      </c>
      <c r="D1143">
        <v>2.8130000000000002</v>
      </c>
      <c r="E1143" s="2">
        <f t="shared" si="1154"/>
        <v>17.002799999999997</v>
      </c>
      <c r="F1143" s="2">
        <f t="shared" si="1156"/>
        <v>16.766199999999987</v>
      </c>
      <c r="G1143" s="2">
        <f t="shared" si="1158"/>
        <v>17.564799999999991</v>
      </c>
      <c r="H1143" s="2">
        <f t="shared" si="1159"/>
        <v>7.1043070442069478E-3</v>
      </c>
      <c r="I1143" s="2">
        <f t="shared" ref="I1143:J1143" si="1210">LN(C1142)-LN(C1141)</f>
        <v>7.6879303046497593E-3</v>
      </c>
      <c r="J1143" s="2">
        <f t="shared" si="1210"/>
        <v>-4.7442586921613294E-3</v>
      </c>
    </row>
    <row r="1144" spans="1:10" x14ac:dyDescent="0.45">
      <c r="A1144" s="1">
        <v>41845</v>
      </c>
      <c r="B1144">
        <v>102.09</v>
      </c>
      <c r="C1144">
        <v>2.9235000000000002</v>
      </c>
      <c r="D1144">
        <v>2.8401999999999998</v>
      </c>
      <c r="E1144" s="2">
        <f t="shared" si="1154"/>
        <v>18.364599999999996</v>
      </c>
      <c r="F1144" s="2">
        <f t="shared" si="1156"/>
        <v>17.002799999999997</v>
      </c>
      <c r="G1144" s="2">
        <f t="shared" si="1158"/>
        <v>16.766199999999987</v>
      </c>
      <c r="H1144" s="2">
        <f t="shared" si="1159"/>
        <v>-1.023450621552513E-2</v>
      </c>
      <c r="I1144" s="2">
        <f t="shared" ref="I1144:J1144" si="1211">LN(C1143)-LN(C1142)</f>
        <v>-2.2550270618586499E-3</v>
      </c>
      <c r="J1144" s="2">
        <f t="shared" si="1211"/>
        <v>-9.1298981609708729E-3</v>
      </c>
    </row>
    <row r="1145" spans="1:10" x14ac:dyDescent="0.45">
      <c r="A1145" s="1">
        <v>41848</v>
      </c>
      <c r="B1145">
        <v>101.67</v>
      </c>
      <c r="C1145">
        <v>2.8961000000000001</v>
      </c>
      <c r="D1145">
        <v>2.8254999999999999</v>
      </c>
      <c r="E1145" s="2">
        <f t="shared" si="1154"/>
        <v>17.989400000000007</v>
      </c>
      <c r="F1145" s="2">
        <f t="shared" si="1156"/>
        <v>18.364599999999996</v>
      </c>
      <c r="G1145" s="2">
        <f t="shared" si="1158"/>
        <v>17.002799999999997</v>
      </c>
      <c r="H1145" s="2">
        <f t="shared" si="1159"/>
        <v>1.9592476551721916E-4</v>
      </c>
      <c r="I1145" s="2">
        <f t="shared" ref="I1145:J1145" si="1212">LN(C1144)-LN(C1143)</f>
        <v>1.5269050850904353E-2</v>
      </c>
      <c r="J1145" s="2">
        <f t="shared" si="1212"/>
        <v>9.6229427210556828E-3</v>
      </c>
    </row>
    <row r="1146" spans="1:10" x14ac:dyDescent="0.45">
      <c r="A1146" s="1">
        <v>41849</v>
      </c>
      <c r="B1146">
        <v>100.97</v>
      </c>
      <c r="C1146">
        <v>2.9133</v>
      </c>
      <c r="D1146">
        <v>2.8452000000000002</v>
      </c>
      <c r="E1146" s="2">
        <f t="shared" si="1154"/>
        <v>19.481800000000021</v>
      </c>
      <c r="F1146" s="2">
        <f t="shared" si="1156"/>
        <v>17.989400000000007</v>
      </c>
      <c r="G1146" s="2">
        <f t="shared" si="1158"/>
        <v>18.364599999999996</v>
      </c>
      <c r="H1146" s="2">
        <f t="shared" si="1159"/>
        <v>-4.1225028938542962E-3</v>
      </c>
      <c r="I1146" s="2">
        <f t="shared" ref="I1146:J1146" si="1213">LN(C1145)-LN(C1144)</f>
        <v>-9.4165243195380999E-3</v>
      </c>
      <c r="J1146" s="2">
        <f t="shared" si="1213"/>
        <v>-5.1891321410146851E-3</v>
      </c>
    </row>
    <row r="1147" spans="1:10" x14ac:dyDescent="0.45">
      <c r="A1147" s="1">
        <v>41850</v>
      </c>
      <c r="B1147">
        <v>100.27</v>
      </c>
      <c r="C1147">
        <v>2.8969</v>
      </c>
      <c r="D1147">
        <v>2.8157999999999999</v>
      </c>
      <c r="E1147" s="2">
        <f t="shared" si="1154"/>
        <v>19.129000000000001</v>
      </c>
      <c r="F1147" s="2">
        <f t="shared" si="1156"/>
        <v>19.481800000000021</v>
      </c>
      <c r="G1147" s="2">
        <f t="shared" si="1158"/>
        <v>17.989400000000007</v>
      </c>
      <c r="H1147" s="2">
        <f t="shared" si="1159"/>
        <v>-6.9088312708407429E-3</v>
      </c>
      <c r="I1147" s="2">
        <f t="shared" ref="I1147:J1147" si="1214">LN(C1146)-LN(C1145)</f>
        <v>5.921454972230844E-3</v>
      </c>
      <c r="J1147" s="2">
        <f t="shared" si="1214"/>
        <v>6.9480237894621322E-3</v>
      </c>
    </row>
    <row r="1148" spans="1:10" x14ac:dyDescent="0.45">
      <c r="A1148" s="1">
        <v>41851</v>
      </c>
      <c r="B1148">
        <v>98.17</v>
      </c>
      <c r="C1148">
        <v>2.8898999999999999</v>
      </c>
      <c r="D1148">
        <v>2.7974999999999999</v>
      </c>
      <c r="E1148" s="2">
        <f t="shared" si="1154"/>
        <v>20.618599999999997</v>
      </c>
      <c r="F1148" s="2">
        <f t="shared" si="1156"/>
        <v>19.129000000000001</v>
      </c>
      <c r="G1148" s="2">
        <f t="shared" si="1158"/>
        <v>19.481800000000021</v>
      </c>
      <c r="H1148" s="2">
        <f t="shared" si="1159"/>
        <v>-6.9568954803953531E-3</v>
      </c>
      <c r="I1148" s="2">
        <f t="shared" ref="I1148:J1148" si="1215">LN(C1147)-LN(C1146)</f>
        <v>-5.6452595622236146E-3</v>
      </c>
      <c r="J1148" s="2">
        <f t="shared" si="1215"/>
        <v>-1.0386950830933106E-2</v>
      </c>
    </row>
    <row r="1149" spans="1:10" x14ac:dyDescent="0.45">
      <c r="A1149" s="1">
        <v>41852</v>
      </c>
      <c r="B1149">
        <v>97.88</v>
      </c>
      <c r="C1149">
        <v>2.8660999999999999</v>
      </c>
      <c r="D1149">
        <v>2.7443</v>
      </c>
      <c r="E1149" s="2">
        <f t="shared" si="1154"/>
        <v>19.085800000000006</v>
      </c>
      <c r="F1149" s="2">
        <f t="shared" si="1156"/>
        <v>20.618599999999997</v>
      </c>
      <c r="G1149" s="2">
        <f t="shared" si="1158"/>
        <v>19.129000000000001</v>
      </c>
      <c r="H1149" s="2">
        <f t="shared" si="1159"/>
        <v>-2.116587783140389E-2</v>
      </c>
      <c r="I1149" s="2">
        <f t="shared" ref="I1149:J1149" si="1216">LN(C1148)-LN(C1147)</f>
        <v>-2.4193002745067638E-3</v>
      </c>
      <c r="J1149" s="2">
        <f t="shared" si="1216"/>
        <v>-6.5202518423468359E-3</v>
      </c>
    </row>
    <row r="1150" spans="1:10" x14ac:dyDescent="0.45">
      <c r="A1150" s="1">
        <v>41855</v>
      </c>
      <c r="B1150">
        <v>98.29</v>
      </c>
      <c r="C1150">
        <v>2.8712</v>
      </c>
      <c r="D1150">
        <v>2.7248999999999999</v>
      </c>
      <c r="E1150" s="2">
        <f t="shared" si="1154"/>
        <v>18.20399999999999</v>
      </c>
      <c r="F1150" s="2">
        <f t="shared" si="1156"/>
        <v>19.085800000000006</v>
      </c>
      <c r="G1150" s="2">
        <f t="shared" si="1158"/>
        <v>20.618599999999997</v>
      </c>
      <c r="H1150" s="2">
        <f t="shared" si="1159"/>
        <v>-2.9584311299588606E-3</v>
      </c>
      <c r="I1150" s="2">
        <f t="shared" ref="I1150:J1150" si="1217">LN(C1149)-LN(C1148)</f>
        <v>-8.2696788169658308E-3</v>
      </c>
      <c r="J1150" s="2">
        <f t="shared" si="1217"/>
        <v>-1.920012787026848E-2</v>
      </c>
    </row>
    <row r="1151" spans="1:10" x14ac:dyDescent="0.45">
      <c r="A1151" s="1">
        <v>41856</v>
      </c>
      <c r="B1151">
        <v>97.38</v>
      </c>
      <c r="C1151">
        <v>2.8469000000000002</v>
      </c>
      <c r="D1151">
        <v>2.7155</v>
      </c>
      <c r="E1151" s="2">
        <f t="shared" si="1154"/>
        <v>18.510600000000011</v>
      </c>
      <c r="F1151" s="2">
        <f t="shared" si="1156"/>
        <v>18.20399999999999</v>
      </c>
      <c r="G1151" s="2">
        <f t="shared" si="1158"/>
        <v>19.085800000000006</v>
      </c>
      <c r="H1151" s="2">
        <f t="shared" si="1159"/>
        <v>4.1800540040668466E-3</v>
      </c>
      <c r="I1151" s="2">
        <f t="shared" ref="I1151:J1151" si="1218">LN(C1150)-LN(C1149)</f>
        <v>1.7778402186756637E-3</v>
      </c>
      <c r="J1151" s="2">
        <f t="shared" si="1218"/>
        <v>-7.094303139534075E-3</v>
      </c>
    </row>
    <row r="1152" spans="1:10" x14ac:dyDescent="0.45">
      <c r="A1152" s="1">
        <v>41857</v>
      </c>
      <c r="B1152">
        <v>96.92</v>
      </c>
      <c r="C1152">
        <v>2.8761000000000001</v>
      </c>
      <c r="D1152">
        <v>2.7397</v>
      </c>
      <c r="E1152" s="2">
        <f t="shared" si="1154"/>
        <v>20.057000000000016</v>
      </c>
      <c r="F1152" s="2">
        <f t="shared" si="1156"/>
        <v>18.510600000000011</v>
      </c>
      <c r="G1152" s="2">
        <f t="shared" si="1158"/>
        <v>18.20399999999999</v>
      </c>
      <c r="H1152" s="2">
        <f t="shared" si="1159"/>
        <v>-9.3014418239834029E-3</v>
      </c>
      <c r="I1152" s="2">
        <f t="shared" ref="I1152:J1152" si="1219">LN(C1151)-LN(C1150)</f>
        <v>-8.4993778649051777E-3</v>
      </c>
      <c r="J1152" s="2">
        <f t="shared" si="1219"/>
        <v>-3.4556317013776372E-3</v>
      </c>
    </row>
    <row r="1153" spans="1:10" x14ac:dyDescent="0.45">
      <c r="A1153" s="1">
        <v>41858</v>
      </c>
      <c r="B1153">
        <v>97.34</v>
      </c>
      <c r="C1153">
        <v>2.8957000000000002</v>
      </c>
      <c r="D1153">
        <v>2.7723</v>
      </c>
      <c r="E1153" s="2">
        <f t="shared" si="1154"/>
        <v>20.824200000000019</v>
      </c>
      <c r="F1153" s="2">
        <f t="shared" si="1156"/>
        <v>20.057000000000016</v>
      </c>
      <c r="G1153" s="2">
        <f t="shared" si="1158"/>
        <v>18.510600000000011</v>
      </c>
      <c r="H1153" s="2">
        <f t="shared" si="1159"/>
        <v>-4.734954806229652E-3</v>
      </c>
      <c r="I1153" s="2">
        <f t="shared" ref="I1153:J1153" si="1220">LN(C1152)-LN(C1151)</f>
        <v>1.0204526782568335E-2</v>
      </c>
      <c r="J1153" s="2">
        <f t="shared" si="1220"/>
        <v>8.8723268617574291E-3</v>
      </c>
    </row>
    <row r="1154" spans="1:10" x14ac:dyDescent="0.45">
      <c r="A1154" s="1">
        <v>41859</v>
      </c>
      <c r="B1154">
        <v>97.65</v>
      </c>
      <c r="C1154">
        <v>2.8769</v>
      </c>
      <c r="D1154">
        <v>2.7536999999999998</v>
      </c>
      <c r="E1154" s="2">
        <f t="shared" si="1154"/>
        <v>19.730199999999968</v>
      </c>
      <c r="F1154" s="2">
        <f t="shared" si="1156"/>
        <v>20.824200000000019</v>
      </c>
      <c r="G1154" s="2">
        <f t="shared" si="1158"/>
        <v>20.057000000000016</v>
      </c>
      <c r="H1154" s="2">
        <f t="shared" si="1159"/>
        <v>4.3241084569833887E-3</v>
      </c>
      <c r="I1154" s="2">
        <f t="shared" ref="I1154:J1154" si="1221">LN(C1153)-LN(C1152)</f>
        <v>6.7916682283906127E-3</v>
      </c>
      <c r="J1154" s="2">
        <f t="shared" si="1221"/>
        <v>1.1828875225446955E-2</v>
      </c>
    </row>
    <row r="1155" spans="1:10" x14ac:dyDescent="0.45">
      <c r="A1155" s="1">
        <v>41862</v>
      </c>
      <c r="B1155">
        <v>98.08</v>
      </c>
      <c r="C1155">
        <v>2.8792</v>
      </c>
      <c r="D1155">
        <v>2.7524999999999999</v>
      </c>
      <c r="E1155" s="2">
        <f t="shared" ref="E1155:E1218" si="1222">(2*D1155*42+1*C1155*42-3*B1155)/3</f>
        <v>19.298799999999989</v>
      </c>
      <c r="F1155" s="2">
        <f t="shared" si="1156"/>
        <v>19.730199999999968</v>
      </c>
      <c r="G1155" s="2">
        <f t="shared" si="1158"/>
        <v>20.824200000000019</v>
      </c>
      <c r="H1155" s="2">
        <f t="shared" si="1159"/>
        <v>3.1796529173799826E-3</v>
      </c>
      <c r="I1155" s="2">
        <f t="shared" ref="I1155:J1155" si="1223">LN(C1154)-LN(C1153)</f>
        <v>-6.5135524609105655E-3</v>
      </c>
      <c r="J1155" s="2">
        <f t="shared" si="1223"/>
        <v>-6.7318386689494414E-3</v>
      </c>
    </row>
    <row r="1156" spans="1:10" x14ac:dyDescent="0.45">
      <c r="A1156" s="1">
        <v>41863</v>
      </c>
      <c r="B1156">
        <v>97.37</v>
      </c>
      <c r="C1156">
        <v>2.8450000000000002</v>
      </c>
      <c r="D1156">
        <v>2.7345000000000002</v>
      </c>
      <c r="E1156" s="2">
        <f t="shared" si="1222"/>
        <v>19.025999999999993</v>
      </c>
      <c r="F1156" s="2">
        <f t="shared" ref="F1156:F1219" si="1224">E1155</f>
        <v>19.298799999999989</v>
      </c>
      <c r="G1156" s="2">
        <f t="shared" si="1158"/>
        <v>19.730199999999968</v>
      </c>
      <c r="H1156" s="2">
        <f t="shared" si="1159"/>
        <v>4.3938148652129527E-3</v>
      </c>
      <c r="I1156" s="2">
        <f t="shared" ref="I1156:J1156" si="1225">LN(C1155)-LN(C1154)</f>
        <v>7.9915224628024362E-4</v>
      </c>
      <c r="J1156" s="2">
        <f t="shared" si="1225"/>
        <v>-4.3587229631980584E-4</v>
      </c>
    </row>
    <row r="1157" spans="1:10" x14ac:dyDescent="0.45">
      <c r="A1157" s="1">
        <v>41864</v>
      </c>
      <c r="B1157">
        <v>97.59</v>
      </c>
      <c r="C1157">
        <v>2.9018999999999999</v>
      </c>
      <c r="D1157">
        <v>2.7544</v>
      </c>
      <c r="E1157" s="2">
        <f t="shared" si="1222"/>
        <v>20.159800000000001</v>
      </c>
      <c r="F1157" s="2">
        <f t="shared" si="1224"/>
        <v>19.025999999999993</v>
      </c>
      <c r="G1157" s="2">
        <f t="shared" ref="G1157:G1220" si="1226">E1155</f>
        <v>19.298799999999989</v>
      </c>
      <c r="H1157" s="2">
        <f t="shared" ref="H1157:H1220" si="1227">LN(B1156)-LN(B1155)</f>
        <v>-7.2653171972367758E-3</v>
      </c>
      <c r="I1157" s="2">
        <f t="shared" ref="I1157:J1157" si="1228">LN(C1156)-LN(C1155)</f>
        <v>-1.1949410204389554E-2</v>
      </c>
      <c r="J1157" s="2">
        <f t="shared" si="1228"/>
        <v>-6.5609858100075247E-3</v>
      </c>
    </row>
    <row r="1158" spans="1:10" x14ac:dyDescent="0.45">
      <c r="A1158" s="1">
        <v>41865</v>
      </c>
      <c r="B1158">
        <v>95.58</v>
      </c>
      <c r="C1158">
        <v>2.8195000000000001</v>
      </c>
      <c r="D1158">
        <v>2.6665999999999999</v>
      </c>
      <c r="E1158" s="2">
        <f t="shared" si="1222"/>
        <v>18.557800000000004</v>
      </c>
      <c r="F1158" s="2">
        <f t="shared" si="1224"/>
        <v>20.159800000000001</v>
      </c>
      <c r="G1158" s="2">
        <f t="shared" si="1226"/>
        <v>19.025999999999993</v>
      </c>
      <c r="H1158" s="2">
        <f t="shared" si="1227"/>
        <v>2.2568741627049249E-3</v>
      </c>
      <c r="I1158" s="2">
        <f t="shared" ref="I1158:J1158" si="1229">LN(C1157)-LN(C1156)</f>
        <v>1.9802627296179542E-2</v>
      </c>
      <c r="J1158" s="2">
        <f t="shared" si="1229"/>
        <v>7.2510292374863283E-3</v>
      </c>
    </row>
    <row r="1159" spans="1:10" x14ac:dyDescent="0.45">
      <c r="A1159" s="1">
        <v>41866</v>
      </c>
      <c r="B1159">
        <v>97.35</v>
      </c>
      <c r="C1159">
        <v>2.8479999999999999</v>
      </c>
      <c r="D1159">
        <v>2.6985999999999999</v>
      </c>
      <c r="E1159" s="2">
        <f t="shared" si="1222"/>
        <v>18.08280000000002</v>
      </c>
      <c r="F1159" s="2">
        <f t="shared" si="1224"/>
        <v>18.557800000000004</v>
      </c>
      <c r="G1159" s="2">
        <f t="shared" si="1226"/>
        <v>20.159800000000001</v>
      </c>
      <c r="H1159" s="2">
        <f t="shared" si="1227"/>
        <v>-2.0811436003357109E-2</v>
      </c>
      <c r="I1159" s="2">
        <f t="shared" ref="I1159:J1159" si="1230">LN(C1158)-LN(C1157)</f>
        <v>-2.8806130609374092E-2</v>
      </c>
      <c r="J1159" s="2">
        <f t="shared" si="1230"/>
        <v>-3.239538034295586E-2</v>
      </c>
    </row>
    <row r="1160" spans="1:10" x14ac:dyDescent="0.45">
      <c r="A1160" s="1">
        <v>41869</v>
      </c>
      <c r="B1160">
        <v>93.75</v>
      </c>
      <c r="C1160">
        <v>2.806</v>
      </c>
      <c r="D1160">
        <v>2.6560000000000001</v>
      </c>
      <c r="E1160" s="2">
        <f t="shared" si="1222"/>
        <v>19.902000000000005</v>
      </c>
      <c r="F1160" s="2">
        <f t="shared" si="1224"/>
        <v>18.08280000000002</v>
      </c>
      <c r="G1160" s="2">
        <f t="shared" si="1226"/>
        <v>18.557800000000004</v>
      </c>
      <c r="H1160" s="2">
        <f t="shared" si="1227"/>
        <v>1.8349138668195764E-2</v>
      </c>
      <c r="I1160" s="2">
        <f t="shared" ref="I1160:J1160" si="1231">LN(C1159)-LN(C1158)</f>
        <v>1.0057429284629604E-2</v>
      </c>
      <c r="J1160" s="2">
        <f t="shared" si="1231"/>
        <v>1.1928867315328828E-2</v>
      </c>
    </row>
    <row r="1161" spans="1:10" x14ac:dyDescent="0.45">
      <c r="A1161" s="1">
        <v>41870</v>
      </c>
      <c r="B1161">
        <v>92.86</v>
      </c>
      <c r="C1161">
        <v>2.8170999999999999</v>
      </c>
      <c r="D1161">
        <v>2.5636000000000001</v>
      </c>
      <c r="E1161" s="2">
        <f t="shared" si="1222"/>
        <v>18.360200000000003</v>
      </c>
      <c r="F1161" s="2">
        <f t="shared" si="1224"/>
        <v>19.902000000000005</v>
      </c>
      <c r="G1161" s="2">
        <f t="shared" si="1226"/>
        <v>18.08280000000002</v>
      </c>
      <c r="H1161" s="2">
        <f t="shared" si="1227"/>
        <v>-3.7681066967688359E-2</v>
      </c>
      <c r="I1161" s="2">
        <f t="shared" ref="I1161:J1161" si="1232">LN(C1160)-LN(C1159)</f>
        <v>-1.4857011869460202E-2</v>
      </c>
      <c r="J1161" s="2">
        <f t="shared" si="1232"/>
        <v>-1.5911888400362395E-2</v>
      </c>
    </row>
    <row r="1162" spans="1:10" x14ac:dyDescent="0.45">
      <c r="A1162" s="1">
        <v>41871</v>
      </c>
      <c r="B1162">
        <v>93.45</v>
      </c>
      <c r="C1162">
        <v>2.8313000000000001</v>
      </c>
      <c r="D1162">
        <v>2.5750999999999999</v>
      </c>
      <c r="E1162" s="2">
        <f t="shared" si="1222"/>
        <v>18.290999999999997</v>
      </c>
      <c r="F1162" s="2">
        <f t="shared" si="1224"/>
        <v>18.360200000000003</v>
      </c>
      <c r="G1162" s="2">
        <f t="shared" si="1226"/>
        <v>19.902000000000005</v>
      </c>
      <c r="H1162" s="2">
        <f t="shared" si="1227"/>
        <v>-9.5386822587437692E-3</v>
      </c>
      <c r="I1162" s="2">
        <f t="shared" ref="I1162:J1162" si="1233">LN(C1161)-LN(C1160)</f>
        <v>3.9480053414437943E-3</v>
      </c>
      <c r="J1162" s="2">
        <f t="shared" si="1233"/>
        <v>-3.5408710966252643E-2</v>
      </c>
    </row>
    <row r="1163" spans="1:10" x14ac:dyDescent="0.45">
      <c r="A1163" s="1">
        <v>41872</v>
      </c>
      <c r="B1163">
        <v>93.96</v>
      </c>
      <c r="C1163">
        <v>2.8411</v>
      </c>
      <c r="D1163">
        <v>2.5991</v>
      </c>
      <c r="E1163" s="2">
        <f t="shared" si="1222"/>
        <v>18.590199999999999</v>
      </c>
      <c r="F1163" s="2">
        <f t="shared" si="1224"/>
        <v>18.290999999999997</v>
      </c>
      <c r="G1163" s="2">
        <f t="shared" si="1226"/>
        <v>18.360200000000003</v>
      </c>
      <c r="H1163" s="2">
        <f t="shared" si="1227"/>
        <v>6.3335513097957374E-3</v>
      </c>
      <c r="I1163" s="2">
        <f t="shared" ref="I1163:J1163" si="1234">LN(C1162)-LN(C1161)</f>
        <v>5.0279831157076238E-3</v>
      </c>
      <c r="J1163" s="2">
        <f t="shared" si="1234"/>
        <v>4.4758476651637347E-3</v>
      </c>
    </row>
    <row r="1164" spans="1:10" x14ac:dyDescent="0.45">
      <c r="A1164" s="1">
        <v>41873</v>
      </c>
      <c r="B1164">
        <v>93.65</v>
      </c>
      <c r="C1164">
        <v>2.8342999999999998</v>
      </c>
      <c r="D1164">
        <v>2.5889000000000002</v>
      </c>
      <c r="E1164" s="2">
        <f t="shared" si="1222"/>
        <v>18.51939999999998</v>
      </c>
      <c r="F1164" s="2">
        <f t="shared" si="1224"/>
        <v>18.590199999999999</v>
      </c>
      <c r="G1164" s="2">
        <f t="shared" si="1226"/>
        <v>18.290999999999997</v>
      </c>
      <c r="H1164" s="2">
        <f t="shared" si="1227"/>
        <v>5.4426258891400181E-3</v>
      </c>
      <c r="I1164" s="2">
        <f t="shared" ref="I1164:J1164" si="1235">LN(C1163)-LN(C1162)</f>
        <v>3.4553309888005757E-3</v>
      </c>
      <c r="J1164" s="2">
        <f t="shared" si="1235"/>
        <v>9.2768629431121408E-3</v>
      </c>
    </row>
    <row r="1165" spans="1:10" x14ac:dyDescent="0.45">
      <c r="A1165" s="1">
        <v>41876</v>
      </c>
      <c r="B1165">
        <v>93.35</v>
      </c>
      <c r="C1165">
        <v>2.8416999999999999</v>
      </c>
      <c r="D1165">
        <v>2.5954000000000002</v>
      </c>
      <c r="E1165" s="2">
        <f t="shared" si="1222"/>
        <v>19.105000000000018</v>
      </c>
      <c r="F1165" s="2">
        <f t="shared" si="1224"/>
        <v>18.51939999999998</v>
      </c>
      <c r="G1165" s="2">
        <f t="shared" si="1226"/>
        <v>18.590199999999999</v>
      </c>
      <c r="H1165" s="2">
        <f t="shared" si="1227"/>
        <v>-3.3047309006146719E-3</v>
      </c>
      <c r="I1165" s="2">
        <f t="shared" ref="I1165:J1165" si="1236">LN(C1164)-LN(C1163)</f>
        <v>-2.3963080149296268E-3</v>
      </c>
      <c r="J1165" s="2">
        <f t="shared" si="1236"/>
        <v>-3.9321561844914976E-3</v>
      </c>
    </row>
    <row r="1166" spans="1:10" x14ac:dyDescent="0.45">
      <c r="A1166" s="1">
        <v>41877</v>
      </c>
      <c r="B1166">
        <v>93.86</v>
      </c>
      <c r="C1166">
        <v>2.8490000000000002</v>
      </c>
      <c r="D1166">
        <v>2.6000999999999999</v>
      </c>
      <c r="E1166" s="2">
        <f t="shared" si="1222"/>
        <v>18.828800000000019</v>
      </c>
      <c r="F1166" s="2">
        <f t="shared" si="1224"/>
        <v>19.105000000000018</v>
      </c>
      <c r="G1166" s="2">
        <f t="shared" si="1226"/>
        <v>18.51939999999998</v>
      </c>
      <c r="H1166" s="2">
        <f t="shared" si="1227"/>
        <v>-3.2085589023651551E-3</v>
      </c>
      <c r="I1166" s="2">
        <f t="shared" ref="I1166:J1166" si="1237">LN(C1165)-LN(C1164)</f>
        <v>2.6074715266595216E-3</v>
      </c>
      <c r="J1166" s="2">
        <f t="shared" si="1237"/>
        <v>2.5075722492740038E-3</v>
      </c>
    </row>
    <row r="1167" spans="1:10" x14ac:dyDescent="0.45">
      <c r="A1167" s="1">
        <v>41878</v>
      </c>
      <c r="B1167">
        <v>93.88</v>
      </c>
      <c r="C1167">
        <v>2.8645999999999998</v>
      </c>
      <c r="D1167">
        <v>2.5905</v>
      </c>
      <c r="E1167" s="2">
        <f t="shared" si="1222"/>
        <v>18.758400000000012</v>
      </c>
      <c r="F1167" s="2">
        <f t="shared" si="1224"/>
        <v>18.828800000000019</v>
      </c>
      <c r="G1167" s="2">
        <f t="shared" si="1226"/>
        <v>19.105000000000018</v>
      </c>
      <c r="H1167" s="2">
        <f t="shared" si="1227"/>
        <v>5.4484403785393098E-3</v>
      </c>
      <c r="I1167" s="2">
        <f t="shared" ref="I1167:J1167" si="1238">LN(C1166)-LN(C1165)</f>
        <v>2.5655908778201564E-3</v>
      </c>
      <c r="J1167" s="2">
        <f t="shared" si="1238"/>
        <v>1.809258505278688E-3</v>
      </c>
    </row>
    <row r="1168" spans="1:10" x14ac:dyDescent="0.45">
      <c r="A1168" s="1">
        <v>41879</v>
      </c>
      <c r="B1168">
        <v>94.55</v>
      </c>
      <c r="C1168">
        <v>2.8517999999999999</v>
      </c>
      <c r="D1168">
        <v>2.5908000000000002</v>
      </c>
      <c r="E1168" s="2">
        <f t="shared" si="1222"/>
        <v>17.917600000000011</v>
      </c>
      <c r="F1168" s="2">
        <f t="shared" si="1224"/>
        <v>18.758400000000012</v>
      </c>
      <c r="G1168" s="2">
        <f t="shared" si="1226"/>
        <v>18.828800000000019</v>
      </c>
      <c r="H1168" s="2">
        <f t="shared" si="1227"/>
        <v>2.1306061655135267E-4</v>
      </c>
      <c r="I1168" s="2">
        <f t="shared" ref="I1168:J1168" si="1239">LN(C1167)-LN(C1166)</f>
        <v>5.4606688478564536E-3</v>
      </c>
      <c r="J1168" s="2">
        <f t="shared" si="1239"/>
        <v>-3.6989985535659242E-3</v>
      </c>
    </row>
    <row r="1169" spans="1:10" x14ac:dyDescent="0.45">
      <c r="A1169" s="1">
        <v>41880</v>
      </c>
      <c r="B1169">
        <v>95.96</v>
      </c>
      <c r="C1169">
        <v>2.8601000000000001</v>
      </c>
      <c r="D1169">
        <v>2.6229</v>
      </c>
      <c r="E1169" s="2">
        <f t="shared" si="1222"/>
        <v>17.522600000000011</v>
      </c>
      <c r="F1169" s="2">
        <f t="shared" si="1224"/>
        <v>17.917600000000011</v>
      </c>
      <c r="G1169" s="2">
        <f t="shared" si="1226"/>
        <v>18.758400000000012</v>
      </c>
      <c r="H1169" s="2">
        <f t="shared" si="1227"/>
        <v>7.1114241216436724E-3</v>
      </c>
      <c r="I1169" s="2">
        <f t="shared" ref="I1169:J1169" si="1240">LN(C1168)-LN(C1167)</f>
        <v>-4.4783504977459199E-3</v>
      </c>
      <c r="J1169" s="2">
        <f t="shared" si="1240"/>
        <v>1.1580105391906237E-4</v>
      </c>
    </row>
    <row r="1170" spans="1:10" x14ac:dyDescent="0.45">
      <c r="A1170" s="1">
        <v>41884</v>
      </c>
      <c r="B1170">
        <v>92.88</v>
      </c>
      <c r="C1170">
        <v>2.7967</v>
      </c>
      <c r="D1170">
        <v>2.5430000000000001</v>
      </c>
      <c r="E1170" s="2">
        <f t="shared" si="1222"/>
        <v>17.477800000000002</v>
      </c>
      <c r="F1170" s="2">
        <f t="shared" si="1224"/>
        <v>17.522600000000011</v>
      </c>
      <c r="G1170" s="2">
        <f t="shared" si="1226"/>
        <v>17.917600000000011</v>
      </c>
      <c r="H1170" s="2">
        <f t="shared" si="1227"/>
        <v>1.4802642867027593E-2</v>
      </c>
      <c r="I1170" s="2">
        <f t="shared" ref="I1170:J1170" si="1241">LN(C1169)-LN(C1168)</f>
        <v>2.9062153895820231E-3</v>
      </c>
      <c r="J1170" s="2">
        <f t="shared" si="1241"/>
        <v>1.2313867546192903E-2</v>
      </c>
    </row>
    <row r="1171" spans="1:10" x14ac:dyDescent="0.45">
      <c r="A1171" s="1">
        <v>41885</v>
      </c>
      <c r="B1171">
        <v>95.54</v>
      </c>
      <c r="C1171">
        <v>2.8658000000000001</v>
      </c>
      <c r="D1171">
        <v>2.62</v>
      </c>
      <c r="E1171" s="2">
        <f t="shared" si="1222"/>
        <v>17.941199999999998</v>
      </c>
      <c r="F1171" s="2">
        <f t="shared" si="1224"/>
        <v>17.477800000000002</v>
      </c>
      <c r="G1171" s="2">
        <f t="shared" si="1226"/>
        <v>17.522600000000011</v>
      </c>
      <c r="H1171" s="2">
        <f t="shared" si="1227"/>
        <v>-3.2623100581857578E-2</v>
      </c>
      <c r="I1171" s="2">
        <f t="shared" ref="I1171:J1171" si="1242">LN(C1170)-LN(C1169)</f>
        <v>-2.24164385643566E-2</v>
      </c>
      <c r="J1171" s="2">
        <f t="shared" si="1242"/>
        <v>-3.0936089432835212E-2</v>
      </c>
    </row>
    <row r="1172" spans="1:10" x14ac:dyDescent="0.45">
      <c r="A1172" s="1">
        <v>41886</v>
      </c>
      <c r="B1172">
        <v>94.45</v>
      </c>
      <c r="C1172">
        <v>2.8363</v>
      </c>
      <c r="D1172">
        <v>2.5998999999999999</v>
      </c>
      <c r="E1172" s="2">
        <f t="shared" si="1222"/>
        <v>18.055399999999981</v>
      </c>
      <c r="F1172" s="2">
        <f t="shared" si="1224"/>
        <v>17.941199999999998</v>
      </c>
      <c r="G1172" s="2">
        <f t="shared" si="1226"/>
        <v>17.477800000000002</v>
      </c>
      <c r="H1172" s="2">
        <f t="shared" si="1227"/>
        <v>2.8236670572179712E-2</v>
      </c>
      <c r="I1172" s="2">
        <f t="shared" ref="I1172:J1172" si="1243">LN(C1171)-LN(C1170)</f>
        <v>2.4407392609258283E-2</v>
      </c>
      <c r="J1172" s="2">
        <f t="shared" si="1243"/>
        <v>2.982983133302286E-2</v>
      </c>
    </row>
    <row r="1173" spans="1:10" x14ac:dyDescent="0.45">
      <c r="A1173" s="1">
        <v>41887</v>
      </c>
      <c r="B1173">
        <v>93.29</v>
      </c>
      <c r="C1173">
        <v>2.8191999999999999</v>
      </c>
      <c r="D1173">
        <v>2.5834000000000001</v>
      </c>
      <c r="E1173" s="2">
        <f t="shared" si="1222"/>
        <v>18.51400000000001</v>
      </c>
      <c r="F1173" s="2">
        <f t="shared" si="1224"/>
        <v>18.055399999999981</v>
      </c>
      <c r="G1173" s="2">
        <f t="shared" si="1226"/>
        <v>17.941199999999998</v>
      </c>
      <c r="H1173" s="2">
        <f t="shared" si="1227"/>
        <v>-1.1474414014297274E-2</v>
      </c>
      <c r="I1173" s="2">
        <f t="shared" ref="I1173:J1173" si="1244">LN(C1172)-LN(C1171)</f>
        <v>-1.0347157432423648E-2</v>
      </c>
      <c r="J1173" s="2">
        <f t="shared" si="1244"/>
        <v>-7.7013350236947442E-3</v>
      </c>
    </row>
    <row r="1174" spans="1:10" x14ac:dyDescent="0.45">
      <c r="A1174" s="1">
        <v>41890</v>
      </c>
      <c r="B1174">
        <v>92.66</v>
      </c>
      <c r="C1174">
        <v>2.8094000000000001</v>
      </c>
      <c r="D1174">
        <v>2.5619000000000001</v>
      </c>
      <c r="E1174" s="2">
        <f t="shared" si="1222"/>
        <v>18.404799999999984</v>
      </c>
      <c r="F1174" s="2">
        <f t="shared" si="1224"/>
        <v>18.51400000000001</v>
      </c>
      <c r="G1174" s="2">
        <f t="shared" si="1226"/>
        <v>18.055399999999981</v>
      </c>
      <c r="H1174" s="2">
        <f t="shared" si="1227"/>
        <v>-1.235767297464907E-2</v>
      </c>
      <c r="I1174" s="2">
        <f t="shared" ref="I1174:J1174" si="1245">LN(C1173)-LN(C1172)</f>
        <v>-6.0472291082185325E-3</v>
      </c>
      <c r="J1174" s="2">
        <f t="shared" si="1245"/>
        <v>-6.3666219335326568E-3</v>
      </c>
    </row>
    <row r="1175" spans="1:10" x14ac:dyDescent="0.45">
      <c r="A1175" s="1">
        <v>41891</v>
      </c>
      <c r="B1175">
        <v>92.75</v>
      </c>
      <c r="C1175">
        <v>2.7915000000000001</v>
      </c>
      <c r="D1175">
        <v>2.5484</v>
      </c>
      <c r="E1175" s="2">
        <f t="shared" si="1222"/>
        <v>17.686200000000003</v>
      </c>
      <c r="F1175" s="2">
        <f t="shared" si="1224"/>
        <v>18.404799999999984</v>
      </c>
      <c r="G1175" s="2">
        <f t="shared" si="1226"/>
        <v>18.51400000000001</v>
      </c>
      <c r="H1175" s="2">
        <f t="shared" si="1227"/>
        <v>-6.7760409843673486E-3</v>
      </c>
      <c r="I1175" s="2">
        <f t="shared" ref="I1175:J1175" si="1246">LN(C1174)-LN(C1173)</f>
        <v>-3.4822193450507744E-3</v>
      </c>
      <c r="J1175" s="2">
        <f t="shared" si="1246"/>
        <v>-8.3571901092492906E-3</v>
      </c>
    </row>
    <row r="1176" spans="1:10" x14ac:dyDescent="0.45">
      <c r="A1176" s="1">
        <v>41892</v>
      </c>
      <c r="B1176">
        <v>91.67</v>
      </c>
      <c r="C1176">
        <v>2.7532999999999999</v>
      </c>
      <c r="D1176">
        <v>2.5265</v>
      </c>
      <c r="E1176" s="2">
        <f t="shared" si="1222"/>
        <v>17.618200000000002</v>
      </c>
      <c r="F1176" s="2">
        <f t="shared" si="1224"/>
        <v>17.686200000000003</v>
      </c>
      <c r="G1176" s="2">
        <f t="shared" si="1226"/>
        <v>18.404799999999984</v>
      </c>
      <c r="H1176" s="2">
        <f t="shared" si="1227"/>
        <v>9.7082149904181847E-4</v>
      </c>
      <c r="I1176" s="2">
        <f t="shared" ref="I1176:J1176" si="1247">LN(C1175)-LN(C1174)</f>
        <v>-6.3918516463943309E-3</v>
      </c>
      <c r="J1176" s="2">
        <f t="shared" si="1247"/>
        <v>-5.2834594463327944E-3</v>
      </c>
    </row>
    <row r="1177" spans="1:10" x14ac:dyDescent="0.45">
      <c r="A1177" s="1">
        <v>41893</v>
      </c>
      <c r="B1177">
        <v>92.83</v>
      </c>
      <c r="C1177">
        <v>2.7561</v>
      </c>
      <c r="D1177">
        <v>2.5240999999999998</v>
      </c>
      <c r="E1177" s="2">
        <f t="shared" si="1222"/>
        <v>16.430199999999996</v>
      </c>
      <c r="F1177" s="2">
        <f t="shared" si="1224"/>
        <v>17.618200000000002</v>
      </c>
      <c r="G1177" s="2">
        <f t="shared" si="1226"/>
        <v>17.686200000000003</v>
      </c>
      <c r="H1177" s="2">
        <f t="shared" si="1227"/>
        <v>-1.1712529513859593E-2</v>
      </c>
      <c r="I1177" s="2">
        <f t="shared" ref="I1177:J1177" si="1248">LN(C1176)-LN(C1175)</f>
        <v>-1.3778893514316159E-2</v>
      </c>
      <c r="J1177" s="2">
        <f t="shared" si="1248"/>
        <v>-8.6307655103698977E-3</v>
      </c>
    </row>
    <row r="1178" spans="1:10" x14ac:dyDescent="0.45">
      <c r="A1178" s="1">
        <v>41894</v>
      </c>
      <c r="B1178">
        <v>92.27</v>
      </c>
      <c r="C1178">
        <v>2.7404999999999999</v>
      </c>
      <c r="D1178">
        <v>2.5188000000000001</v>
      </c>
      <c r="E1178" s="2">
        <f t="shared" si="1222"/>
        <v>16.623400000000004</v>
      </c>
      <c r="F1178" s="2">
        <f t="shared" si="1224"/>
        <v>16.430199999999996</v>
      </c>
      <c r="G1178" s="2">
        <f t="shared" si="1226"/>
        <v>17.618200000000002</v>
      </c>
      <c r="H1178" s="2">
        <f t="shared" si="1227"/>
        <v>1.2574691438156371E-2</v>
      </c>
      <c r="I1178" s="2">
        <f t="shared" ref="I1178:J1178" si="1249">LN(C1177)-LN(C1176)</f>
        <v>1.0164447094314077E-3</v>
      </c>
      <c r="J1178" s="2">
        <f t="shared" si="1249"/>
        <v>-9.5038220435006426E-4</v>
      </c>
    </row>
    <row r="1179" spans="1:10" x14ac:dyDescent="0.45">
      <c r="A1179" s="1">
        <v>41897</v>
      </c>
      <c r="B1179">
        <v>92.92</v>
      </c>
      <c r="C1179">
        <v>2.7395999999999998</v>
      </c>
      <c r="D1179">
        <v>2.5308000000000002</v>
      </c>
      <c r="E1179" s="2">
        <f t="shared" si="1222"/>
        <v>16.296800000000001</v>
      </c>
      <c r="F1179" s="2">
        <f t="shared" si="1224"/>
        <v>16.623400000000004</v>
      </c>
      <c r="G1179" s="2">
        <f t="shared" si="1226"/>
        <v>16.430199999999996</v>
      </c>
      <c r="H1179" s="2">
        <f t="shared" si="1227"/>
        <v>-6.0508018213765169E-3</v>
      </c>
      <c r="I1179" s="2">
        <f t="shared" ref="I1179:J1179" si="1250">LN(C1178)-LN(C1177)</f>
        <v>-5.6762514593593494E-3</v>
      </c>
      <c r="J1179" s="2">
        <f t="shared" si="1250"/>
        <v>-2.101965913025472E-3</v>
      </c>
    </row>
    <row r="1180" spans="1:10" x14ac:dyDescent="0.45">
      <c r="A1180" s="1">
        <v>41898</v>
      </c>
      <c r="B1180">
        <v>94.88</v>
      </c>
      <c r="C1180">
        <v>2.7563</v>
      </c>
      <c r="D1180">
        <v>2.5588000000000002</v>
      </c>
      <c r="E1180" s="2">
        <f t="shared" si="1222"/>
        <v>15.354600000000005</v>
      </c>
      <c r="F1180" s="2">
        <f t="shared" si="1224"/>
        <v>16.296800000000001</v>
      </c>
      <c r="G1180" s="2">
        <f t="shared" si="1226"/>
        <v>16.623400000000004</v>
      </c>
      <c r="H1180" s="2">
        <f t="shared" si="1227"/>
        <v>7.0198463117439047E-3</v>
      </c>
      <c r="I1180" s="2">
        <f t="shared" ref="I1180:J1180" si="1251">LN(C1179)-LN(C1178)</f>
        <v>-3.2846116242102319E-4</v>
      </c>
      <c r="J1180" s="2">
        <f t="shared" si="1251"/>
        <v>4.7528606581416222E-3</v>
      </c>
    </row>
    <row r="1181" spans="1:10" x14ac:dyDescent="0.45">
      <c r="A1181" s="1">
        <v>41899</v>
      </c>
      <c r="B1181">
        <v>94.42</v>
      </c>
      <c r="C1181">
        <v>2.7450999999999999</v>
      </c>
      <c r="D1181">
        <v>2.5691999999999999</v>
      </c>
      <c r="E1181" s="2">
        <f t="shared" si="1222"/>
        <v>15.948999999999993</v>
      </c>
      <c r="F1181" s="2">
        <f t="shared" si="1224"/>
        <v>15.354600000000005</v>
      </c>
      <c r="G1181" s="2">
        <f t="shared" si="1226"/>
        <v>16.296800000000001</v>
      </c>
      <c r="H1181" s="2">
        <f t="shared" si="1227"/>
        <v>2.0874027347207225E-2</v>
      </c>
      <c r="I1181" s="2">
        <f t="shared" ref="I1181:J1181" si="1252">LN(C1180)-LN(C1179)</f>
        <v>6.0772762964367288E-3</v>
      </c>
      <c r="J1181" s="2">
        <f t="shared" si="1252"/>
        <v>1.1002940303253328E-2</v>
      </c>
    </row>
    <row r="1182" spans="1:10" x14ac:dyDescent="0.45">
      <c r="A1182" s="1">
        <v>41900</v>
      </c>
      <c r="B1182">
        <v>93.07</v>
      </c>
      <c r="C1182">
        <v>2.7122999999999999</v>
      </c>
      <c r="D1182">
        <v>2.5609999999999999</v>
      </c>
      <c r="E1182" s="2">
        <f t="shared" si="1222"/>
        <v>16.610200000000003</v>
      </c>
      <c r="F1182" s="2">
        <f t="shared" si="1224"/>
        <v>15.948999999999993</v>
      </c>
      <c r="G1182" s="2">
        <f t="shared" si="1226"/>
        <v>15.354600000000005</v>
      </c>
      <c r="H1182" s="2">
        <f t="shared" si="1227"/>
        <v>-4.8600201312751778E-3</v>
      </c>
      <c r="I1182" s="2">
        <f t="shared" ref="I1182:J1182" si="1253">LN(C1181)-LN(C1180)</f>
        <v>-4.0716964676121847E-3</v>
      </c>
      <c r="J1182" s="2">
        <f t="shared" si="1253"/>
        <v>4.0561678076547203E-3</v>
      </c>
    </row>
    <row r="1183" spans="1:10" x14ac:dyDescent="0.45">
      <c r="A1183" s="1">
        <v>41901</v>
      </c>
      <c r="B1183">
        <v>91.65</v>
      </c>
      <c r="C1183">
        <v>2.7166000000000001</v>
      </c>
      <c r="D1183">
        <v>2.5270000000000001</v>
      </c>
      <c r="E1183" s="2">
        <f t="shared" si="1222"/>
        <v>17.13839999999999</v>
      </c>
      <c r="F1183" s="2">
        <f t="shared" si="1224"/>
        <v>16.610200000000003</v>
      </c>
      <c r="G1183" s="2">
        <f t="shared" si="1226"/>
        <v>15.948999999999993</v>
      </c>
      <c r="H1183" s="2">
        <f t="shared" si="1227"/>
        <v>-1.4401016920521315E-2</v>
      </c>
      <c r="I1183" s="2">
        <f t="shared" ref="I1183:J1183" si="1254">LN(C1182)-LN(C1181)</f>
        <v>-1.2020520741144236E-2</v>
      </c>
      <c r="J1183" s="2">
        <f t="shared" si="1254"/>
        <v>-3.1967591841121079E-3</v>
      </c>
    </row>
    <row r="1184" spans="1:10" x14ac:dyDescent="0.45">
      <c r="A1184" s="1">
        <v>41904</v>
      </c>
      <c r="B1184">
        <v>90.87</v>
      </c>
      <c r="C1184">
        <v>2.6928999999999998</v>
      </c>
      <c r="D1184">
        <v>2.4901</v>
      </c>
      <c r="E1184" s="2">
        <f t="shared" si="1222"/>
        <v>16.553399999999993</v>
      </c>
      <c r="F1184" s="2">
        <f t="shared" si="1224"/>
        <v>17.13839999999999</v>
      </c>
      <c r="G1184" s="2">
        <f t="shared" si="1226"/>
        <v>16.610200000000003</v>
      </c>
      <c r="H1184" s="2">
        <f t="shared" si="1227"/>
        <v>-1.5374923911904759E-2</v>
      </c>
      <c r="I1184" s="2">
        <f t="shared" ref="I1184:J1184" si="1255">LN(C1183)-LN(C1182)</f>
        <v>1.5841149769599827E-3</v>
      </c>
      <c r="J1184" s="2">
        <f t="shared" si="1255"/>
        <v>-1.3364978811330919E-2</v>
      </c>
    </row>
    <row r="1185" spans="1:10" x14ac:dyDescent="0.45">
      <c r="A1185" s="1">
        <v>41905</v>
      </c>
      <c r="B1185">
        <v>91.56</v>
      </c>
      <c r="C1185">
        <v>2.6886000000000001</v>
      </c>
      <c r="D1185">
        <v>2.504</v>
      </c>
      <c r="E1185" s="2">
        <f t="shared" si="1222"/>
        <v>16.192400000000003</v>
      </c>
      <c r="F1185" s="2">
        <f t="shared" si="1224"/>
        <v>16.553399999999993</v>
      </c>
      <c r="G1185" s="2">
        <f t="shared" si="1226"/>
        <v>17.13839999999999</v>
      </c>
      <c r="H1185" s="2">
        <f t="shared" si="1227"/>
        <v>-8.5470605784587761E-3</v>
      </c>
      <c r="I1185" s="2">
        <f t="shared" ref="I1185:J1185" si="1256">LN(C1184)-LN(C1183)</f>
        <v>-8.762418574827735E-3</v>
      </c>
      <c r="J1185" s="2">
        <f t="shared" si="1256"/>
        <v>-1.4709958093287789E-2</v>
      </c>
    </row>
    <row r="1186" spans="1:10" x14ac:dyDescent="0.45">
      <c r="A1186" s="1">
        <v>41906</v>
      </c>
      <c r="B1186">
        <v>92.8</v>
      </c>
      <c r="C1186">
        <v>2.6930000000000001</v>
      </c>
      <c r="D1186">
        <v>2.5123000000000002</v>
      </c>
      <c r="E1186" s="2">
        <f t="shared" si="1222"/>
        <v>15.246400000000014</v>
      </c>
      <c r="F1186" s="2">
        <f t="shared" si="1224"/>
        <v>16.192400000000003</v>
      </c>
      <c r="G1186" s="2">
        <f t="shared" si="1226"/>
        <v>16.553399999999993</v>
      </c>
      <c r="H1186" s="2">
        <f t="shared" si="1227"/>
        <v>7.5645813771103576E-3</v>
      </c>
      <c r="I1186" s="2">
        <f t="shared" ref="I1186:J1186" si="1257">LN(C1185)-LN(C1184)</f>
        <v>-1.5980677934103182E-3</v>
      </c>
      <c r="J1186" s="2">
        <f t="shared" si="1257"/>
        <v>5.5665829250826082E-3</v>
      </c>
    </row>
    <row r="1187" spans="1:10" x14ac:dyDescent="0.45">
      <c r="A1187" s="1">
        <v>41907</v>
      </c>
      <c r="B1187">
        <v>92.53</v>
      </c>
      <c r="C1187">
        <v>2.6991999999999998</v>
      </c>
      <c r="D1187">
        <v>2.5398000000000001</v>
      </c>
      <c r="E1187" s="2">
        <f t="shared" si="1222"/>
        <v>16.373199999999997</v>
      </c>
      <c r="F1187" s="2">
        <f t="shared" si="1224"/>
        <v>15.246400000000014</v>
      </c>
      <c r="G1187" s="2">
        <f t="shared" si="1226"/>
        <v>16.192400000000003</v>
      </c>
      <c r="H1187" s="2">
        <f t="shared" si="1227"/>
        <v>1.3452144707788882E-2</v>
      </c>
      <c r="I1187" s="2">
        <f t="shared" ref="I1187:J1187" si="1258">LN(C1186)-LN(C1185)</f>
        <v>1.6352017914466055E-3</v>
      </c>
      <c r="J1187" s="2">
        <f t="shared" si="1258"/>
        <v>3.3092149888858113E-3</v>
      </c>
    </row>
    <row r="1188" spans="1:10" x14ac:dyDescent="0.45">
      <c r="A1188" s="1">
        <v>41908</v>
      </c>
      <c r="B1188">
        <v>93.54</v>
      </c>
      <c r="C1188">
        <v>2.7023999999999999</v>
      </c>
      <c r="D1188">
        <v>2.4881000000000002</v>
      </c>
      <c r="E1188" s="2">
        <f t="shared" si="1222"/>
        <v>13.960400000000012</v>
      </c>
      <c r="F1188" s="2">
        <f t="shared" si="1224"/>
        <v>16.373199999999997</v>
      </c>
      <c r="G1188" s="2">
        <f t="shared" si="1226"/>
        <v>15.246400000000014</v>
      </c>
      <c r="H1188" s="2">
        <f t="shared" si="1227"/>
        <v>-2.9137235312157728E-3</v>
      </c>
      <c r="I1188" s="2">
        <f t="shared" ref="I1188:J1188" si="1259">LN(C1187)-LN(C1186)</f>
        <v>2.2996189801048894E-3</v>
      </c>
      <c r="J1188" s="2">
        <f t="shared" si="1259"/>
        <v>1.0886669546058103E-2</v>
      </c>
    </row>
    <row r="1189" spans="1:10" x14ac:dyDescent="0.45">
      <c r="A1189" s="1">
        <v>41911</v>
      </c>
      <c r="B1189">
        <v>94.57</v>
      </c>
      <c r="C1189">
        <v>2.7082000000000002</v>
      </c>
      <c r="D1189">
        <v>2.5142000000000002</v>
      </c>
      <c r="E1189" s="2">
        <f t="shared" si="1222"/>
        <v>13.742400000000012</v>
      </c>
      <c r="F1189" s="2">
        <f t="shared" si="1224"/>
        <v>13.960400000000012</v>
      </c>
      <c r="G1189" s="2">
        <f t="shared" si="1226"/>
        <v>16.373199999999997</v>
      </c>
      <c r="H1189" s="2">
        <f t="shared" si="1227"/>
        <v>1.0856236036801192E-2</v>
      </c>
      <c r="I1189" s="2">
        <f t="shared" ref="I1189:J1189" si="1260">LN(C1188)-LN(C1187)</f>
        <v>1.184834261831802E-3</v>
      </c>
      <c r="J1189" s="2">
        <f t="shared" si="1260"/>
        <v>-2.0565970777531861E-2</v>
      </c>
    </row>
    <row r="1190" spans="1:10" x14ac:dyDescent="0.45">
      <c r="A1190" s="1">
        <v>41912</v>
      </c>
      <c r="B1190">
        <v>91.16</v>
      </c>
      <c r="C1190">
        <v>2.6505000000000001</v>
      </c>
      <c r="D1190">
        <v>2.4373</v>
      </c>
      <c r="E1190" s="2">
        <f t="shared" si="1222"/>
        <v>14.191400000000007</v>
      </c>
      <c r="F1190" s="2">
        <f t="shared" si="1224"/>
        <v>13.742400000000012</v>
      </c>
      <c r="G1190" s="2">
        <f t="shared" si="1226"/>
        <v>13.960400000000012</v>
      </c>
      <c r="H1190" s="2">
        <f t="shared" si="1227"/>
        <v>1.0951148729680504E-2</v>
      </c>
      <c r="I1190" s="2">
        <f t="shared" ref="I1190:J1190" si="1261">LN(C1189)-LN(C1188)</f>
        <v>2.1439404951880681E-3</v>
      </c>
      <c r="J1190" s="2">
        <f t="shared" si="1261"/>
        <v>1.0435294503329584E-2</v>
      </c>
    </row>
    <row r="1191" spans="1:10" x14ac:dyDescent="0.45">
      <c r="A1191" s="1">
        <v>41913</v>
      </c>
      <c r="B1191">
        <v>90.73</v>
      </c>
      <c r="C1191">
        <v>2.6556000000000002</v>
      </c>
      <c r="D1191">
        <v>2.4497</v>
      </c>
      <c r="E1191" s="2">
        <f t="shared" si="1222"/>
        <v>15.040000000000001</v>
      </c>
      <c r="F1191" s="2">
        <f t="shared" si="1224"/>
        <v>14.191400000000007</v>
      </c>
      <c r="G1191" s="2">
        <f t="shared" si="1226"/>
        <v>13.742400000000012</v>
      </c>
      <c r="H1191" s="2">
        <f t="shared" si="1227"/>
        <v>-3.6724096649937366E-2</v>
      </c>
      <c r="I1191" s="2">
        <f t="shared" ref="I1191:J1191" si="1262">LN(C1190)-LN(C1189)</f>
        <v>-2.1535906120862869E-2</v>
      </c>
      <c r="J1191" s="2">
        <f t="shared" si="1262"/>
        <v>-3.1063792257170375E-2</v>
      </c>
    </row>
    <row r="1192" spans="1:10" x14ac:dyDescent="0.45">
      <c r="A1192" s="1">
        <v>41914</v>
      </c>
      <c r="B1192">
        <v>91.01</v>
      </c>
      <c r="C1192">
        <v>2.6379999999999999</v>
      </c>
      <c r="D1192">
        <v>2.4091</v>
      </c>
      <c r="E1192" s="2">
        <f t="shared" si="1222"/>
        <v>13.376799999999983</v>
      </c>
      <c r="F1192" s="2">
        <f t="shared" si="1224"/>
        <v>15.040000000000001</v>
      </c>
      <c r="G1192" s="2">
        <f t="shared" si="1226"/>
        <v>14.191400000000007</v>
      </c>
      <c r="H1192" s="2">
        <f t="shared" si="1227"/>
        <v>-4.7281411959456676E-3</v>
      </c>
      <c r="I1192" s="2">
        <f t="shared" ref="I1192:J1192" si="1263">LN(C1191)-LN(C1190)</f>
        <v>1.9223164171435769E-3</v>
      </c>
      <c r="J1192" s="2">
        <f t="shared" si="1263"/>
        <v>5.0746988381320524E-3</v>
      </c>
    </row>
    <row r="1193" spans="1:10" x14ac:dyDescent="0.45">
      <c r="A1193" s="1">
        <v>41915</v>
      </c>
      <c r="B1193">
        <v>89.74</v>
      </c>
      <c r="C1193">
        <v>2.6162999999999998</v>
      </c>
      <c r="D1193">
        <v>2.3784999999999998</v>
      </c>
      <c r="E1193" s="2">
        <f t="shared" si="1222"/>
        <v>13.486199999999997</v>
      </c>
      <c r="F1193" s="2">
        <f t="shared" si="1224"/>
        <v>13.376799999999983</v>
      </c>
      <c r="G1193" s="2">
        <f t="shared" si="1226"/>
        <v>15.040000000000001</v>
      </c>
      <c r="H1193" s="2">
        <f t="shared" si="1227"/>
        <v>3.0813274077265973E-3</v>
      </c>
      <c r="I1193" s="2">
        <f t="shared" ref="I1193:J1193" si="1264">LN(C1192)-LN(C1191)</f>
        <v>-6.6495635677444875E-3</v>
      </c>
      <c r="J1193" s="2">
        <f t="shared" si="1264"/>
        <v>-1.6712334307963705E-2</v>
      </c>
    </row>
    <row r="1194" spans="1:10" x14ac:dyDescent="0.45">
      <c r="A1194" s="1">
        <v>41918</v>
      </c>
      <c r="B1194">
        <v>90.34</v>
      </c>
      <c r="C1194">
        <v>2.6213000000000002</v>
      </c>
      <c r="D1194">
        <v>2.4131999999999998</v>
      </c>
      <c r="E1194" s="2">
        <f t="shared" si="1222"/>
        <v>13.92780000000001</v>
      </c>
      <c r="F1194" s="2">
        <f t="shared" si="1224"/>
        <v>13.486199999999997</v>
      </c>
      <c r="G1194" s="2">
        <f t="shared" si="1226"/>
        <v>13.376799999999983</v>
      </c>
      <c r="H1194" s="2">
        <f t="shared" si="1227"/>
        <v>-1.4052790041427343E-2</v>
      </c>
      <c r="I1194" s="2">
        <f t="shared" ref="I1194:J1194" si="1265">LN(C1193)-LN(C1192)</f>
        <v>-8.2599483762103576E-3</v>
      </c>
      <c r="J1194" s="2">
        <f t="shared" si="1265"/>
        <v>-1.2783196881392622E-2</v>
      </c>
    </row>
    <row r="1195" spans="1:10" x14ac:dyDescent="0.45">
      <c r="A1195" s="1">
        <v>41919</v>
      </c>
      <c r="B1195">
        <v>88.85</v>
      </c>
      <c r="C1195">
        <v>2.6073</v>
      </c>
      <c r="D1195">
        <v>2.3683000000000001</v>
      </c>
      <c r="E1195" s="2">
        <f t="shared" si="1222"/>
        <v>13.964600000000019</v>
      </c>
      <c r="F1195" s="2">
        <f t="shared" si="1224"/>
        <v>13.92780000000001</v>
      </c>
      <c r="G1195" s="2">
        <f t="shared" si="1226"/>
        <v>13.486199999999997</v>
      </c>
      <c r="H1195" s="2">
        <f t="shared" si="1227"/>
        <v>6.6637296786211664E-3</v>
      </c>
      <c r="I1195" s="2">
        <f t="shared" ref="I1195:J1195" si="1266">LN(C1194)-LN(C1193)</f>
        <v>1.9092720020175147E-3</v>
      </c>
      <c r="J1195" s="2">
        <f t="shared" si="1266"/>
        <v>1.44836306942705E-2</v>
      </c>
    </row>
    <row r="1196" spans="1:10" x14ac:dyDescent="0.45">
      <c r="A1196" s="1">
        <v>41920</v>
      </c>
      <c r="B1196">
        <v>87.31</v>
      </c>
      <c r="C1196">
        <v>2.5758999999999999</v>
      </c>
      <c r="D1196">
        <v>2.3184</v>
      </c>
      <c r="E1196" s="2">
        <f t="shared" si="1222"/>
        <v>13.6678</v>
      </c>
      <c r="F1196" s="2">
        <f t="shared" si="1224"/>
        <v>13.964600000000019</v>
      </c>
      <c r="G1196" s="2">
        <f t="shared" si="1226"/>
        <v>13.92780000000001</v>
      </c>
      <c r="H1196" s="2">
        <f t="shared" si="1227"/>
        <v>-1.6630775625797511E-2</v>
      </c>
      <c r="I1196" s="2">
        <f t="shared" ref="I1196:J1196" si="1267">LN(C1195)-LN(C1194)</f>
        <v>-5.3551747915430159E-3</v>
      </c>
      <c r="J1196" s="2">
        <f t="shared" si="1267"/>
        <v>-1.8781269397918687E-2</v>
      </c>
    </row>
    <row r="1197" spans="1:10" x14ac:dyDescent="0.45">
      <c r="A1197" s="1">
        <v>41921</v>
      </c>
      <c r="B1197">
        <v>85.77</v>
      </c>
      <c r="C1197">
        <v>2.5366</v>
      </c>
      <c r="D1197">
        <v>2.2749000000000001</v>
      </c>
      <c r="E1197" s="2">
        <f t="shared" si="1222"/>
        <v>13.439600000000004</v>
      </c>
      <c r="F1197" s="2">
        <f t="shared" si="1224"/>
        <v>13.6678</v>
      </c>
      <c r="G1197" s="2">
        <f t="shared" si="1226"/>
        <v>13.964600000000019</v>
      </c>
      <c r="H1197" s="2">
        <f t="shared" si="1227"/>
        <v>-1.7484550777944641E-2</v>
      </c>
      <c r="I1197" s="2">
        <f t="shared" ref="I1197:J1197" si="1268">LN(C1196)-LN(C1195)</f>
        <v>-1.2116215516567164E-2</v>
      </c>
      <c r="J1197" s="2">
        <f t="shared" si="1268"/>
        <v>-2.1295105602269992E-2</v>
      </c>
    </row>
    <row r="1198" spans="1:10" x14ac:dyDescent="0.45">
      <c r="A1198" s="1">
        <v>41922</v>
      </c>
      <c r="B1198">
        <v>85.82</v>
      </c>
      <c r="C1198">
        <v>2.5602</v>
      </c>
      <c r="D1198">
        <v>2.2574999999999998</v>
      </c>
      <c r="E1198" s="2">
        <f t="shared" si="1222"/>
        <v>13.232800000000017</v>
      </c>
      <c r="F1198" s="2">
        <f t="shared" si="1224"/>
        <v>13.439600000000004</v>
      </c>
      <c r="G1198" s="2">
        <f t="shared" si="1226"/>
        <v>13.6678</v>
      </c>
      <c r="H1198" s="2">
        <f t="shared" si="1227"/>
        <v>-1.7795708820385947E-2</v>
      </c>
      <c r="I1198" s="2">
        <f t="shared" ref="I1198:J1198" si="1269">LN(C1197)-LN(C1196)</f>
        <v>-1.5374385961627657E-2</v>
      </c>
      <c r="J1198" s="2">
        <f t="shared" si="1269"/>
        <v>-1.8941197191418402E-2</v>
      </c>
    </row>
    <row r="1199" spans="1:10" x14ac:dyDescent="0.45">
      <c r="A1199" s="1">
        <v>41925</v>
      </c>
      <c r="B1199">
        <v>85.74</v>
      </c>
      <c r="C1199">
        <v>2.5568</v>
      </c>
      <c r="D1199">
        <v>2.2553000000000001</v>
      </c>
      <c r="E1199" s="2">
        <f t="shared" si="1222"/>
        <v>13.203600000000014</v>
      </c>
      <c r="F1199" s="2">
        <f t="shared" si="1224"/>
        <v>13.232800000000017</v>
      </c>
      <c r="G1199" s="2">
        <f t="shared" si="1226"/>
        <v>13.439600000000004</v>
      </c>
      <c r="H1199" s="2">
        <f t="shared" si="1227"/>
        <v>5.8278456104865484E-4</v>
      </c>
      <c r="I1199" s="2">
        <f t="shared" ref="I1199:J1199" si="1270">LN(C1198)-LN(C1197)</f>
        <v>9.2607787886800352E-3</v>
      </c>
      <c r="J1199" s="2">
        <f t="shared" si="1270"/>
        <v>-7.6780890838591409E-3</v>
      </c>
    </row>
    <row r="1200" spans="1:10" x14ac:dyDescent="0.45">
      <c r="A1200" s="1">
        <v>41926</v>
      </c>
      <c r="B1200">
        <v>81.84</v>
      </c>
      <c r="C1200">
        <v>2.4722</v>
      </c>
      <c r="D1200">
        <v>2.1802000000000001</v>
      </c>
      <c r="E1200" s="2">
        <f t="shared" si="1222"/>
        <v>13.816399999999996</v>
      </c>
      <c r="F1200" s="2">
        <f t="shared" si="1224"/>
        <v>13.203600000000014</v>
      </c>
      <c r="G1200" s="2">
        <f t="shared" si="1226"/>
        <v>13.232800000000017</v>
      </c>
      <c r="H1200" s="2">
        <f t="shared" si="1227"/>
        <v>-9.3261839354763509E-4</v>
      </c>
      <c r="I1200" s="2">
        <f t="shared" ref="I1200:J1200" si="1271">LN(C1199)-LN(C1198)</f>
        <v>-1.3289038500537975E-3</v>
      </c>
      <c r="J1200" s="2">
        <f t="shared" si="1271"/>
        <v>-9.7500450907761493E-4</v>
      </c>
    </row>
    <row r="1201" spans="1:10" x14ac:dyDescent="0.45">
      <c r="A1201" s="1">
        <v>41927</v>
      </c>
      <c r="B1201">
        <v>81.78</v>
      </c>
      <c r="C1201">
        <v>2.4586000000000001</v>
      </c>
      <c r="D1201">
        <v>2.1486999999999998</v>
      </c>
      <c r="E1201" s="2">
        <f t="shared" si="1222"/>
        <v>12.803999999999983</v>
      </c>
      <c r="F1201" s="2">
        <f t="shared" si="1224"/>
        <v>13.816399999999996</v>
      </c>
      <c r="G1201" s="2">
        <f t="shared" si="1226"/>
        <v>13.203600000000014</v>
      </c>
      <c r="H1201" s="2">
        <f t="shared" si="1227"/>
        <v>-4.6553339526459681E-2</v>
      </c>
      <c r="I1201" s="2">
        <f t="shared" ref="I1201:J1201" si="1272">LN(C1200)-LN(C1199)</f>
        <v>-3.3648034118232695E-2</v>
      </c>
      <c r="J1201" s="2">
        <f t="shared" si="1272"/>
        <v>-3.3866386087804567E-2</v>
      </c>
    </row>
    <row r="1202" spans="1:10" x14ac:dyDescent="0.45">
      <c r="A1202" s="1">
        <v>41928</v>
      </c>
      <c r="B1202">
        <v>82.7</v>
      </c>
      <c r="C1202">
        <v>2.4702999999999999</v>
      </c>
      <c r="D1202">
        <v>2.2109000000000001</v>
      </c>
      <c r="E1202" s="2">
        <f t="shared" si="1222"/>
        <v>13.789400000000001</v>
      </c>
      <c r="F1202" s="2">
        <f t="shared" si="1224"/>
        <v>12.803999999999983</v>
      </c>
      <c r="G1202" s="2">
        <f t="shared" si="1226"/>
        <v>13.816399999999996</v>
      </c>
      <c r="H1202" s="2">
        <f t="shared" si="1227"/>
        <v>-7.3340670687471743E-4</v>
      </c>
      <c r="I1202" s="2">
        <f t="shared" ref="I1202:J1202" si="1273">LN(C1201)-LN(C1200)</f>
        <v>-5.516360220482075E-3</v>
      </c>
      <c r="J1202" s="2">
        <f t="shared" si="1273"/>
        <v>-1.455360761057567E-2</v>
      </c>
    </row>
    <row r="1203" spans="1:10" x14ac:dyDescent="0.45">
      <c r="A1203" s="1">
        <v>41929</v>
      </c>
      <c r="B1203">
        <v>82.06</v>
      </c>
      <c r="C1203">
        <v>2.4975999999999998</v>
      </c>
      <c r="D1203">
        <v>2.2326999999999999</v>
      </c>
      <c r="E1203" s="2">
        <f t="shared" si="1222"/>
        <v>15.421999999999988</v>
      </c>
      <c r="F1203" s="2">
        <f t="shared" si="1224"/>
        <v>13.789400000000001</v>
      </c>
      <c r="G1203" s="2">
        <f t="shared" si="1226"/>
        <v>12.803999999999983</v>
      </c>
      <c r="H1203" s="2">
        <f t="shared" si="1227"/>
        <v>1.1186887093148634E-2</v>
      </c>
      <c r="I1203" s="2">
        <f t="shared" ref="I1203:J1203" si="1274">LN(C1202)-LN(C1201)</f>
        <v>4.7475185032969103E-3</v>
      </c>
      <c r="J1203" s="2">
        <f t="shared" si="1274"/>
        <v>2.8536664347491358E-2</v>
      </c>
    </row>
    <row r="1204" spans="1:10" x14ac:dyDescent="0.45">
      <c r="A1204" s="1">
        <v>41932</v>
      </c>
      <c r="B1204">
        <v>81.91</v>
      </c>
      <c r="C1204">
        <v>2.4855999999999998</v>
      </c>
      <c r="D1204">
        <v>2.1414</v>
      </c>
      <c r="E1204" s="2">
        <f t="shared" si="1222"/>
        <v>12.847599999999991</v>
      </c>
      <c r="F1204" s="2">
        <f t="shared" si="1224"/>
        <v>15.421999999999988</v>
      </c>
      <c r="G1204" s="2">
        <f t="shared" si="1226"/>
        <v>13.789400000000001</v>
      </c>
      <c r="H1204" s="2">
        <f t="shared" si="1227"/>
        <v>-7.7689150156050601E-3</v>
      </c>
      <c r="I1204" s="2">
        <f t="shared" ref="I1204:J1204" si="1275">LN(C1203)-LN(C1202)</f>
        <v>1.0990670024629945E-2</v>
      </c>
      <c r="J1204" s="2">
        <f t="shared" si="1275"/>
        <v>9.8119429732174135E-3</v>
      </c>
    </row>
    <row r="1205" spans="1:10" x14ac:dyDescent="0.45">
      <c r="A1205" s="1">
        <v>41933</v>
      </c>
      <c r="B1205">
        <v>82.49</v>
      </c>
      <c r="C1205">
        <v>2.4967000000000001</v>
      </c>
      <c r="D1205">
        <v>2.1558999999999999</v>
      </c>
      <c r="E1205" s="2">
        <f t="shared" si="1222"/>
        <v>12.829000000000008</v>
      </c>
      <c r="F1205" s="2">
        <f t="shared" si="1224"/>
        <v>12.847599999999991</v>
      </c>
      <c r="G1205" s="2">
        <f t="shared" si="1226"/>
        <v>15.421999999999988</v>
      </c>
      <c r="H1205" s="2">
        <f t="shared" si="1227"/>
        <v>-1.8296034865299404E-3</v>
      </c>
      <c r="I1205" s="2">
        <f t="shared" ref="I1205:J1205" si="1276">LN(C1204)-LN(C1203)</f>
        <v>-4.81619168232994E-3</v>
      </c>
      <c r="J1205" s="2">
        <f t="shared" si="1276"/>
        <v>-4.1751794680221721E-2</v>
      </c>
    </row>
    <row r="1206" spans="1:10" x14ac:dyDescent="0.45">
      <c r="A1206" s="1">
        <v>41934</v>
      </c>
      <c r="B1206">
        <v>80.52</v>
      </c>
      <c r="C1206">
        <v>2.4592000000000001</v>
      </c>
      <c r="D1206">
        <v>2.109</v>
      </c>
      <c r="E1206" s="2">
        <f t="shared" si="1222"/>
        <v>12.960800000000006</v>
      </c>
      <c r="F1206" s="2">
        <f t="shared" si="1224"/>
        <v>12.829000000000008</v>
      </c>
      <c r="G1206" s="2">
        <f t="shared" si="1226"/>
        <v>12.847599999999991</v>
      </c>
      <c r="H1206" s="2">
        <f t="shared" si="1227"/>
        <v>7.0559903451297146E-3</v>
      </c>
      <c r="I1206" s="2">
        <f t="shared" ref="I1206:J1206" si="1277">LN(C1205)-LN(C1204)</f>
        <v>4.4557808100387231E-3</v>
      </c>
      <c r="J1206" s="2">
        <f t="shared" si="1277"/>
        <v>6.7484490397917707E-3</v>
      </c>
    </row>
    <row r="1207" spans="1:10" x14ac:dyDescent="0.45">
      <c r="A1207" s="1">
        <v>41935</v>
      </c>
      <c r="B1207">
        <v>82.09</v>
      </c>
      <c r="C1207">
        <v>2.4864000000000002</v>
      </c>
      <c r="D1207">
        <v>2.1661999999999999</v>
      </c>
      <c r="E1207" s="2">
        <f t="shared" si="1222"/>
        <v>13.373200000000006</v>
      </c>
      <c r="F1207" s="2">
        <f t="shared" si="1224"/>
        <v>12.960800000000006</v>
      </c>
      <c r="G1207" s="2">
        <f t="shared" si="1226"/>
        <v>12.829000000000008</v>
      </c>
      <c r="H1207" s="2">
        <f t="shared" si="1227"/>
        <v>-2.4171473101048946E-2</v>
      </c>
      <c r="I1207" s="2">
        <f t="shared" ref="I1207:J1207" si="1278">LN(C1206)-LN(C1205)</f>
        <v>-1.5133766104544866E-2</v>
      </c>
      <c r="J1207" s="2">
        <f t="shared" si="1278"/>
        <v>-2.1994368285186749E-2</v>
      </c>
    </row>
    <row r="1208" spans="1:10" x14ac:dyDescent="0.45">
      <c r="A1208" s="1">
        <v>41936</v>
      </c>
      <c r="B1208">
        <v>81.010000000000005</v>
      </c>
      <c r="C1208">
        <v>2.4676</v>
      </c>
      <c r="D1208">
        <v>2.1423999999999999</v>
      </c>
      <c r="E1208" s="2">
        <f t="shared" si="1222"/>
        <v>13.523599999999988</v>
      </c>
      <c r="F1208" s="2">
        <f t="shared" si="1224"/>
        <v>13.373200000000006</v>
      </c>
      <c r="G1208" s="2">
        <f t="shared" si="1226"/>
        <v>12.960800000000006</v>
      </c>
      <c r="H1208" s="2">
        <f t="shared" si="1227"/>
        <v>1.9310605588583662E-2</v>
      </c>
      <c r="I1208" s="2">
        <f t="shared" ref="I1208:J1208" si="1279">LN(C1207)-LN(C1206)</f>
        <v>1.0999787388996873E-2</v>
      </c>
      <c r="J1208" s="2">
        <f t="shared" si="1279"/>
        <v>2.6760578922862099E-2</v>
      </c>
    </row>
    <row r="1209" spans="1:10" x14ac:dyDescent="0.45">
      <c r="A1209" s="1">
        <v>41939</v>
      </c>
      <c r="B1209">
        <v>81</v>
      </c>
      <c r="C1209">
        <v>2.4628999999999999</v>
      </c>
      <c r="D1209">
        <v>2.1345999999999998</v>
      </c>
      <c r="E1209" s="2">
        <f t="shared" si="1222"/>
        <v>13.2494</v>
      </c>
      <c r="F1209" s="2">
        <f t="shared" si="1224"/>
        <v>13.523599999999988</v>
      </c>
      <c r="G1209" s="2">
        <f t="shared" si="1226"/>
        <v>13.373200000000006</v>
      </c>
      <c r="H1209" s="2">
        <f t="shared" si="1227"/>
        <v>-1.3243602517774455E-2</v>
      </c>
      <c r="I1209" s="2">
        <f t="shared" ref="I1209:J1209" si="1280">LN(C1208)-LN(C1207)</f>
        <v>-7.5898628378447963E-3</v>
      </c>
      <c r="J1209" s="2">
        <f t="shared" si="1280"/>
        <v>-1.104778446472876E-2</v>
      </c>
    </row>
    <row r="1210" spans="1:10" x14ac:dyDescent="0.45">
      <c r="A1210" s="1">
        <v>41940</v>
      </c>
      <c r="B1210">
        <v>81.42</v>
      </c>
      <c r="C1210">
        <v>2.4807000000000001</v>
      </c>
      <c r="D1210">
        <v>2.1551999999999998</v>
      </c>
      <c r="E1210" s="2">
        <f t="shared" si="1222"/>
        <v>13.655399999999986</v>
      </c>
      <c r="F1210" s="2">
        <f t="shared" si="1224"/>
        <v>13.2494</v>
      </c>
      <c r="G1210" s="2">
        <f t="shared" si="1226"/>
        <v>13.523599999999988</v>
      </c>
      <c r="H1210" s="2">
        <f t="shared" si="1227"/>
        <v>-1.2344916996109845E-4</v>
      </c>
      <c r="I1210" s="2">
        <f t="shared" ref="I1210:J1210" si="1281">LN(C1209)-LN(C1208)</f>
        <v>-1.906500932403965E-3</v>
      </c>
      <c r="J1210" s="2">
        <f t="shared" si="1281"/>
        <v>-3.647420457043471E-3</v>
      </c>
    </row>
    <row r="1211" spans="1:10" x14ac:dyDescent="0.45">
      <c r="A1211" s="1">
        <v>41941</v>
      </c>
      <c r="B1211">
        <v>82.2</v>
      </c>
      <c r="C1211">
        <v>2.5234999999999999</v>
      </c>
      <c r="D1211">
        <v>2.1816</v>
      </c>
      <c r="E1211" s="2">
        <f t="shared" si="1222"/>
        <v>14.213799999999992</v>
      </c>
      <c r="F1211" s="2">
        <f t="shared" si="1224"/>
        <v>13.655399999999986</v>
      </c>
      <c r="G1211" s="2">
        <f t="shared" si="1226"/>
        <v>13.2494</v>
      </c>
      <c r="H1211" s="2">
        <f t="shared" si="1227"/>
        <v>5.171788402393851E-3</v>
      </c>
      <c r="I1211" s="2">
        <f t="shared" ref="I1211:J1211" si="1282">LN(C1210)-LN(C1209)</f>
        <v>7.201260993151215E-3</v>
      </c>
      <c r="J1211" s="2">
        <f t="shared" si="1282"/>
        <v>9.6042511762349791E-3</v>
      </c>
    </row>
    <row r="1212" spans="1:10" x14ac:dyDescent="0.45">
      <c r="A1212" s="1">
        <v>41942</v>
      </c>
      <c r="B1212">
        <v>81.12</v>
      </c>
      <c r="C1212">
        <v>2.5049999999999999</v>
      </c>
      <c r="D1212">
        <v>2.161</v>
      </c>
      <c r="E1212" s="2">
        <f t="shared" si="1222"/>
        <v>14.45799999999999</v>
      </c>
      <c r="F1212" s="2">
        <f t="shared" si="1224"/>
        <v>14.213799999999992</v>
      </c>
      <c r="G1212" s="2">
        <f t="shared" si="1226"/>
        <v>13.655399999999986</v>
      </c>
      <c r="H1212" s="2">
        <f t="shared" si="1227"/>
        <v>9.5343589873015944E-3</v>
      </c>
      <c r="I1212" s="2">
        <f t="shared" ref="I1212:J1212" si="1283">LN(C1211)-LN(C1210)</f>
        <v>1.7106048384086248E-2</v>
      </c>
      <c r="J1212" s="2">
        <f t="shared" si="1283"/>
        <v>1.2175025875279299E-2</v>
      </c>
    </row>
    <row r="1213" spans="1:10" x14ac:dyDescent="0.45">
      <c r="A1213" s="1">
        <v>41943</v>
      </c>
      <c r="B1213">
        <v>80.540000000000006</v>
      </c>
      <c r="C1213">
        <v>2.5108999999999999</v>
      </c>
      <c r="D1213">
        <v>2.1478000000000002</v>
      </c>
      <c r="E1213" s="2">
        <f t="shared" si="1222"/>
        <v>14.751000000000014</v>
      </c>
      <c r="F1213" s="2">
        <f t="shared" si="1224"/>
        <v>14.45799999999999</v>
      </c>
      <c r="G1213" s="2">
        <f t="shared" si="1226"/>
        <v>14.213799999999992</v>
      </c>
      <c r="H1213" s="2">
        <f t="shared" si="1227"/>
        <v>-1.3225762219261306E-2</v>
      </c>
      <c r="I1213" s="2">
        <f t="shared" ref="I1213:J1213" si="1284">LN(C1212)-LN(C1211)</f>
        <v>-7.3580922613518673E-3</v>
      </c>
      <c r="J1213" s="2">
        <f t="shared" si="1284"/>
        <v>-9.4874750244927641E-3</v>
      </c>
    </row>
    <row r="1214" spans="1:10" x14ac:dyDescent="0.45">
      <c r="A1214" s="1">
        <v>41946</v>
      </c>
      <c r="B1214">
        <v>78.78</v>
      </c>
      <c r="C1214">
        <v>2.4899</v>
      </c>
      <c r="D1214">
        <v>2.1175999999999999</v>
      </c>
      <c r="E1214" s="2">
        <f t="shared" si="1222"/>
        <v>15.371400000000003</v>
      </c>
      <c r="F1214" s="2">
        <f t="shared" si="1224"/>
        <v>14.751000000000014</v>
      </c>
      <c r="G1214" s="2">
        <f t="shared" si="1226"/>
        <v>14.45799999999999</v>
      </c>
      <c r="H1214" s="2">
        <f t="shared" si="1227"/>
        <v>-7.1755844195653395E-3</v>
      </c>
      <c r="I1214" s="2">
        <f t="shared" ref="I1214:J1214" si="1285">LN(C1213)-LN(C1212)</f>
        <v>2.3525200745849739E-3</v>
      </c>
      <c r="J1214" s="2">
        <f t="shared" si="1285"/>
        <v>-6.1270150827698044E-3</v>
      </c>
    </row>
    <row r="1215" spans="1:10" x14ac:dyDescent="0.45">
      <c r="A1215" s="1">
        <v>41947</v>
      </c>
      <c r="B1215">
        <v>77.19</v>
      </c>
      <c r="C1215">
        <v>2.4426999999999999</v>
      </c>
      <c r="D1215">
        <v>2.0779999999999998</v>
      </c>
      <c r="E1215" s="2">
        <f t="shared" si="1222"/>
        <v>15.191800000000001</v>
      </c>
      <c r="F1215" s="2">
        <f t="shared" si="1224"/>
        <v>15.371400000000003</v>
      </c>
      <c r="G1215" s="2">
        <f t="shared" si="1226"/>
        <v>14.751000000000014</v>
      </c>
      <c r="H1215" s="2">
        <f t="shared" si="1227"/>
        <v>-2.2094797880548356E-2</v>
      </c>
      <c r="I1215" s="2">
        <f t="shared" ref="I1215:J1215" si="1286">LN(C1214)-LN(C1213)</f>
        <v>-8.3987055838273816E-3</v>
      </c>
      <c r="J1215" s="2">
        <f t="shared" si="1286"/>
        <v>-1.4160690511224705E-2</v>
      </c>
    </row>
    <row r="1216" spans="1:10" x14ac:dyDescent="0.45">
      <c r="A1216" s="1">
        <v>41948</v>
      </c>
      <c r="B1216">
        <v>78.680000000000007</v>
      </c>
      <c r="C1216">
        <v>2.4386999999999999</v>
      </c>
      <c r="D1216">
        <v>2.0867</v>
      </c>
      <c r="E1216" s="2">
        <f t="shared" si="1222"/>
        <v>13.889400000000004</v>
      </c>
      <c r="F1216" s="2">
        <f t="shared" si="1224"/>
        <v>15.191800000000001</v>
      </c>
      <c r="G1216" s="2">
        <f t="shared" si="1226"/>
        <v>15.371400000000003</v>
      </c>
      <c r="H1216" s="2">
        <f t="shared" si="1227"/>
        <v>-2.0389242580996836E-2</v>
      </c>
      <c r="I1216" s="2">
        <f t="shared" ref="I1216:J1216" si="1287">LN(C1215)-LN(C1214)</f>
        <v>-1.9138564128766467E-2</v>
      </c>
      <c r="J1216" s="2">
        <f t="shared" si="1287"/>
        <v>-1.8877479253718854E-2</v>
      </c>
    </row>
    <row r="1217" spans="1:10" x14ac:dyDescent="0.45">
      <c r="A1217" s="1">
        <v>41949</v>
      </c>
      <c r="B1217">
        <v>77.91</v>
      </c>
      <c r="C1217">
        <v>2.4586999999999999</v>
      </c>
      <c r="D1217">
        <v>2.1301000000000001</v>
      </c>
      <c r="E1217" s="2">
        <f t="shared" si="1222"/>
        <v>16.154600000000006</v>
      </c>
      <c r="F1217" s="2">
        <f t="shared" si="1224"/>
        <v>13.889400000000004</v>
      </c>
      <c r="G1217" s="2">
        <f t="shared" si="1226"/>
        <v>15.191800000000001</v>
      </c>
      <c r="H1217" s="2">
        <f t="shared" si="1227"/>
        <v>1.9119078559096003E-2</v>
      </c>
      <c r="I1217" s="2">
        <f t="shared" ref="I1217:J1217" si="1288">LN(C1216)-LN(C1215)</f>
        <v>-1.6388744603200722E-3</v>
      </c>
      <c r="J1217" s="2">
        <f t="shared" si="1288"/>
        <v>4.1779780801664002E-3</v>
      </c>
    </row>
    <row r="1218" spans="1:10" x14ac:dyDescent="0.45">
      <c r="A1218" s="1">
        <v>41950</v>
      </c>
      <c r="B1218">
        <v>78.650000000000006</v>
      </c>
      <c r="C1218">
        <v>2.4994999999999998</v>
      </c>
      <c r="D1218">
        <v>2.1352000000000002</v>
      </c>
      <c r="E1218" s="2">
        <f t="shared" si="1222"/>
        <v>16.128599999999995</v>
      </c>
      <c r="F1218" s="2">
        <f t="shared" si="1224"/>
        <v>16.154600000000006</v>
      </c>
      <c r="G1218" s="2">
        <f t="shared" si="1226"/>
        <v>13.889400000000004</v>
      </c>
      <c r="H1218" s="2">
        <f t="shared" si="1227"/>
        <v>-9.8346791780921095E-3</v>
      </c>
      <c r="I1218" s="2">
        <f t="shared" ref="I1218:J1218" si="1289">LN(C1217)-LN(C1216)</f>
        <v>8.1676445395129083E-3</v>
      </c>
      <c r="J1218" s="2">
        <f t="shared" si="1289"/>
        <v>2.0585056218899722E-2</v>
      </c>
    </row>
    <row r="1219" spans="1:10" x14ac:dyDescent="0.45">
      <c r="A1219" s="1">
        <v>41953</v>
      </c>
      <c r="B1219">
        <v>77.400000000000006</v>
      </c>
      <c r="C1219">
        <v>2.4693000000000001</v>
      </c>
      <c r="D1219">
        <v>2.1011000000000002</v>
      </c>
      <c r="E1219" s="2">
        <f t="shared" ref="E1219:E1282" si="1290">(2*D1219*42+1*C1219*42-3*B1219)/3</f>
        <v>16.000999999999987</v>
      </c>
      <c r="F1219" s="2">
        <f t="shared" si="1224"/>
        <v>16.128599999999995</v>
      </c>
      <c r="G1219" s="2">
        <f t="shared" si="1226"/>
        <v>16.154600000000006</v>
      </c>
      <c r="H1219" s="2">
        <f t="shared" si="1227"/>
        <v>9.4533151615205924E-3</v>
      </c>
      <c r="I1219" s="2">
        <f t="shared" ref="I1219:J1219" si="1291">LN(C1218)-LN(C1217)</f>
        <v>1.6457956893475845E-2</v>
      </c>
      <c r="J1219" s="2">
        <f t="shared" si="1291"/>
        <v>2.3913921320757314E-3</v>
      </c>
    </row>
    <row r="1220" spans="1:10" x14ac:dyDescent="0.45">
      <c r="A1220" s="1">
        <v>41954</v>
      </c>
      <c r="B1220">
        <v>77.94</v>
      </c>
      <c r="C1220">
        <v>2.4687000000000001</v>
      </c>
      <c r="D1220">
        <v>2.1036000000000001</v>
      </c>
      <c r="E1220" s="2">
        <f t="shared" si="1290"/>
        <v>15.522600000000011</v>
      </c>
      <c r="F1220" s="2">
        <f t="shared" ref="F1220:F1283" si="1292">E1219</f>
        <v>16.000999999999987</v>
      </c>
      <c r="G1220" s="2">
        <f t="shared" si="1226"/>
        <v>16.128599999999995</v>
      </c>
      <c r="H1220" s="2">
        <f t="shared" si="1227"/>
        <v>-1.6020848908605778E-2</v>
      </c>
      <c r="I1220" s="2">
        <f t="shared" ref="I1220:J1220" si="1293">LN(C1219)-LN(C1218)</f>
        <v>-1.2156002206917038E-2</v>
      </c>
      <c r="J1220" s="2">
        <f t="shared" si="1293"/>
        <v>-1.6099301995310955E-2</v>
      </c>
    </row>
    <row r="1221" spans="1:10" x14ac:dyDescent="0.45">
      <c r="A1221" s="1">
        <v>41955</v>
      </c>
      <c r="B1221">
        <v>77.180000000000007</v>
      </c>
      <c r="C1221">
        <v>2.4468999999999999</v>
      </c>
      <c r="D1221">
        <v>2.1070000000000002</v>
      </c>
      <c r="E1221" s="2">
        <f t="shared" si="1290"/>
        <v>16.072600000000005</v>
      </c>
      <c r="F1221" s="2">
        <f t="shared" si="1292"/>
        <v>15.522600000000011</v>
      </c>
      <c r="G1221" s="2">
        <f t="shared" ref="G1221:G1284" si="1294">E1219</f>
        <v>16.000999999999987</v>
      </c>
      <c r="H1221" s="2">
        <f t="shared" ref="H1221:H1284" si="1295">LN(B1220)-LN(B1219)</f>
        <v>6.9525193148818332E-3</v>
      </c>
      <c r="I1221" s="2">
        <f t="shared" ref="I1221:J1221" si="1296">LN(C1220)-LN(C1219)</f>
        <v>-2.4301336693099973E-4</v>
      </c>
      <c r="J1221" s="2">
        <f t="shared" si="1296"/>
        <v>1.1891456201856831E-3</v>
      </c>
    </row>
    <row r="1222" spans="1:10" x14ac:dyDescent="0.45">
      <c r="A1222" s="1">
        <v>41956</v>
      </c>
      <c r="B1222">
        <v>74.209999999999994</v>
      </c>
      <c r="C1222">
        <v>2.3620999999999999</v>
      </c>
      <c r="D1222">
        <v>2.0015999999999998</v>
      </c>
      <c r="E1222" s="2">
        <f t="shared" si="1290"/>
        <v>14.904199999999983</v>
      </c>
      <c r="F1222" s="2">
        <f t="shared" si="1292"/>
        <v>16.072600000000005</v>
      </c>
      <c r="G1222" s="2">
        <f t="shared" si="1294"/>
        <v>15.522600000000011</v>
      </c>
      <c r="H1222" s="2">
        <f t="shared" si="1295"/>
        <v>-9.7989438010905872E-3</v>
      </c>
      <c r="I1222" s="2">
        <f t="shared" ref="I1222:J1222" si="1297">LN(C1221)-LN(C1220)</f>
        <v>-8.8697790391381037E-3</v>
      </c>
      <c r="J1222" s="2">
        <f t="shared" si="1297"/>
        <v>1.6149720889998553E-3</v>
      </c>
    </row>
    <row r="1223" spans="1:10" x14ac:dyDescent="0.45">
      <c r="A1223" s="1">
        <v>41957</v>
      </c>
      <c r="B1223">
        <v>75.819999999999993</v>
      </c>
      <c r="C1223">
        <v>2.4161000000000001</v>
      </c>
      <c r="D1223">
        <v>2.0425</v>
      </c>
      <c r="E1223" s="2">
        <f t="shared" si="1290"/>
        <v>15.195400000000006</v>
      </c>
      <c r="F1223" s="2">
        <f t="shared" si="1292"/>
        <v>14.904199999999983</v>
      </c>
      <c r="G1223" s="2">
        <f t="shared" si="1294"/>
        <v>16.072600000000005</v>
      </c>
      <c r="H1223" s="2">
        <f t="shared" si="1295"/>
        <v>-3.9241444127430469E-2</v>
      </c>
      <c r="I1223" s="2">
        <f t="shared" ref="I1223:J1223" si="1298">LN(C1222)-LN(C1221)</f>
        <v>-3.5270863376976713E-2</v>
      </c>
      <c r="J1223" s="2">
        <f t="shared" si="1298"/>
        <v>-5.1318274091542437E-2</v>
      </c>
    </row>
    <row r="1224" spans="1:10" x14ac:dyDescent="0.45">
      <c r="A1224" s="1">
        <v>41960</v>
      </c>
      <c r="B1224">
        <v>75.64</v>
      </c>
      <c r="C1224">
        <v>2.4039000000000001</v>
      </c>
      <c r="D1224">
        <v>2.0263</v>
      </c>
      <c r="E1224" s="2">
        <f t="shared" si="1290"/>
        <v>14.750999999999996</v>
      </c>
      <c r="F1224" s="2">
        <f t="shared" si="1292"/>
        <v>15.195400000000006</v>
      </c>
      <c r="G1224" s="2">
        <f t="shared" si="1294"/>
        <v>14.904199999999983</v>
      </c>
      <c r="H1224" s="2">
        <f t="shared" si="1295"/>
        <v>2.1463198106146386E-2</v>
      </c>
      <c r="I1224" s="2">
        <f t="shared" ref="I1224:J1224" si="1299">LN(C1223)-LN(C1222)</f>
        <v>2.2603616062947696E-2</v>
      </c>
      <c r="J1224" s="2">
        <f t="shared" si="1299"/>
        <v>2.0227687021511342E-2</v>
      </c>
    </row>
    <row r="1225" spans="1:10" x14ac:dyDescent="0.45">
      <c r="A1225" s="1">
        <v>41961</v>
      </c>
      <c r="B1225">
        <v>74.64</v>
      </c>
      <c r="C1225">
        <v>2.3626</v>
      </c>
      <c r="D1225">
        <v>2.0236000000000001</v>
      </c>
      <c r="E1225" s="2">
        <f t="shared" si="1290"/>
        <v>15.097200000000006</v>
      </c>
      <c r="F1225" s="2">
        <f t="shared" si="1292"/>
        <v>14.750999999999996</v>
      </c>
      <c r="G1225" s="2">
        <f t="shared" si="1294"/>
        <v>15.195400000000006</v>
      </c>
      <c r="H1225" s="2">
        <f t="shared" si="1295"/>
        <v>-2.3768662979319899E-3</v>
      </c>
      <c r="I1225" s="2">
        <f t="shared" ref="I1225:J1225" si="1300">LN(C1224)-LN(C1223)</f>
        <v>-5.0622514744752545E-3</v>
      </c>
      <c r="J1225" s="2">
        <f t="shared" si="1300"/>
        <v>-7.9630778628745347E-3</v>
      </c>
    </row>
    <row r="1226" spans="1:10" x14ac:dyDescent="0.45">
      <c r="A1226" s="1">
        <v>41962</v>
      </c>
      <c r="B1226">
        <v>74.5</v>
      </c>
      <c r="C1226">
        <v>2.3412000000000002</v>
      </c>
      <c r="D1226">
        <v>2.0225</v>
      </c>
      <c r="E1226" s="2">
        <f t="shared" si="1290"/>
        <v>14.906799999999995</v>
      </c>
      <c r="F1226" s="2">
        <f t="shared" si="1292"/>
        <v>15.097200000000006</v>
      </c>
      <c r="G1226" s="2">
        <f t="shared" si="1294"/>
        <v>14.750999999999996</v>
      </c>
      <c r="H1226" s="2">
        <f t="shared" si="1295"/>
        <v>-1.3308687251168294E-2</v>
      </c>
      <c r="I1226" s="2">
        <f t="shared" ref="I1226:J1226" si="1301">LN(C1225)-LN(C1224)</f>
        <v>-1.7329710937714959E-2</v>
      </c>
      <c r="J1226" s="2">
        <f t="shared" si="1301"/>
        <v>-1.3333664535023493E-3</v>
      </c>
    </row>
    <row r="1227" spans="1:10" x14ac:dyDescent="0.45">
      <c r="A1227" s="1">
        <v>41963</v>
      </c>
      <c r="B1227">
        <v>75.849999999999994</v>
      </c>
      <c r="C1227">
        <v>2.363</v>
      </c>
      <c r="D1227">
        <v>2.0150000000000001</v>
      </c>
      <c r="E1227" s="2">
        <f t="shared" si="1290"/>
        <v>13.652000000000015</v>
      </c>
      <c r="F1227" s="2">
        <f t="shared" si="1292"/>
        <v>14.906799999999995</v>
      </c>
      <c r="G1227" s="2">
        <f t="shared" si="1294"/>
        <v>15.097200000000006</v>
      </c>
      <c r="H1227" s="2">
        <f t="shared" si="1295"/>
        <v>-1.8774311535745269E-3</v>
      </c>
      <c r="I1227" s="2">
        <f t="shared" ref="I1227:J1227" si="1302">LN(C1226)-LN(C1225)</f>
        <v>-9.0990890973536853E-3</v>
      </c>
      <c r="J1227" s="2">
        <f t="shared" si="1302"/>
        <v>-5.4373348513436781E-4</v>
      </c>
    </row>
    <row r="1228" spans="1:10" x14ac:dyDescent="0.45">
      <c r="A1228" s="1">
        <v>41964</v>
      </c>
      <c r="B1228">
        <v>76.510000000000005</v>
      </c>
      <c r="C1228">
        <v>2.3813</v>
      </c>
      <c r="D1228">
        <v>2.0438999999999998</v>
      </c>
      <c r="E1228" s="2">
        <f t="shared" si="1290"/>
        <v>14.057399999999973</v>
      </c>
      <c r="F1228" s="2">
        <f t="shared" si="1292"/>
        <v>13.652000000000015</v>
      </c>
      <c r="G1228" s="2">
        <f t="shared" si="1294"/>
        <v>14.906799999999995</v>
      </c>
      <c r="H1228" s="2">
        <f t="shared" si="1295"/>
        <v>1.7958580409027647E-2</v>
      </c>
      <c r="I1228" s="2">
        <f t="shared" ref="I1228:J1228" si="1303">LN(C1227)-LN(C1226)</f>
        <v>9.2683797698418502E-3</v>
      </c>
      <c r="J1228" s="2">
        <f t="shared" si="1303"/>
        <v>-3.7151745518633206E-3</v>
      </c>
    </row>
    <row r="1229" spans="1:10" x14ac:dyDescent="0.45">
      <c r="A1229" s="1">
        <v>41967</v>
      </c>
      <c r="B1229">
        <v>75.78</v>
      </c>
      <c r="C1229">
        <v>2.3668</v>
      </c>
      <c r="D1229">
        <v>2.0217000000000001</v>
      </c>
      <c r="E1229" s="2">
        <f t="shared" si="1290"/>
        <v>13.962800000000007</v>
      </c>
      <c r="F1229" s="2">
        <f t="shared" si="1292"/>
        <v>14.057399999999973</v>
      </c>
      <c r="G1229" s="2">
        <f t="shared" si="1294"/>
        <v>13.652000000000015</v>
      </c>
      <c r="H1229" s="2">
        <f t="shared" si="1295"/>
        <v>8.6637454492191068E-3</v>
      </c>
      <c r="I1229" s="2">
        <f t="shared" ref="I1229:J1229" si="1304">LN(C1228)-LN(C1227)</f>
        <v>7.7145588429895495E-3</v>
      </c>
      <c r="J1229" s="2">
        <f t="shared" si="1304"/>
        <v>1.4240552066948631E-2</v>
      </c>
    </row>
    <row r="1230" spans="1:10" x14ac:dyDescent="0.45">
      <c r="A1230" s="1">
        <v>41968</v>
      </c>
      <c r="B1230">
        <v>74.09</v>
      </c>
      <c r="C1230">
        <v>2.3477000000000001</v>
      </c>
      <c r="D1230">
        <v>2.0123000000000002</v>
      </c>
      <c r="E1230" s="2">
        <f t="shared" si="1290"/>
        <v>15.122200000000012</v>
      </c>
      <c r="F1230" s="2">
        <f t="shared" si="1292"/>
        <v>13.962800000000007</v>
      </c>
      <c r="G1230" s="2">
        <f t="shared" si="1294"/>
        <v>14.057399999999973</v>
      </c>
      <c r="H1230" s="2">
        <f t="shared" si="1295"/>
        <v>-9.5870456533058146E-3</v>
      </c>
      <c r="I1230" s="2">
        <f t="shared" ref="I1230:J1230" si="1305">LN(C1229)-LN(C1228)</f>
        <v>-6.1077252273583627E-3</v>
      </c>
      <c r="J1230" s="2">
        <f t="shared" si="1305"/>
        <v>-1.0921005827451036E-2</v>
      </c>
    </row>
    <row r="1231" spans="1:10" x14ac:dyDescent="0.45">
      <c r="A1231" s="1">
        <v>41969</v>
      </c>
      <c r="B1231">
        <v>73.69</v>
      </c>
      <c r="C1231">
        <v>2.3290999999999999</v>
      </c>
      <c r="D1231">
        <v>2.0118999999999998</v>
      </c>
      <c r="E1231" s="2">
        <f t="shared" si="1290"/>
        <v>15.2506</v>
      </c>
      <c r="F1231" s="2">
        <f t="shared" si="1292"/>
        <v>15.122200000000012</v>
      </c>
      <c r="G1231" s="2">
        <f t="shared" si="1294"/>
        <v>13.962800000000007</v>
      </c>
      <c r="H1231" s="2">
        <f t="shared" si="1295"/>
        <v>-2.2553835161889246E-2</v>
      </c>
      <c r="I1231" s="2">
        <f t="shared" ref="I1231:J1231" si="1306">LN(C1230)-LN(C1229)</f>
        <v>-8.1027063310764591E-3</v>
      </c>
      <c r="J1231" s="2">
        <f t="shared" si="1306"/>
        <v>-4.6603951479583516E-3</v>
      </c>
    </row>
    <row r="1232" spans="1:10" x14ac:dyDescent="0.45">
      <c r="A1232" s="1">
        <v>41971</v>
      </c>
      <c r="B1232">
        <v>66.150000000000006</v>
      </c>
      <c r="C1232">
        <v>2.1612</v>
      </c>
      <c r="D1232">
        <v>1.8275999999999999</v>
      </c>
      <c r="E1232" s="2">
        <f t="shared" si="1290"/>
        <v>15.279599999999988</v>
      </c>
      <c r="F1232" s="2">
        <f t="shared" si="1292"/>
        <v>15.2506</v>
      </c>
      <c r="G1232" s="2">
        <f t="shared" si="1294"/>
        <v>15.122200000000012</v>
      </c>
      <c r="H1232" s="2">
        <f t="shared" si="1295"/>
        <v>-5.4134656496573896E-3</v>
      </c>
      <c r="I1232" s="2">
        <f t="shared" ref="I1232:J1232" si="1307">LN(C1231)-LN(C1230)</f>
        <v>-7.9541986261008057E-3</v>
      </c>
      <c r="J1232" s="2">
        <f t="shared" si="1307"/>
        <v>-1.9879727713223438E-4</v>
      </c>
    </row>
    <row r="1233" spans="1:10" x14ac:dyDescent="0.45">
      <c r="A1233" s="1">
        <v>41974</v>
      </c>
      <c r="B1233">
        <v>69</v>
      </c>
      <c r="C1233">
        <v>2.2124000000000001</v>
      </c>
      <c r="D1233">
        <v>1.881</v>
      </c>
      <c r="E1233" s="2">
        <f t="shared" si="1290"/>
        <v>14.641600000000002</v>
      </c>
      <c r="F1233" s="2">
        <f t="shared" si="1292"/>
        <v>15.279599999999988</v>
      </c>
      <c r="G1233" s="2">
        <f t="shared" si="1294"/>
        <v>15.2506</v>
      </c>
      <c r="H1233" s="2">
        <f t="shared" si="1295"/>
        <v>-0.10794221421794337</v>
      </c>
      <c r="I1233" s="2">
        <f t="shared" ref="I1233:J1233" si="1308">LN(C1232)-LN(C1231)</f>
        <v>-7.4818303875450964E-2</v>
      </c>
      <c r="J1233" s="2">
        <f t="shared" si="1308"/>
        <v>-9.6075918506073998E-2</v>
      </c>
    </row>
    <row r="1234" spans="1:10" x14ac:dyDescent="0.45">
      <c r="A1234" s="1">
        <v>41975</v>
      </c>
      <c r="B1234">
        <v>66.88</v>
      </c>
      <c r="C1234">
        <v>2.1543999999999999</v>
      </c>
      <c r="D1234">
        <v>1.8116000000000001</v>
      </c>
      <c r="E1234" s="2">
        <f t="shared" si="1290"/>
        <v>14.006400000000005</v>
      </c>
      <c r="F1234" s="2">
        <f t="shared" si="1292"/>
        <v>14.641600000000002</v>
      </c>
      <c r="G1234" s="2">
        <f t="shared" si="1294"/>
        <v>15.279599999999988</v>
      </c>
      <c r="H1234" s="2">
        <f t="shared" si="1295"/>
        <v>4.2181614036294945E-2</v>
      </c>
      <c r="I1234" s="2">
        <f t="shared" ref="I1234:J1234" si="1309">LN(C1233)-LN(C1232)</f>
        <v>2.3414276150612312E-2</v>
      </c>
      <c r="J1234" s="2">
        <f t="shared" si="1309"/>
        <v>2.8799919611913971E-2</v>
      </c>
    </row>
    <row r="1235" spans="1:10" x14ac:dyDescent="0.45">
      <c r="A1235" s="1">
        <v>41976</v>
      </c>
      <c r="B1235">
        <v>67.38</v>
      </c>
      <c r="C1235">
        <v>2.1334</v>
      </c>
      <c r="D1235">
        <v>1.8069999999999999</v>
      </c>
      <c r="E1235" s="2">
        <f t="shared" si="1290"/>
        <v>13.083599999999999</v>
      </c>
      <c r="F1235" s="2">
        <f t="shared" si="1292"/>
        <v>14.006400000000005</v>
      </c>
      <c r="G1235" s="2">
        <f t="shared" si="1294"/>
        <v>14.641600000000002</v>
      </c>
      <c r="H1235" s="2">
        <f t="shared" si="1295"/>
        <v>-3.1206535820813563E-2</v>
      </c>
      <c r="I1235" s="2">
        <f t="shared" ref="I1235:J1235" si="1310">LN(C1234)-LN(C1233)</f>
        <v>-2.6565636623133937E-2</v>
      </c>
      <c r="J1235" s="2">
        <f t="shared" si="1310"/>
        <v>-3.759311761897155E-2</v>
      </c>
    </row>
    <row r="1236" spans="1:10" x14ac:dyDescent="0.45">
      <c r="A1236" s="1">
        <v>41977</v>
      </c>
      <c r="B1236">
        <v>66.81</v>
      </c>
      <c r="C1236">
        <v>2.1177000000000001</v>
      </c>
      <c r="D1236">
        <v>1.7948</v>
      </c>
      <c r="E1236" s="2">
        <f t="shared" si="1290"/>
        <v>13.092199999999991</v>
      </c>
      <c r="F1236" s="2">
        <f t="shared" si="1292"/>
        <v>13.083599999999999</v>
      </c>
      <c r="G1236" s="2">
        <f t="shared" si="1294"/>
        <v>14.006400000000005</v>
      </c>
      <c r="H1236" s="2">
        <f t="shared" si="1295"/>
        <v>7.4482692019604002E-3</v>
      </c>
      <c r="I1236" s="2">
        <f t="shared" ref="I1236:J1236" si="1311">LN(C1235)-LN(C1234)</f>
        <v>-9.7953113060066377E-3</v>
      </c>
      <c r="J1236" s="2">
        <f t="shared" si="1311"/>
        <v>-2.5424210898303823E-3</v>
      </c>
    </row>
    <row r="1237" spans="1:10" x14ac:dyDescent="0.45">
      <c r="A1237" s="1">
        <v>41978</v>
      </c>
      <c r="B1237">
        <v>65.84</v>
      </c>
      <c r="C1237">
        <v>2.1078000000000001</v>
      </c>
      <c r="D1237">
        <v>1.7734000000000001</v>
      </c>
      <c r="E1237" s="2">
        <f t="shared" si="1290"/>
        <v>13.324399999999997</v>
      </c>
      <c r="F1237" s="2">
        <f t="shared" si="1292"/>
        <v>13.092199999999991</v>
      </c>
      <c r="G1237" s="2">
        <f t="shared" si="1294"/>
        <v>13.083599999999999</v>
      </c>
      <c r="H1237" s="2">
        <f t="shared" si="1295"/>
        <v>-8.4954680410209704E-3</v>
      </c>
      <c r="I1237" s="2">
        <f t="shared" ref="I1237:J1237" si="1312">LN(C1236)-LN(C1235)</f>
        <v>-7.3863571218462098E-3</v>
      </c>
      <c r="J1237" s="2">
        <f t="shared" si="1312"/>
        <v>-6.7744164904002258E-3</v>
      </c>
    </row>
    <row r="1238" spans="1:10" x14ac:dyDescent="0.45">
      <c r="A1238" s="1">
        <v>41981</v>
      </c>
      <c r="B1238">
        <v>63.05</v>
      </c>
      <c r="C1238">
        <v>2.0548999999999999</v>
      </c>
      <c r="D1238">
        <v>1.7065999999999999</v>
      </c>
      <c r="E1238" s="2">
        <f t="shared" si="1290"/>
        <v>13.503400000000008</v>
      </c>
      <c r="F1238" s="2">
        <f t="shared" si="1292"/>
        <v>13.324399999999997</v>
      </c>
      <c r="G1238" s="2">
        <f t="shared" si="1294"/>
        <v>13.092199999999991</v>
      </c>
      <c r="H1238" s="2">
        <f t="shared" si="1295"/>
        <v>-1.4625213568571382E-2</v>
      </c>
      <c r="I1238" s="2">
        <f t="shared" ref="I1238:J1238" si="1313">LN(C1237)-LN(C1236)</f>
        <v>-4.6858445696998929E-3</v>
      </c>
      <c r="J1238" s="2">
        <f t="shared" si="1313"/>
        <v>-1.199498715592151E-2</v>
      </c>
    </row>
    <row r="1239" spans="1:10" x14ac:dyDescent="0.45">
      <c r="A1239" s="1">
        <v>41982</v>
      </c>
      <c r="B1239">
        <v>63.82</v>
      </c>
      <c r="C1239">
        <v>2.0840000000000001</v>
      </c>
      <c r="D1239">
        <v>1.7236</v>
      </c>
      <c r="E1239" s="2">
        <f t="shared" si="1290"/>
        <v>13.616800000000003</v>
      </c>
      <c r="F1239" s="2">
        <f t="shared" si="1292"/>
        <v>13.503400000000008</v>
      </c>
      <c r="G1239" s="2">
        <f t="shared" si="1294"/>
        <v>13.324399999999997</v>
      </c>
      <c r="H1239" s="2">
        <f t="shared" si="1295"/>
        <v>-4.329949395788546E-2</v>
      </c>
      <c r="I1239" s="2">
        <f t="shared" ref="I1239:J1239" si="1314">LN(C1238)-LN(C1237)</f>
        <v>-2.5417564554011896E-2</v>
      </c>
      <c r="J1239" s="2">
        <f t="shared" si="1314"/>
        <v>-3.8395520843422348E-2</v>
      </c>
    </row>
    <row r="1240" spans="1:10" x14ac:dyDescent="0.45">
      <c r="A1240" s="1">
        <v>41983</v>
      </c>
      <c r="B1240">
        <v>60.94</v>
      </c>
      <c r="C1240">
        <v>2.0464000000000002</v>
      </c>
      <c r="D1240">
        <v>1.6417999999999999</v>
      </c>
      <c r="E1240" s="2">
        <f t="shared" si="1290"/>
        <v>13.680000000000007</v>
      </c>
      <c r="F1240" s="2">
        <f t="shared" si="1292"/>
        <v>13.616800000000003</v>
      </c>
      <c r="G1240" s="2">
        <f t="shared" si="1294"/>
        <v>13.503400000000008</v>
      </c>
      <c r="H1240" s="2">
        <f t="shared" si="1295"/>
        <v>1.2138558439168889E-2</v>
      </c>
      <c r="I1240" s="2">
        <f t="shared" ref="I1240:J1240" si="1315">LN(C1239)-LN(C1238)</f>
        <v>1.4061938927433126E-2</v>
      </c>
      <c r="J1240" s="2">
        <f t="shared" si="1315"/>
        <v>9.9120396391986221E-3</v>
      </c>
    </row>
    <row r="1241" spans="1:10" x14ac:dyDescent="0.45">
      <c r="A1241" s="1">
        <v>41984</v>
      </c>
      <c r="B1241">
        <v>59.95</v>
      </c>
      <c r="C1241">
        <v>2.0613999999999999</v>
      </c>
      <c r="D1241">
        <v>1.6244000000000001</v>
      </c>
      <c r="E1241" s="2">
        <f t="shared" si="1290"/>
        <v>14.392799999999994</v>
      </c>
      <c r="F1241" s="2">
        <f t="shared" si="1292"/>
        <v>13.680000000000007</v>
      </c>
      <c r="G1241" s="2">
        <f t="shared" si="1294"/>
        <v>13.616800000000003</v>
      </c>
      <c r="H1241" s="2">
        <f t="shared" si="1295"/>
        <v>-4.6176847292534795E-2</v>
      </c>
      <c r="I1241" s="2">
        <f t="shared" ref="I1241:J1241" si="1316">LN(C1240)-LN(C1239)</f>
        <v>-1.8206972048679271E-2</v>
      </c>
      <c r="J1241" s="2">
        <f t="shared" si="1316"/>
        <v>-4.8621925827517287E-2</v>
      </c>
    </row>
    <row r="1242" spans="1:10" x14ac:dyDescent="0.45">
      <c r="A1242" s="1">
        <v>41985</v>
      </c>
      <c r="B1242">
        <v>57.81</v>
      </c>
      <c r="C1242">
        <v>2.016</v>
      </c>
      <c r="D1242">
        <v>1.5972999999999999</v>
      </c>
      <c r="E1242" s="2">
        <f t="shared" si="1290"/>
        <v>15.138399999999999</v>
      </c>
      <c r="F1242" s="2">
        <f t="shared" si="1292"/>
        <v>14.392799999999994</v>
      </c>
      <c r="G1242" s="2">
        <f t="shared" si="1294"/>
        <v>13.680000000000007</v>
      </c>
      <c r="H1242" s="2">
        <f t="shared" si="1295"/>
        <v>-1.6378892084039087E-2</v>
      </c>
      <c r="I1242" s="2">
        <f t="shared" ref="I1242:J1242" si="1317">LN(C1241)-LN(C1240)</f>
        <v>7.3032117781139938E-3</v>
      </c>
      <c r="J1242" s="2">
        <f t="shared" si="1317"/>
        <v>-1.0654684102022971E-2</v>
      </c>
    </row>
    <row r="1243" spans="1:10" x14ac:dyDescent="0.45">
      <c r="A1243" s="1">
        <v>41988</v>
      </c>
      <c r="B1243">
        <v>55.91</v>
      </c>
      <c r="C1243">
        <v>2.0017</v>
      </c>
      <c r="D1243">
        <v>1.5764</v>
      </c>
      <c r="E1243" s="2">
        <f t="shared" si="1290"/>
        <v>16.252999999999997</v>
      </c>
      <c r="F1243" s="2">
        <f t="shared" si="1292"/>
        <v>15.138399999999999</v>
      </c>
      <c r="G1243" s="2">
        <f t="shared" si="1294"/>
        <v>14.392799999999994</v>
      </c>
      <c r="H1243" s="2">
        <f t="shared" si="1295"/>
        <v>-3.6349110379139127E-2</v>
      </c>
      <c r="I1243" s="2">
        <f t="shared" ref="I1243:J1243" si="1318">LN(C1242)-LN(C1241)</f>
        <v>-2.2270013411433087E-2</v>
      </c>
      <c r="J1243" s="2">
        <f t="shared" si="1318"/>
        <v>-1.682381301623187E-2</v>
      </c>
    </row>
    <row r="1244" spans="1:10" x14ac:dyDescent="0.45">
      <c r="A1244" s="1">
        <v>41989</v>
      </c>
      <c r="B1244">
        <v>55.93</v>
      </c>
      <c r="C1244">
        <v>1.96</v>
      </c>
      <c r="D1244">
        <v>1.5409999999999999</v>
      </c>
      <c r="E1244" s="2">
        <f t="shared" si="1290"/>
        <v>14.657999999999996</v>
      </c>
      <c r="F1244" s="2">
        <f t="shared" si="1292"/>
        <v>16.252999999999997</v>
      </c>
      <c r="G1244" s="2">
        <f t="shared" si="1294"/>
        <v>15.138399999999999</v>
      </c>
      <c r="H1244" s="2">
        <f t="shared" si="1295"/>
        <v>-3.3418516055831127E-2</v>
      </c>
      <c r="I1244" s="2">
        <f t="shared" ref="I1244:J1244" si="1319">LN(C1243)-LN(C1242)</f>
        <v>-7.1185306945988902E-3</v>
      </c>
      <c r="J1244" s="2">
        <f t="shared" si="1319"/>
        <v>-1.3170937475062261E-2</v>
      </c>
    </row>
    <row r="1245" spans="1:10" x14ac:dyDescent="0.45">
      <c r="A1245" s="1">
        <v>41990</v>
      </c>
      <c r="B1245">
        <v>56.47</v>
      </c>
      <c r="C1245">
        <v>2.0085000000000002</v>
      </c>
      <c r="D1245">
        <v>1.5662</v>
      </c>
      <c r="E1245" s="2">
        <f t="shared" si="1290"/>
        <v>15.502600000000001</v>
      </c>
      <c r="F1245" s="2">
        <f t="shared" si="1292"/>
        <v>14.657999999999996</v>
      </c>
      <c r="G1245" s="2">
        <f t="shared" si="1294"/>
        <v>16.252999999999997</v>
      </c>
      <c r="H1245" s="2">
        <f t="shared" si="1295"/>
        <v>3.5765379494279159E-4</v>
      </c>
      <c r="I1245" s="2">
        <f t="shared" ref="I1245:J1245" si="1320">LN(C1244)-LN(C1243)</f>
        <v>-2.1052346272097511E-2</v>
      </c>
      <c r="J1245" s="2">
        <f t="shared" si="1320"/>
        <v>-2.2712210000732924E-2</v>
      </c>
    </row>
    <row r="1246" spans="1:10" x14ac:dyDescent="0.45">
      <c r="A1246" s="1">
        <v>41991</v>
      </c>
      <c r="B1246">
        <v>54.36</v>
      </c>
      <c r="C1246">
        <v>1.8873</v>
      </c>
      <c r="D1246">
        <v>1.5401</v>
      </c>
      <c r="E1246" s="2">
        <f t="shared" si="1290"/>
        <v>15.185000000000002</v>
      </c>
      <c r="F1246" s="2">
        <f t="shared" si="1292"/>
        <v>15.502600000000001</v>
      </c>
      <c r="G1246" s="2">
        <f t="shared" si="1294"/>
        <v>14.657999999999996</v>
      </c>
      <c r="H1246" s="2">
        <f t="shared" si="1295"/>
        <v>9.6086148512490865E-3</v>
      </c>
      <c r="I1246" s="2">
        <f t="shared" ref="I1246:J1246" si="1321">LN(C1245)-LN(C1244)</f>
        <v>2.4443701574774157E-2</v>
      </c>
      <c r="J1246" s="2">
        <f t="shared" si="1321"/>
        <v>1.6220746996721658E-2</v>
      </c>
    </row>
    <row r="1247" spans="1:10" x14ac:dyDescent="0.45">
      <c r="A1247" s="1">
        <v>41992</v>
      </c>
      <c r="B1247">
        <v>57.13</v>
      </c>
      <c r="C1247">
        <v>1.9272</v>
      </c>
      <c r="D1247">
        <v>1.5746</v>
      </c>
      <c r="E1247" s="2">
        <f t="shared" si="1290"/>
        <v>13.939599999999993</v>
      </c>
      <c r="F1247" s="2">
        <f t="shared" si="1292"/>
        <v>15.185000000000002</v>
      </c>
      <c r="G1247" s="2">
        <f t="shared" si="1294"/>
        <v>15.502600000000001</v>
      </c>
      <c r="H1247" s="2">
        <f t="shared" si="1295"/>
        <v>-3.8080934401802491E-2</v>
      </c>
      <c r="I1247" s="2">
        <f t="shared" ref="I1247:J1247" si="1322">LN(C1246)-LN(C1245)</f>
        <v>-6.2240938555243375E-2</v>
      </c>
      <c r="J1247" s="2">
        <f t="shared" si="1322"/>
        <v>-1.680495395241749E-2</v>
      </c>
    </row>
    <row r="1248" spans="1:10" x14ac:dyDescent="0.45">
      <c r="A1248" s="1">
        <v>41995</v>
      </c>
      <c r="B1248">
        <v>55.26</v>
      </c>
      <c r="C1248">
        <v>1.9129</v>
      </c>
      <c r="D1248">
        <v>1.5485</v>
      </c>
      <c r="E1248" s="2">
        <f t="shared" si="1290"/>
        <v>14.878600000000006</v>
      </c>
      <c r="F1248" s="2">
        <f t="shared" si="1292"/>
        <v>13.939599999999993</v>
      </c>
      <c r="G1248" s="2">
        <f t="shared" si="1294"/>
        <v>15.185000000000002</v>
      </c>
      <c r="H1248" s="2">
        <f t="shared" si="1295"/>
        <v>4.9700783453428432E-2</v>
      </c>
      <c r="I1248" s="2">
        <f t="shared" ref="I1248:J1248" si="1323">LN(C1247)-LN(C1246)</f>
        <v>2.0920936056567974E-2</v>
      </c>
      <c r="J1248" s="2">
        <f t="shared" si="1323"/>
        <v>2.2153922385946989E-2</v>
      </c>
    </row>
    <row r="1249" spans="1:10" x14ac:dyDescent="0.45">
      <c r="A1249" s="1">
        <v>41996</v>
      </c>
      <c r="B1249">
        <v>57.12</v>
      </c>
      <c r="C1249">
        <v>1.9517</v>
      </c>
      <c r="D1249">
        <v>1.5848</v>
      </c>
      <c r="E1249" s="2">
        <f t="shared" si="1290"/>
        <v>14.57820000000001</v>
      </c>
      <c r="F1249" s="2">
        <f t="shared" si="1292"/>
        <v>14.878600000000006</v>
      </c>
      <c r="G1249" s="2">
        <f t="shared" si="1294"/>
        <v>13.939599999999993</v>
      </c>
      <c r="H1249" s="2">
        <f t="shared" si="1295"/>
        <v>-3.3280053241100838E-2</v>
      </c>
      <c r="I1249" s="2">
        <f t="shared" ref="I1249:J1249" si="1324">LN(C1248)-LN(C1247)</f>
        <v>-7.4477571420537014E-3</v>
      </c>
      <c r="J1249" s="2">
        <f t="shared" si="1324"/>
        <v>-1.6714551337109362E-2</v>
      </c>
    </row>
    <row r="1250" spans="1:10" x14ac:dyDescent="0.45">
      <c r="A1250" s="1">
        <v>41997</v>
      </c>
      <c r="B1250">
        <v>55.84</v>
      </c>
      <c r="C1250">
        <v>1.8889</v>
      </c>
      <c r="D1250">
        <v>1.5286999999999999</v>
      </c>
      <c r="E1250" s="2">
        <f t="shared" si="1290"/>
        <v>13.408199999999994</v>
      </c>
      <c r="F1250" s="2">
        <f t="shared" si="1292"/>
        <v>14.57820000000001</v>
      </c>
      <c r="G1250" s="2">
        <f t="shared" si="1294"/>
        <v>14.878600000000006</v>
      </c>
      <c r="H1250" s="2">
        <f t="shared" si="1295"/>
        <v>3.3104998536058083E-2</v>
      </c>
      <c r="I1250" s="2">
        <f t="shared" ref="I1250:J1250" si="1325">LN(C1249)-LN(C1248)</f>
        <v>2.0080372478548214E-2</v>
      </c>
      <c r="J1250" s="2">
        <f t="shared" si="1325"/>
        <v>2.31714959710837E-2</v>
      </c>
    </row>
    <row r="1251" spans="1:10" x14ac:dyDescent="0.45">
      <c r="A1251" s="1">
        <v>41999</v>
      </c>
      <c r="B1251">
        <v>54.73</v>
      </c>
      <c r="C1251">
        <v>1.8842000000000001</v>
      </c>
      <c r="D1251">
        <v>1.5246999999999999</v>
      </c>
      <c r="E1251" s="2">
        <f t="shared" si="1290"/>
        <v>14.340399999999997</v>
      </c>
      <c r="F1251" s="2">
        <f t="shared" si="1292"/>
        <v>13.408199999999994</v>
      </c>
      <c r="G1251" s="2">
        <f t="shared" si="1294"/>
        <v>14.57820000000001</v>
      </c>
      <c r="H1251" s="2">
        <f t="shared" si="1295"/>
        <v>-2.2663859577211731E-2</v>
      </c>
      <c r="I1251" s="2">
        <f t="shared" ref="I1251:J1251" si="1326">LN(C1250)-LN(C1249)</f>
        <v>-3.2706138599382095E-2</v>
      </c>
      <c r="J1251" s="2">
        <f t="shared" si="1326"/>
        <v>-3.6040515377352755E-2</v>
      </c>
    </row>
    <row r="1252" spans="1:10" x14ac:dyDescent="0.45">
      <c r="A1252" s="1">
        <v>42002</v>
      </c>
      <c r="B1252">
        <v>53.61</v>
      </c>
      <c r="C1252">
        <v>1.8216000000000001</v>
      </c>
      <c r="D1252">
        <v>1.4670000000000001</v>
      </c>
      <c r="E1252" s="2">
        <f t="shared" si="1290"/>
        <v>12.968400000000011</v>
      </c>
      <c r="F1252" s="2">
        <f t="shared" si="1292"/>
        <v>14.340399999999997</v>
      </c>
      <c r="G1252" s="2">
        <f t="shared" si="1294"/>
        <v>13.408199999999994</v>
      </c>
      <c r="H1252" s="2">
        <f t="shared" si="1295"/>
        <v>-2.0078453298290277E-2</v>
      </c>
      <c r="I1252" s="2">
        <f t="shared" ref="I1252:J1252" si="1327">LN(C1251)-LN(C1250)</f>
        <v>-2.4913214232066272E-3</v>
      </c>
      <c r="J1252" s="2">
        <f t="shared" si="1327"/>
        <v>-2.6200316291271064E-3</v>
      </c>
    </row>
    <row r="1253" spans="1:10" x14ac:dyDescent="0.45">
      <c r="A1253" s="1">
        <v>42003</v>
      </c>
      <c r="B1253">
        <v>54.12</v>
      </c>
      <c r="C1253">
        <v>1.8415999999999999</v>
      </c>
      <c r="D1253">
        <v>1.4711000000000001</v>
      </c>
      <c r="E1253" s="2">
        <f t="shared" si="1290"/>
        <v>12.853200000000006</v>
      </c>
      <c r="F1253" s="2">
        <f t="shared" si="1292"/>
        <v>12.968400000000011</v>
      </c>
      <c r="G1253" s="2">
        <f t="shared" si="1294"/>
        <v>14.340399999999997</v>
      </c>
      <c r="H1253" s="2">
        <f t="shared" si="1295"/>
        <v>-2.0676387316380218E-2</v>
      </c>
      <c r="I1253" s="2">
        <f t="shared" ref="I1253:J1253" si="1328">LN(C1252)-LN(C1251)</f>
        <v>-3.3788091865037506E-2</v>
      </c>
      <c r="J1253" s="2">
        <f t="shared" si="1328"/>
        <v>-3.8578170234879527E-2</v>
      </c>
    </row>
    <row r="1254" spans="1:10" x14ac:dyDescent="0.45">
      <c r="A1254" s="1">
        <v>42004</v>
      </c>
      <c r="B1254">
        <v>53.27</v>
      </c>
      <c r="C1254">
        <v>1.8335999999999999</v>
      </c>
      <c r="D1254">
        <v>1.4721</v>
      </c>
      <c r="E1254" s="2">
        <f t="shared" si="1290"/>
        <v>13.619199999999998</v>
      </c>
      <c r="F1254" s="2">
        <f t="shared" si="1292"/>
        <v>12.853200000000006</v>
      </c>
      <c r="G1254" s="2">
        <f t="shared" si="1294"/>
        <v>12.968400000000011</v>
      </c>
      <c r="H1254" s="2">
        <f t="shared" si="1295"/>
        <v>9.4681854631408768E-3</v>
      </c>
      <c r="I1254" s="2">
        <f t="shared" ref="I1254:J1254" si="1329">LN(C1253)-LN(C1252)</f>
        <v>1.0919523218088312E-2</v>
      </c>
      <c r="J1254" s="2">
        <f t="shared" si="1329"/>
        <v>2.7909211131843525E-3</v>
      </c>
    </row>
    <row r="1255" spans="1:10" x14ac:dyDescent="0.45">
      <c r="A1255" s="1">
        <v>42006</v>
      </c>
      <c r="B1255">
        <v>52.69</v>
      </c>
      <c r="C1255">
        <v>1.7957000000000001</v>
      </c>
      <c r="D1255">
        <v>1.4334</v>
      </c>
      <c r="E1255" s="2">
        <f t="shared" si="1290"/>
        <v>12.584999999999999</v>
      </c>
      <c r="F1255" s="2">
        <f t="shared" si="1292"/>
        <v>13.619199999999998</v>
      </c>
      <c r="G1255" s="2">
        <f t="shared" si="1294"/>
        <v>12.853200000000006</v>
      </c>
      <c r="H1255" s="2">
        <f t="shared" si="1295"/>
        <v>-1.5830482373679455E-2</v>
      </c>
      <c r="I1255" s="2">
        <f t="shared" ref="I1255:J1255" si="1330">LN(C1254)-LN(C1253)</f>
        <v>-4.3535114471978664E-3</v>
      </c>
      <c r="J1255" s="2">
        <f t="shared" si="1330"/>
        <v>6.795325078012282E-4</v>
      </c>
    </row>
    <row r="1256" spans="1:10" x14ac:dyDescent="0.45">
      <c r="A1256" s="1">
        <v>42009</v>
      </c>
      <c r="B1256">
        <v>50.04</v>
      </c>
      <c r="C1256">
        <v>1.7492000000000001</v>
      </c>
      <c r="D1256">
        <v>1.3814</v>
      </c>
      <c r="E1256" s="2">
        <f t="shared" si="1290"/>
        <v>13.128000000000005</v>
      </c>
      <c r="F1256" s="2">
        <f t="shared" si="1292"/>
        <v>12.584999999999999</v>
      </c>
      <c r="G1256" s="2">
        <f t="shared" si="1294"/>
        <v>13.619199999999998</v>
      </c>
      <c r="H1256" s="2">
        <f t="shared" si="1295"/>
        <v>-1.0947636707713482E-2</v>
      </c>
      <c r="I1256" s="2">
        <f t="shared" ref="I1256:J1256" si="1331">LN(C1255)-LN(C1254)</f>
        <v>-2.0886329472568188E-2</v>
      </c>
      <c r="J1256" s="2">
        <f t="shared" si="1331"/>
        <v>-2.6640708204148544E-2</v>
      </c>
    </row>
    <row r="1257" spans="1:10" x14ac:dyDescent="0.45">
      <c r="A1257" s="1">
        <v>42010</v>
      </c>
      <c r="B1257">
        <v>47.93</v>
      </c>
      <c r="C1257">
        <v>1.7262</v>
      </c>
      <c r="D1257">
        <v>1.3543000000000001</v>
      </c>
      <c r="E1257" s="2">
        <f t="shared" si="1290"/>
        <v>14.157199999999998</v>
      </c>
      <c r="F1257" s="2">
        <f t="shared" si="1292"/>
        <v>13.128000000000005</v>
      </c>
      <c r="G1257" s="2">
        <f t="shared" si="1294"/>
        <v>12.584999999999999</v>
      </c>
      <c r="H1257" s="2">
        <f t="shared" si="1295"/>
        <v>-5.1602998622483742E-2</v>
      </c>
      <c r="I1257" s="2">
        <f t="shared" ref="I1257:J1257" si="1332">LN(C1256)-LN(C1255)</f>
        <v>-2.6236377509086584E-2</v>
      </c>
      <c r="J1257" s="2">
        <f t="shared" si="1332"/>
        <v>-3.6951766904946337E-2</v>
      </c>
    </row>
    <row r="1258" spans="1:10" x14ac:dyDescent="0.45">
      <c r="A1258" s="1">
        <v>42011</v>
      </c>
      <c r="B1258">
        <v>48.65</v>
      </c>
      <c r="C1258">
        <v>1.6999</v>
      </c>
      <c r="D1258">
        <v>1.3375999999999999</v>
      </c>
      <c r="E1258" s="2">
        <f t="shared" si="1290"/>
        <v>12.601399999999993</v>
      </c>
      <c r="F1258" s="2">
        <f t="shared" si="1292"/>
        <v>14.157199999999998</v>
      </c>
      <c r="G1258" s="2">
        <f t="shared" si="1294"/>
        <v>13.128000000000005</v>
      </c>
      <c r="H1258" s="2">
        <f t="shared" si="1295"/>
        <v>-4.3081072427170408E-2</v>
      </c>
      <c r="I1258" s="2">
        <f t="shared" ref="I1258:J1258" si="1333">LN(C1257)-LN(C1256)</f>
        <v>-1.3236079753208396E-2</v>
      </c>
      <c r="J1258" s="2">
        <f t="shared" si="1333"/>
        <v>-1.9812761993546812E-2</v>
      </c>
    </row>
    <row r="1259" spans="1:10" x14ac:dyDescent="0.45">
      <c r="A1259" s="1">
        <v>42012</v>
      </c>
      <c r="B1259">
        <v>48.79</v>
      </c>
      <c r="C1259">
        <v>1.7110000000000001</v>
      </c>
      <c r="D1259">
        <v>1.3409</v>
      </c>
      <c r="E1259" s="2">
        <f t="shared" si="1290"/>
        <v>12.709200000000001</v>
      </c>
      <c r="F1259" s="2">
        <f t="shared" si="1292"/>
        <v>12.601399999999993</v>
      </c>
      <c r="G1259" s="2">
        <f t="shared" si="1294"/>
        <v>14.157199999999998</v>
      </c>
      <c r="H1259" s="2">
        <f t="shared" si="1295"/>
        <v>1.4910195460474007E-2</v>
      </c>
      <c r="I1259" s="2">
        <f t="shared" ref="I1259:J1259" si="1334">LN(C1258)-LN(C1257)</f>
        <v>-1.5353035000833182E-2</v>
      </c>
      <c r="J1259" s="2">
        <f t="shared" si="1334"/>
        <v>-1.2407752330888588E-2</v>
      </c>
    </row>
    <row r="1260" spans="1:10" x14ac:dyDescent="0.45">
      <c r="A1260" s="1">
        <v>42013</v>
      </c>
      <c r="B1260">
        <v>48.36</v>
      </c>
      <c r="C1260">
        <v>1.7030000000000001</v>
      </c>
      <c r="D1260">
        <v>1.3231999999999999</v>
      </c>
      <c r="E1260" s="2">
        <f t="shared" si="1290"/>
        <v>12.531600000000006</v>
      </c>
      <c r="F1260" s="2">
        <f t="shared" si="1292"/>
        <v>12.709200000000001</v>
      </c>
      <c r="G1260" s="2">
        <f t="shared" si="1294"/>
        <v>12.601399999999993</v>
      </c>
      <c r="H1260" s="2">
        <f t="shared" si="1295"/>
        <v>2.8735651957316755E-3</v>
      </c>
      <c r="I1260" s="2">
        <f t="shared" ref="I1260:J1260" si="1335">LN(C1259)-LN(C1258)</f>
        <v>6.5085691074695529E-3</v>
      </c>
      <c r="J1260" s="2">
        <f t="shared" si="1335"/>
        <v>2.464066955159272E-3</v>
      </c>
    </row>
    <row r="1261" spans="1:10" x14ac:dyDescent="0.45">
      <c r="A1261" s="1">
        <v>42016</v>
      </c>
      <c r="B1261">
        <v>46.07</v>
      </c>
      <c r="C1261">
        <v>1.6540999999999999</v>
      </c>
      <c r="D1261">
        <v>1.2745</v>
      </c>
      <c r="E1261" s="2">
        <f t="shared" si="1290"/>
        <v>12.77339999999999</v>
      </c>
      <c r="F1261" s="2">
        <f t="shared" si="1292"/>
        <v>12.531600000000006</v>
      </c>
      <c r="G1261" s="2">
        <f t="shared" si="1294"/>
        <v>12.709200000000001</v>
      </c>
      <c r="H1261" s="2">
        <f t="shared" si="1295"/>
        <v>-8.8523480811537603E-3</v>
      </c>
      <c r="I1261" s="2">
        <f t="shared" ref="I1261:J1261" si="1336">LN(C1260)-LN(C1259)</f>
        <v>-4.6865932295051538E-3</v>
      </c>
      <c r="J1261" s="2">
        <f t="shared" si="1336"/>
        <v>-1.3287985016169568E-2</v>
      </c>
    </row>
    <row r="1262" spans="1:10" x14ac:dyDescent="0.45">
      <c r="A1262" s="1">
        <v>42017</v>
      </c>
      <c r="B1262">
        <v>45.89</v>
      </c>
      <c r="C1262">
        <v>1.633</v>
      </c>
      <c r="D1262">
        <v>1.2685</v>
      </c>
      <c r="E1262" s="2">
        <f t="shared" si="1290"/>
        <v>12.48999999999999</v>
      </c>
      <c r="F1262" s="2">
        <f t="shared" si="1292"/>
        <v>12.77339999999999</v>
      </c>
      <c r="G1262" s="2">
        <f t="shared" si="1294"/>
        <v>12.531600000000006</v>
      </c>
      <c r="H1262" s="2">
        <f t="shared" si="1295"/>
        <v>-4.8511046798766166E-2</v>
      </c>
      <c r="I1262" s="2">
        <f t="shared" ref="I1262:J1262" si="1337">LN(C1261)-LN(C1260)</f>
        <v>-2.9134347414512929E-2</v>
      </c>
      <c r="J1262" s="2">
        <f t="shared" si="1337"/>
        <v>-3.749910045325669E-2</v>
      </c>
    </row>
    <row r="1263" spans="1:10" x14ac:dyDescent="0.45">
      <c r="A1263" s="1">
        <v>42018</v>
      </c>
      <c r="B1263">
        <v>48.48</v>
      </c>
      <c r="C1263">
        <v>1.6552</v>
      </c>
      <c r="D1263">
        <v>1.3507</v>
      </c>
      <c r="E1263" s="2">
        <f t="shared" si="1290"/>
        <v>12.512399999999994</v>
      </c>
      <c r="F1263" s="2">
        <f t="shared" si="1292"/>
        <v>12.48999999999999</v>
      </c>
      <c r="G1263" s="2">
        <f t="shared" si="1294"/>
        <v>12.77339999999999</v>
      </c>
      <c r="H1263" s="2">
        <f t="shared" si="1295"/>
        <v>-3.9147505410834782E-3</v>
      </c>
      <c r="I1263" s="2">
        <f t="shared" ref="I1263:J1263" si="1338">LN(C1262)-LN(C1261)</f>
        <v>-1.2838240277710355E-2</v>
      </c>
      <c r="J1263" s="2">
        <f t="shared" si="1338"/>
        <v>-4.7188447768335695E-3</v>
      </c>
    </row>
    <row r="1264" spans="1:10" x14ac:dyDescent="0.45">
      <c r="A1264" s="1">
        <v>42019</v>
      </c>
      <c r="B1264">
        <v>46.25</v>
      </c>
      <c r="C1264">
        <v>1.6233</v>
      </c>
      <c r="D1264">
        <v>1.2994000000000001</v>
      </c>
      <c r="E1264" s="2">
        <f t="shared" si="1290"/>
        <v>12.859400000000003</v>
      </c>
      <c r="F1264" s="2">
        <f t="shared" si="1292"/>
        <v>12.512399999999994</v>
      </c>
      <c r="G1264" s="2">
        <f t="shared" si="1294"/>
        <v>12.48999999999999</v>
      </c>
      <c r="H1264" s="2">
        <f t="shared" si="1295"/>
        <v>5.4904113354316664E-2</v>
      </c>
      <c r="I1264" s="2">
        <f t="shared" ref="I1264:J1264" si="1339">LN(C1263)-LN(C1262)</f>
        <v>1.3503033460868175E-2</v>
      </c>
      <c r="J1264" s="2">
        <f t="shared" si="1339"/>
        <v>6.2787876527381936E-2</v>
      </c>
    </row>
    <row r="1265" spans="1:10" x14ac:dyDescent="0.45">
      <c r="A1265" s="1">
        <v>42020</v>
      </c>
      <c r="B1265">
        <v>49.13</v>
      </c>
      <c r="C1265">
        <v>1.6656</v>
      </c>
      <c r="D1265">
        <v>1.3588</v>
      </c>
      <c r="E1265" s="2">
        <f t="shared" si="1290"/>
        <v>12.234799999999998</v>
      </c>
      <c r="F1265" s="2">
        <f t="shared" si="1292"/>
        <v>12.859400000000003</v>
      </c>
      <c r="G1265" s="2">
        <f t="shared" si="1294"/>
        <v>12.512399999999994</v>
      </c>
      <c r="H1265" s="2">
        <f t="shared" si="1295"/>
        <v>-4.7089877802624969E-2</v>
      </c>
      <c r="I1265" s="2">
        <f t="shared" ref="I1265:J1265" si="1340">LN(C1264)-LN(C1263)</f>
        <v>-1.9460733114534001E-2</v>
      </c>
      <c r="J1265" s="2">
        <f t="shared" si="1340"/>
        <v>-3.8720357120287818E-2</v>
      </c>
    </row>
    <row r="1266" spans="1:10" x14ac:dyDescent="0.45">
      <c r="A1266" s="1">
        <v>42024</v>
      </c>
      <c r="B1266">
        <v>46.47</v>
      </c>
      <c r="C1266">
        <v>1.5905</v>
      </c>
      <c r="D1266">
        <v>1.3412999999999999</v>
      </c>
      <c r="E1266" s="2">
        <f t="shared" si="1290"/>
        <v>13.353399999999993</v>
      </c>
      <c r="F1266" s="2">
        <f t="shared" si="1292"/>
        <v>12.234799999999998</v>
      </c>
      <c r="G1266" s="2">
        <f t="shared" si="1294"/>
        <v>12.859400000000003</v>
      </c>
      <c r="H1266" s="2">
        <f t="shared" si="1295"/>
        <v>6.040838222212308E-2</v>
      </c>
      <c r="I1266" s="2">
        <f t="shared" ref="I1266:J1266" si="1341">LN(C1265)-LN(C1264)</f>
        <v>2.5724304543905174E-2</v>
      </c>
      <c r="J1266" s="2">
        <f t="shared" si="1341"/>
        <v>4.4699337839998188E-2</v>
      </c>
    </row>
    <row r="1267" spans="1:10" x14ac:dyDescent="0.45">
      <c r="A1267" s="1">
        <v>42025</v>
      </c>
      <c r="B1267">
        <v>47.78</v>
      </c>
      <c r="C1267">
        <v>1.6172</v>
      </c>
      <c r="D1267">
        <v>1.3582000000000001</v>
      </c>
      <c r="E1267" s="2">
        <f t="shared" si="1290"/>
        <v>12.8904</v>
      </c>
      <c r="F1267" s="2">
        <f t="shared" si="1292"/>
        <v>13.353399999999993</v>
      </c>
      <c r="G1267" s="2">
        <f t="shared" si="1294"/>
        <v>12.234799999999998</v>
      </c>
      <c r="H1267" s="2">
        <f t="shared" si="1295"/>
        <v>-5.566290308367039E-2</v>
      </c>
      <c r="I1267" s="2">
        <f t="shared" ref="I1267:J1267" si="1342">LN(C1266)-LN(C1265)</f>
        <v>-4.613698667150562E-2</v>
      </c>
      <c r="J1267" s="2">
        <f t="shared" si="1342"/>
        <v>-1.2962664378384281E-2</v>
      </c>
    </row>
    <row r="1268" spans="1:10" x14ac:dyDescent="0.45">
      <c r="A1268" s="1">
        <v>42026</v>
      </c>
      <c r="B1268">
        <v>46.31</v>
      </c>
      <c r="C1268">
        <v>1.6104000000000001</v>
      </c>
      <c r="D1268">
        <v>1.3569</v>
      </c>
      <c r="E1268" s="2">
        <f t="shared" si="1290"/>
        <v>14.228799999999998</v>
      </c>
      <c r="F1268" s="2">
        <f t="shared" si="1292"/>
        <v>12.8904</v>
      </c>
      <c r="G1268" s="2">
        <f t="shared" si="1294"/>
        <v>13.353399999999993</v>
      </c>
      <c r="H1268" s="2">
        <f t="shared" si="1295"/>
        <v>2.7800198800776776E-2</v>
      </c>
      <c r="I1268" s="2">
        <f t="shared" ref="I1268:J1268" si="1343">LN(C1267)-LN(C1266)</f>
        <v>1.664782657741698E-2</v>
      </c>
      <c r="J1268" s="2">
        <f t="shared" si="1343"/>
        <v>1.2521000771646529E-2</v>
      </c>
    </row>
    <row r="1269" spans="1:10" x14ac:dyDescent="0.45">
      <c r="A1269" s="1">
        <v>42027</v>
      </c>
      <c r="B1269">
        <v>45.59</v>
      </c>
      <c r="C1269">
        <v>1.6211</v>
      </c>
      <c r="D1269">
        <v>1.3725000000000001</v>
      </c>
      <c r="E1269" s="2">
        <f t="shared" si="1290"/>
        <v>15.535400000000001</v>
      </c>
      <c r="F1269" s="2">
        <f t="shared" si="1292"/>
        <v>14.228799999999998</v>
      </c>
      <c r="G1269" s="2">
        <f t="shared" si="1294"/>
        <v>12.8904</v>
      </c>
      <c r="H1269" s="2">
        <f t="shared" si="1295"/>
        <v>-3.124922140500308E-2</v>
      </c>
      <c r="I1269" s="2">
        <f t="shared" ref="I1269:J1269" si="1344">LN(C1268)-LN(C1267)</f>
        <v>-4.2136634410340212E-3</v>
      </c>
      <c r="J1269" s="2">
        <f t="shared" si="1344"/>
        <v>-9.5760752778395464E-4</v>
      </c>
    </row>
    <row r="1270" spans="1:10" x14ac:dyDescent="0.45">
      <c r="A1270" s="1">
        <v>42030</v>
      </c>
      <c r="B1270">
        <v>45.15</v>
      </c>
      <c r="C1270">
        <v>1.6143000000000001</v>
      </c>
      <c r="D1270">
        <v>1.347</v>
      </c>
      <c r="E1270" s="2">
        <f t="shared" si="1290"/>
        <v>15.166200000000003</v>
      </c>
      <c r="F1270" s="2">
        <f t="shared" si="1292"/>
        <v>15.535400000000001</v>
      </c>
      <c r="G1270" s="2">
        <f t="shared" si="1294"/>
        <v>14.228799999999998</v>
      </c>
      <c r="H1270" s="2">
        <f t="shared" si="1295"/>
        <v>-1.5669526267310108E-2</v>
      </c>
      <c r="I1270" s="2">
        <f t="shared" ref="I1270:J1270" si="1345">LN(C1269)-LN(C1268)</f>
        <v>6.6223358219457129E-3</v>
      </c>
      <c r="J1270" s="2">
        <f t="shared" si="1345"/>
        <v>1.1431208231778622E-2</v>
      </c>
    </row>
    <row r="1271" spans="1:10" x14ac:dyDescent="0.45">
      <c r="A1271" s="1">
        <v>42031</v>
      </c>
      <c r="B1271">
        <v>46.23</v>
      </c>
      <c r="C1271">
        <v>1.6402000000000001</v>
      </c>
      <c r="D1271">
        <v>1.3841000000000001</v>
      </c>
      <c r="E1271" s="2">
        <f t="shared" si="1290"/>
        <v>15.487600000000006</v>
      </c>
      <c r="F1271" s="2">
        <f t="shared" si="1292"/>
        <v>15.166200000000003</v>
      </c>
      <c r="G1271" s="2">
        <f t="shared" si="1294"/>
        <v>15.535400000000001</v>
      </c>
      <c r="H1271" s="2">
        <f t="shared" si="1295"/>
        <v>-9.6981143623557919E-3</v>
      </c>
      <c r="I1271" s="2">
        <f t="shared" ref="I1271:J1271" si="1346">LN(C1270)-LN(C1269)</f>
        <v>-4.2035049840438155E-3</v>
      </c>
      <c r="J1271" s="2">
        <f t="shared" si="1346"/>
        <v>-1.8753996973321807E-2</v>
      </c>
    </row>
    <row r="1272" spans="1:10" x14ac:dyDescent="0.45">
      <c r="A1272" s="1">
        <v>42032</v>
      </c>
      <c r="B1272">
        <v>44.45</v>
      </c>
      <c r="C1272">
        <v>1.6093</v>
      </c>
      <c r="D1272">
        <v>1.377</v>
      </c>
      <c r="E1272" s="2">
        <f t="shared" si="1290"/>
        <v>16.636199999999992</v>
      </c>
      <c r="F1272" s="2">
        <f t="shared" si="1292"/>
        <v>15.487600000000006</v>
      </c>
      <c r="G1272" s="2">
        <f t="shared" si="1294"/>
        <v>15.166200000000003</v>
      </c>
      <c r="H1272" s="2">
        <f t="shared" si="1295"/>
        <v>2.3638658137139501E-2</v>
      </c>
      <c r="I1272" s="2">
        <f t="shared" ref="I1272:J1272" si="1347">LN(C1271)-LN(C1270)</f>
        <v>1.5916759438827199E-2</v>
      </c>
      <c r="J1272" s="2">
        <f t="shared" si="1347"/>
        <v>2.7170211492292373E-2</v>
      </c>
    </row>
    <row r="1273" spans="1:10" x14ac:dyDescent="0.45">
      <c r="A1273" s="1">
        <v>42033</v>
      </c>
      <c r="B1273">
        <v>44.53</v>
      </c>
      <c r="C1273">
        <v>1.6047</v>
      </c>
      <c r="D1273">
        <v>1.3913</v>
      </c>
      <c r="E1273" s="2">
        <f t="shared" si="1290"/>
        <v>16.892199999999992</v>
      </c>
      <c r="F1273" s="2">
        <f t="shared" si="1292"/>
        <v>16.636199999999992</v>
      </c>
      <c r="G1273" s="2">
        <f t="shared" si="1294"/>
        <v>15.487600000000006</v>
      </c>
      <c r="H1273" s="2">
        <f t="shared" si="1295"/>
        <v>-3.926397604022025E-2</v>
      </c>
      <c r="I1273" s="2">
        <f t="shared" ref="I1273:J1273" si="1348">LN(C1272)-LN(C1271)</f>
        <v>-1.9018883777861761E-2</v>
      </c>
      <c r="J1273" s="2">
        <f t="shared" si="1348"/>
        <v>-5.1428891740014637E-3</v>
      </c>
    </row>
    <row r="1274" spans="1:10" x14ac:dyDescent="0.45">
      <c r="A1274" s="1">
        <v>42034</v>
      </c>
      <c r="B1274">
        <v>48.24</v>
      </c>
      <c r="C1274">
        <v>1.7008000000000001</v>
      </c>
      <c r="D1274">
        <v>1.4787999999999999</v>
      </c>
      <c r="E1274" s="2">
        <f t="shared" si="1290"/>
        <v>16.977599999999995</v>
      </c>
      <c r="F1274" s="2">
        <f t="shared" si="1292"/>
        <v>16.892199999999992</v>
      </c>
      <c r="G1274" s="2">
        <f t="shared" si="1294"/>
        <v>16.636199999999992</v>
      </c>
      <c r="H1274" s="2">
        <f t="shared" si="1295"/>
        <v>1.7981573736971512E-3</v>
      </c>
      <c r="I1274" s="2">
        <f t="shared" ref="I1274:J1274" si="1349">LN(C1273)-LN(C1272)</f>
        <v>-2.8624786191350227E-3</v>
      </c>
      <c r="J1274" s="2">
        <f t="shared" si="1349"/>
        <v>1.033134211917619E-2</v>
      </c>
    </row>
    <row r="1275" spans="1:10" x14ac:dyDescent="0.45">
      <c r="A1275" s="1">
        <v>42037</v>
      </c>
      <c r="B1275">
        <v>49.57</v>
      </c>
      <c r="C1275">
        <v>1.7575000000000001</v>
      </c>
      <c r="D1275">
        <v>1.5446</v>
      </c>
      <c r="E1275" s="2">
        <f t="shared" si="1290"/>
        <v>18.283799999999996</v>
      </c>
      <c r="F1275" s="2">
        <f t="shared" si="1292"/>
        <v>16.977599999999995</v>
      </c>
      <c r="G1275" s="2">
        <f t="shared" si="1294"/>
        <v>16.892199999999992</v>
      </c>
      <c r="H1275" s="2">
        <f t="shared" si="1295"/>
        <v>8.0025433085319175E-2</v>
      </c>
      <c r="I1275" s="2">
        <f t="shared" ref="I1275:J1275" si="1350">LN(C1274)-LN(C1273)</f>
        <v>5.8161905382369483E-2</v>
      </c>
      <c r="J1275" s="2">
        <f t="shared" si="1350"/>
        <v>6.09923862146457E-2</v>
      </c>
    </row>
    <row r="1276" spans="1:10" x14ac:dyDescent="0.45">
      <c r="A1276" s="1">
        <v>42038</v>
      </c>
      <c r="B1276">
        <v>53.05</v>
      </c>
      <c r="C1276">
        <v>1.8465</v>
      </c>
      <c r="D1276">
        <v>1.6012999999999999</v>
      </c>
      <c r="E1276" s="2">
        <f t="shared" si="1290"/>
        <v>17.637400000000003</v>
      </c>
      <c r="F1276" s="2">
        <f t="shared" si="1292"/>
        <v>18.283799999999996</v>
      </c>
      <c r="G1276" s="2">
        <f t="shared" si="1294"/>
        <v>16.977599999999995</v>
      </c>
      <c r="H1276" s="2">
        <f t="shared" si="1295"/>
        <v>2.7197259613552571E-2</v>
      </c>
      <c r="I1276" s="2">
        <f t="shared" ref="I1276:J1276" si="1351">LN(C1275)-LN(C1274)</f>
        <v>3.279361609713638E-2</v>
      </c>
      <c r="J1276" s="2">
        <f t="shared" si="1351"/>
        <v>4.353402907268672E-2</v>
      </c>
    </row>
    <row r="1277" spans="1:10" x14ac:dyDescent="0.45">
      <c r="A1277" s="1">
        <v>42039</v>
      </c>
      <c r="B1277">
        <v>48.45</v>
      </c>
      <c r="C1277">
        <v>1.7665999999999999</v>
      </c>
      <c r="D1277">
        <v>1.4817</v>
      </c>
      <c r="E1277" s="2">
        <f t="shared" si="1290"/>
        <v>17.769999999999992</v>
      </c>
      <c r="F1277" s="2">
        <f t="shared" si="1292"/>
        <v>17.637400000000003</v>
      </c>
      <c r="G1277" s="2">
        <f t="shared" si="1294"/>
        <v>18.283799999999996</v>
      </c>
      <c r="H1277" s="2">
        <f t="shared" si="1295"/>
        <v>6.7849053027509321E-2</v>
      </c>
      <c r="I1277" s="2">
        <f t="shared" ref="I1277:J1277" si="1352">LN(C1276)-LN(C1275)</f>
        <v>4.9399610607797961E-2</v>
      </c>
      <c r="J1277" s="2">
        <f t="shared" si="1352"/>
        <v>3.6050822193267551E-2</v>
      </c>
    </row>
    <row r="1278" spans="1:10" x14ac:dyDescent="0.45">
      <c r="A1278" s="1">
        <v>42040</v>
      </c>
      <c r="B1278">
        <v>50.48</v>
      </c>
      <c r="C1278">
        <v>1.8059000000000001</v>
      </c>
      <c r="D1278">
        <v>1.5247999999999999</v>
      </c>
      <c r="E1278" s="2">
        <f t="shared" si="1290"/>
        <v>17.497000000000003</v>
      </c>
      <c r="F1278" s="2">
        <f t="shared" si="1292"/>
        <v>17.769999999999992</v>
      </c>
      <c r="G1278" s="2">
        <f t="shared" si="1294"/>
        <v>17.637400000000003</v>
      </c>
      <c r="H1278" s="2">
        <f t="shared" si="1295"/>
        <v>-9.0702526723216881E-2</v>
      </c>
      <c r="I1278" s="2">
        <f t="shared" ref="I1278:J1278" si="1353">LN(C1277)-LN(C1276)</f>
        <v>-4.4235159981586114E-2</v>
      </c>
      <c r="J1278" s="2">
        <f t="shared" si="1353"/>
        <v>-7.762572211374219E-2</v>
      </c>
    </row>
    <row r="1279" spans="1:10" x14ac:dyDescent="0.45">
      <c r="A1279" s="1">
        <v>42041</v>
      </c>
      <c r="B1279">
        <v>51.69</v>
      </c>
      <c r="C1279">
        <v>1.8391</v>
      </c>
      <c r="D1279">
        <v>1.5590999999999999</v>
      </c>
      <c r="E1279" s="2">
        <f t="shared" si="1290"/>
        <v>17.712199999999996</v>
      </c>
      <c r="F1279" s="2">
        <f t="shared" si="1292"/>
        <v>17.497000000000003</v>
      </c>
      <c r="G1279" s="2">
        <f t="shared" si="1294"/>
        <v>17.769999999999992</v>
      </c>
      <c r="H1279" s="2">
        <f t="shared" si="1295"/>
        <v>4.104487989618244E-2</v>
      </c>
      <c r="I1279" s="2">
        <f t="shared" ref="I1279:J1279" si="1354">LN(C1278)-LN(C1277)</f>
        <v>2.200228714726582E-2</v>
      </c>
      <c r="J1279" s="2">
        <f t="shared" si="1354"/>
        <v>2.8673176685248769E-2</v>
      </c>
    </row>
    <row r="1280" spans="1:10" x14ac:dyDescent="0.45">
      <c r="A1280" s="1">
        <v>42044</v>
      </c>
      <c r="B1280">
        <v>52.86</v>
      </c>
      <c r="C1280">
        <v>1.8729</v>
      </c>
      <c r="D1280">
        <v>1.5782</v>
      </c>
      <c r="E1280" s="2">
        <f t="shared" si="1290"/>
        <v>17.550200000000007</v>
      </c>
      <c r="F1280" s="2">
        <f t="shared" si="1292"/>
        <v>17.712199999999996</v>
      </c>
      <c r="G1280" s="2">
        <f t="shared" si="1294"/>
        <v>17.497000000000003</v>
      </c>
      <c r="H1280" s="2">
        <f t="shared" si="1295"/>
        <v>2.3687120974990261E-2</v>
      </c>
      <c r="I1280" s="2">
        <f t="shared" ref="I1280:J1280" si="1355">LN(C1279)-LN(C1278)</f>
        <v>1.8217239046637745E-2</v>
      </c>
      <c r="J1280" s="2">
        <f t="shared" si="1355"/>
        <v>2.224547778256819E-2</v>
      </c>
    </row>
    <row r="1281" spans="1:10" x14ac:dyDescent="0.45">
      <c r="A1281" s="1">
        <v>42045</v>
      </c>
      <c r="B1281">
        <v>50.02</v>
      </c>
      <c r="C1281">
        <v>1.8327</v>
      </c>
      <c r="D1281">
        <v>1.5523</v>
      </c>
      <c r="E1281" s="2">
        <f t="shared" si="1290"/>
        <v>19.1022</v>
      </c>
      <c r="F1281" s="2">
        <f t="shared" si="1292"/>
        <v>17.550200000000007</v>
      </c>
      <c r="G1281" s="2">
        <f t="shared" si="1294"/>
        <v>17.712199999999996</v>
      </c>
      <c r="H1281" s="2">
        <f t="shared" si="1295"/>
        <v>2.2382569968195209E-2</v>
      </c>
      <c r="I1281" s="2">
        <f t="shared" ref="I1281:J1281" si="1356">LN(C1280)-LN(C1279)</f>
        <v>1.8211710230872757E-2</v>
      </c>
      <c r="J1281" s="2">
        <f t="shared" si="1356"/>
        <v>1.2176225404428864E-2</v>
      </c>
    </row>
    <row r="1282" spans="1:10" x14ac:dyDescent="0.45">
      <c r="A1282" s="1">
        <v>42046</v>
      </c>
      <c r="B1282">
        <v>48.84</v>
      </c>
      <c r="C1282">
        <v>1.8141</v>
      </c>
      <c r="D1282">
        <v>1.5431999999999999</v>
      </c>
      <c r="E1282" s="2">
        <f t="shared" si="1290"/>
        <v>19.766999999999985</v>
      </c>
      <c r="F1282" s="2">
        <f t="shared" si="1292"/>
        <v>19.1022</v>
      </c>
      <c r="G1282" s="2">
        <f t="shared" si="1294"/>
        <v>17.550200000000007</v>
      </c>
      <c r="H1282" s="2">
        <f t="shared" si="1295"/>
        <v>-5.5223983726670145E-2</v>
      </c>
      <c r="I1282" s="2">
        <f t="shared" ref="I1282:J1282" si="1357">LN(C1281)-LN(C1280)</f>
        <v>-2.1697742411977194E-2</v>
      </c>
      <c r="J1282" s="2">
        <f t="shared" si="1357"/>
        <v>-1.6547255054536969E-2</v>
      </c>
    </row>
    <row r="1283" spans="1:10" x14ac:dyDescent="0.45">
      <c r="A1283" s="1">
        <v>42047</v>
      </c>
      <c r="B1283">
        <v>51.21</v>
      </c>
      <c r="C1283">
        <v>1.9137</v>
      </c>
      <c r="D1283">
        <v>1.5954999999999999</v>
      </c>
      <c r="E1283" s="2">
        <f t="shared" ref="E1283:E1346" si="1358">(2*D1283*42+1*C1283*42-3*B1283)/3</f>
        <v>20.255800000000004</v>
      </c>
      <c r="F1283" s="2">
        <f t="shared" si="1292"/>
        <v>19.766999999999985</v>
      </c>
      <c r="G1283" s="2">
        <f t="shared" si="1294"/>
        <v>19.1022</v>
      </c>
      <c r="H1283" s="2">
        <f t="shared" si="1295"/>
        <v>-2.3873276206968885E-2</v>
      </c>
      <c r="I1283" s="2">
        <f t="shared" ref="I1283:J1283" si="1359">LN(C1282)-LN(C1281)</f>
        <v>-1.0200812376554014E-2</v>
      </c>
      <c r="J1283" s="2">
        <f t="shared" si="1359"/>
        <v>-5.8795194408784446E-3</v>
      </c>
    </row>
    <row r="1284" spans="1:10" x14ac:dyDescent="0.45">
      <c r="A1284" s="1">
        <v>42048</v>
      </c>
      <c r="B1284">
        <v>52.78</v>
      </c>
      <c r="C1284">
        <v>1.9714</v>
      </c>
      <c r="D1284">
        <v>1.6262000000000001</v>
      </c>
      <c r="E1284" s="2">
        <f t="shared" si="1358"/>
        <v>20.353200000000005</v>
      </c>
      <c r="F1284" s="2">
        <f t="shared" ref="F1284:F1347" si="1360">E1283</f>
        <v>20.255800000000004</v>
      </c>
      <c r="G1284" s="2">
        <f t="shared" si="1294"/>
        <v>19.766999999999985</v>
      </c>
      <c r="H1284" s="2">
        <f t="shared" si="1295"/>
        <v>4.738517623195504E-2</v>
      </c>
      <c r="I1284" s="2">
        <f t="shared" ref="I1284:J1284" si="1361">LN(C1283)-LN(C1282)</f>
        <v>5.3449063968742383E-2</v>
      </c>
      <c r="J1284" s="2">
        <f t="shared" si="1361"/>
        <v>3.3328984126778927E-2</v>
      </c>
    </row>
    <row r="1285" spans="1:10" x14ac:dyDescent="0.45">
      <c r="A1285" s="1">
        <v>42052</v>
      </c>
      <c r="B1285">
        <v>53.53</v>
      </c>
      <c r="C1285">
        <v>1.9774</v>
      </c>
      <c r="D1285">
        <v>1.5901000000000001</v>
      </c>
      <c r="E1285" s="2">
        <f t="shared" si="1358"/>
        <v>18.67639999999999</v>
      </c>
      <c r="F1285" s="2">
        <f t="shared" si="1360"/>
        <v>20.353200000000005</v>
      </c>
      <c r="G1285" s="2">
        <f t="shared" ref="G1285:G1348" si="1362">E1283</f>
        <v>20.255800000000004</v>
      </c>
      <c r="H1285" s="2">
        <f t="shared" ref="H1285:H1348" si="1363">LN(B1284)-LN(B1283)</f>
        <v>3.0197505600718877E-2</v>
      </c>
      <c r="I1285" s="2">
        <f t="shared" ref="I1285:J1285" si="1364">LN(C1284)-LN(C1283)</f>
        <v>2.9705409315319287E-2</v>
      </c>
      <c r="J1285" s="2">
        <f t="shared" si="1364"/>
        <v>1.9058838055439065E-2</v>
      </c>
    </row>
    <row r="1286" spans="1:10" x14ac:dyDescent="0.45">
      <c r="A1286" s="1">
        <v>42053</v>
      </c>
      <c r="B1286">
        <v>52.82</v>
      </c>
      <c r="C1286">
        <v>1.8855999999999999</v>
      </c>
      <c r="D1286">
        <v>1.8167</v>
      </c>
      <c r="E1286" s="2">
        <f t="shared" si="1358"/>
        <v>24.445999999999998</v>
      </c>
      <c r="F1286" s="2">
        <f t="shared" si="1360"/>
        <v>18.67639999999999</v>
      </c>
      <c r="G1286" s="2">
        <f t="shared" si="1362"/>
        <v>20.353200000000005</v>
      </c>
      <c r="H1286" s="2">
        <f t="shared" si="1363"/>
        <v>1.4109913330111912E-2</v>
      </c>
      <c r="I1286" s="2">
        <f t="shared" ref="I1286:J1286" si="1365">LN(C1285)-LN(C1284)</f>
        <v>3.0389002316940639E-3</v>
      </c>
      <c r="J1286" s="2">
        <f t="shared" si="1365"/>
        <v>-2.2449097455385925E-2</v>
      </c>
    </row>
    <row r="1287" spans="1:10" x14ac:dyDescent="0.45">
      <c r="A1287" s="1">
        <v>42054</v>
      </c>
      <c r="B1287">
        <v>51.83</v>
      </c>
      <c r="C1287">
        <v>1.8846000000000001</v>
      </c>
      <c r="D1287">
        <v>1.839</v>
      </c>
      <c r="E1287" s="2">
        <f t="shared" si="1358"/>
        <v>26.046399999999995</v>
      </c>
      <c r="F1287" s="2">
        <f t="shared" si="1360"/>
        <v>24.445999999999998</v>
      </c>
      <c r="G1287" s="2">
        <f t="shared" si="1362"/>
        <v>18.67639999999999</v>
      </c>
      <c r="H1287" s="2">
        <f t="shared" si="1363"/>
        <v>-1.3352337536303605E-2</v>
      </c>
      <c r="I1287" s="2">
        <f t="shared" ref="I1287:J1287" si="1366">LN(C1286)-LN(C1285)</f>
        <v>-4.7536777841111322E-2</v>
      </c>
      <c r="J1287" s="2">
        <f t="shared" si="1366"/>
        <v>0.13322476112634807</v>
      </c>
    </row>
    <row r="1288" spans="1:10" x14ac:dyDescent="0.45">
      <c r="A1288" s="1">
        <v>42055</v>
      </c>
      <c r="B1288">
        <v>50.81</v>
      </c>
      <c r="C1288">
        <v>1.9100999999999999</v>
      </c>
      <c r="D1288">
        <v>1.8416999999999999</v>
      </c>
      <c r="E1288" s="2">
        <f t="shared" si="1358"/>
        <v>27.498999999999995</v>
      </c>
      <c r="F1288" s="2">
        <f t="shared" si="1360"/>
        <v>26.046399999999995</v>
      </c>
      <c r="G1288" s="2">
        <f t="shared" si="1362"/>
        <v>24.445999999999998</v>
      </c>
      <c r="H1288" s="2">
        <f t="shared" si="1363"/>
        <v>-1.8920774667371187E-2</v>
      </c>
      <c r="I1288" s="2">
        <f t="shared" ref="I1288:J1288" si="1367">LN(C1287)-LN(C1286)</f>
        <v>-5.3047584926546598E-4</v>
      </c>
      <c r="J1288" s="2">
        <f t="shared" si="1367"/>
        <v>1.2200277159621686E-2</v>
      </c>
    </row>
    <row r="1289" spans="1:10" x14ac:dyDescent="0.45">
      <c r="A1289" s="1">
        <v>42058</v>
      </c>
      <c r="B1289">
        <v>49.45</v>
      </c>
      <c r="C1289">
        <v>1.8923000000000001</v>
      </c>
      <c r="D1289">
        <v>1.8382000000000001</v>
      </c>
      <c r="E1289" s="2">
        <f t="shared" si="1358"/>
        <v>28.511799999999994</v>
      </c>
      <c r="F1289" s="2">
        <f t="shared" si="1360"/>
        <v>27.498999999999995</v>
      </c>
      <c r="G1289" s="2">
        <f t="shared" si="1362"/>
        <v>26.046399999999995</v>
      </c>
      <c r="H1289" s="2">
        <f t="shared" si="1363"/>
        <v>-1.9875946595974359E-2</v>
      </c>
      <c r="I1289" s="2">
        <f t="shared" ref="I1289:J1289" si="1368">LN(C1288)-LN(C1287)</f>
        <v>1.3439999918433476E-2</v>
      </c>
      <c r="J1289" s="2">
        <f t="shared" si="1368"/>
        <v>1.4671124972391869E-3</v>
      </c>
    </row>
    <row r="1290" spans="1:10" x14ac:dyDescent="0.45">
      <c r="A1290" s="1">
        <v>42059</v>
      </c>
      <c r="B1290">
        <v>49.28</v>
      </c>
      <c r="C1290">
        <v>1.8744000000000001</v>
      </c>
      <c r="D1290">
        <v>1.8226</v>
      </c>
      <c r="E1290" s="2">
        <f t="shared" si="1358"/>
        <v>27.994399999999995</v>
      </c>
      <c r="F1290" s="2">
        <f t="shared" si="1360"/>
        <v>28.511799999999994</v>
      </c>
      <c r="G1290" s="2">
        <f t="shared" si="1362"/>
        <v>27.498999999999995</v>
      </c>
      <c r="H1290" s="2">
        <f t="shared" si="1363"/>
        <v>-2.7131127536919486E-2</v>
      </c>
      <c r="I1290" s="2">
        <f t="shared" ref="I1290:J1290" si="1369">LN(C1289)-LN(C1288)</f>
        <v>-9.3625762810846114E-3</v>
      </c>
      <c r="J1290" s="2">
        <f t="shared" si="1369"/>
        <v>-1.9022261775510918E-3</v>
      </c>
    </row>
    <row r="1291" spans="1:10" x14ac:dyDescent="0.45">
      <c r="A1291" s="1">
        <v>42060</v>
      </c>
      <c r="B1291">
        <v>50.99</v>
      </c>
      <c r="C1291">
        <v>1.9407000000000001</v>
      </c>
      <c r="D1291">
        <v>1.9169</v>
      </c>
      <c r="E1291" s="2">
        <f t="shared" si="1358"/>
        <v>29.852999999999998</v>
      </c>
      <c r="F1291" s="2">
        <f t="shared" si="1360"/>
        <v>27.994399999999995</v>
      </c>
      <c r="G1291" s="2">
        <f t="shared" si="1362"/>
        <v>28.511799999999994</v>
      </c>
      <c r="H1291" s="2">
        <f t="shared" si="1363"/>
        <v>-3.4437388434569449E-3</v>
      </c>
      <c r="I1291" s="2">
        <f t="shared" ref="I1291:J1291" si="1370">LN(C1290)-LN(C1289)</f>
        <v>-9.5044122164188449E-3</v>
      </c>
      <c r="J1291" s="2">
        <f t="shared" si="1370"/>
        <v>-8.5227788619827161E-3</v>
      </c>
    </row>
    <row r="1292" spans="1:10" x14ac:dyDescent="0.45">
      <c r="A1292" s="1">
        <v>42061</v>
      </c>
      <c r="B1292">
        <v>48.17</v>
      </c>
      <c r="C1292">
        <v>1.8933</v>
      </c>
      <c r="D1292">
        <v>1.9008</v>
      </c>
      <c r="E1292" s="2">
        <f t="shared" si="1358"/>
        <v>31.558600000000002</v>
      </c>
      <c r="F1292" s="2">
        <f t="shared" si="1360"/>
        <v>29.852999999999998</v>
      </c>
      <c r="G1292" s="2">
        <f t="shared" si="1362"/>
        <v>27.994399999999995</v>
      </c>
      <c r="H1292" s="2">
        <f t="shared" si="1363"/>
        <v>3.4111215841800213E-2</v>
      </c>
      <c r="I1292" s="2">
        <f t="shared" ref="I1292:J1292" si="1371">LN(C1291)-LN(C1290)</f>
        <v>3.4760124524463643E-2</v>
      </c>
      <c r="J1292" s="2">
        <f t="shared" si="1371"/>
        <v>5.0445244782088228E-2</v>
      </c>
    </row>
    <row r="1293" spans="1:10" x14ac:dyDescent="0.45">
      <c r="A1293" s="1">
        <v>42062</v>
      </c>
      <c r="B1293">
        <v>49.76</v>
      </c>
      <c r="C1293">
        <v>1.9737</v>
      </c>
      <c r="D1293">
        <v>1.9779</v>
      </c>
      <c r="E1293" s="2">
        <f t="shared" si="1358"/>
        <v>33.252999999999993</v>
      </c>
      <c r="F1293" s="2">
        <f t="shared" si="1360"/>
        <v>31.558600000000002</v>
      </c>
      <c r="G1293" s="2">
        <f t="shared" si="1362"/>
        <v>29.852999999999998</v>
      </c>
      <c r="H1293" s="2">
        <f t="shared" si="1363"/>
        <v>-5.6893114424934943E-2</v>
      </c>
      <c r="I1293" s="2">
        <f t="shared" ref="I1293:J1293" si="1372">LN(C1292)-LN(C1291)</f>
        <v>-2.4727394459746033E-2</v>
      </c>
      <c r="J1293" s="2">
        <f t="shared" si="1372"/>
        <v>-8.4344476757888254E-3</v>
      </c>
    </row>
    <row r="1294" spans="1:10" x14ac:dyDescent="0.45">
      <c r="A1294" s="1">
        <v>42065</v>
      </c>
      <c r="B1294">
        <v>49.59</v>
      </c>
      <c r="C1294">
        <v>1.8873</v>
      </c>
      <c r="D1294">
        <v>1.8973</v>
      </c>
      <c r="E1294" s="2">
        <f t="shared" si="1358"/>
        <v>29.956599999999991</v>
      </c>
      <c r="F1294" s="2">
        <f t="shared" si="1360"/>
        <v>33.252999999999993</v>
      </c>
      <c r="G1294" s="2">
        <f t="shared" si="1362"/>
        <v>31.558600000000002</v>
      </c>
      <c r="H1294" s="2">
        <f t="shared" si="1363"/>
        <v>3.247502778879463E-2</v>
      </c>
      <c r="I1294" s="2">
        <f t="shared" ref="I1294:J1294" si="1373">LN(C1293)-LN(C1292)</f>
        <v>4.1588615501758408E-2</v>
      </c>
      <c r="J1294" s="2">
        <f t="shared" si="1373"/>
        <v>3.9760825619037821E-2</v>
      </c>
    </row>
    <row r="1295" spans="1:10" x14ac:dyDescent="0.45">
      <c r="A1295" s="1">
        <v>42066</v>
      </c>
      <c r="B1295">
        <v>50.52</v>
      </c>
      <c r="C1295">
        <v>1.9395</v>
      </c>
      <c r="D1295">
        <v>1.9499</v>
      </c>
      <c r="E1295" s="2">
        <f t="shared" si="1358"/>
        <v>31.230199999999996</v>
      </c>
      <c r="F1295" s="2">
        <f t="shared" si="1360"/>
        <v>29.956599999999991</v>
      </c>
      <c r="G1295" s="2">
        <f t="shared" si="1362"/>
        <v>33.252999999999993</v>
      </c>
      <c r="H1295" s="2">
        <f t="shared" si="1363"/>
        <v>-3.42224792988155E-3</v>
      </c>
      <c r="I1295" s="2">
        <f t="shared" ref="I1295:J1295" si="1374">LN(C1294)-LN(C1293)</f>
        <v>-4.4762717515968276E-2</v>
      </c>
      <c r="J1295" s="2">
        <f t="shared" si="1374"/>
        <v>-4.1603852917275752E-2</v>
      </c>
    </row>
    <row r="1296" spans="1:10" x14ac:dyDescent="0.45">
      <c r="A1296" s="1">
        <v>42067</v>
      </c>
      <c r="B1296">
        <v>51.53</v>
      </c>
      <c r="C1296">
        <v>1.9013</v>
      </c>
      <c r="D1296">
        <v>1.9257</v>
      </c>
      <c r="E1296" s="2">
        <f t="shared" si="1358"/>
        <v>29.007800000000003</v>
      </c>
      <c r="F1296" s="2">
        <f t="shared" si="1360"/>
        <v>31.230199999999996</v>
      </c>
      <c r="G1296" s="2">
        <f t="shared" si="1362"/>
        <v>29.956599999999991</v>
      </c>
      <c r="H1296" s="2">
        <f t="shared" si="1363"/>
        <v>1.8580096981247962E-2</v>
      </c>
      <c r="I1296" s="2">
        <f t="shared" ref="I1296:J1296" si="1375">LN(C1295)-LN(C1294)</f>
        <v>2.7282971635928188E-2</v>
      </c>
      <c r="J1296" s="2">
        <f t="shared" si="1375"/>
        <v>2.7346266321453205E-2</v>
      </c>
    </row>
    <row r="1297" spans="1:10" x14ac:dyDescent="0.45">
      <c r="A1297" s="1">
        <v>42068</v>
      </c>
      <c r="B1297">
        <v>50.76</v>
      </c>
      <c r="C1297">
        <v>1.8773</v>
      </c>
      <c r="D1297">
        <v>1.8873</v>
      </c>
      <c r="E1297" s="2">
        <f t="shared" si="1358"/>
        <v>28.366599999999995</v>
      </c>
      <c r="F1297" s="2">
        <f t="shared" si="1360"/>
        <v>29.007800000000003</v>
      </c>
      <c r="G1297" s="2">
        <f t="shared" si="1362"/>
        <v>31.230199999999996</v>
      </c>
      <c r="H1297" s="2">
        <f t="shared" si="1363"/>
        <v>1.979486485784232E-2</v>
      </c>
      <c r="I1297" s="2">
        <f t="shared" ref="I1297:J1297" si="1376">LN(C1296)-LN(C1295)</f>
        <v>-1.9892345164481462E-2</v>
      </c>
      <c r="J1297" s="2">
        <f t="shared" si="1376"/>
        <v>-1.2488551205699028E-2</v>
      </c>
    </row>
    <row r="1298" spans="1:10" x14ac:dyDescent="0.45">
      <c r="A1298" s="1">
        <v>42069</v>
      </c>
      <c r="B1298">
        <v>49.61</v>
      </c>
      <c r="C1298">
        <v>1.869</v>
      </c>
      <c r="D1298">
        <v>1.8818999999999999</v>
      </c>
      <c r="E1298" s="2">
        <f t="shared" si="1358"/>
        <v>29.249200000000013</v>
      </c>
      <c r="F1298" s="2">
        <f t="shared" si="1360"/>
        <v>28.366599999999995</v>
      </c>
      <c r="G1298" s="2">
        <f t="shared" si="1362"/>
        <v>29.007800000000003</v>
      </c>
      <c r="H1298" s="2">
        <f t="shared" si="1363"/>
        <v>-1.5055519493945901E-2</v>
      </c>
      <c r="I1298" s="2">
        <f t="shared" ref="I1298:J1298" si="1377">LN(C1297)-LN(C1296)</f>
        <v>-1.2703288385223943E-2</v>
      </c>
      <c r="J1298" s="2">
        <f t="shared" si="1377"/>
        <v>-2.014230174174847E-2</v>
      </c>
    </row>
    <row r="1299" spans="1:10" x14ac:dyDescent="0.45">
      <c r="A1299" s="1">
        <v>42072</v>
      </c>
      <c r="B1299">
        <v>50</v>
      </c>
      <c r="C1299">
        <v>1.8398000000000001</v>
      </c>
      <c r="D1299">
        <v>1.8747</v>
      </c>
      <c r="E1299" s="2">
        <f t="shared" si="1358"/>
        <v>28.248800000000006</v>
      </c>
      <c r="F1299" s="2">
        <f t="shared" si="1360"/>
        <v>29.249200000000013</v>
      </c>
      <c r="G1299" s="2">
        <f t="shared" si="1362"/>
        <v>28.366599999999995</v>
      </c>
      <c r="H1299" s="2">
        <f t="shared" si="1363"/>
        <v>-2.2916216533229505E-2</v>
      </c>
      <c r="I1299" s="2">
        <f t="shared" ref="I1299:J1299" si="1378">LN(C1298)-LN(C1297)</f>
        <v>-4.4310458747536252E-3</v>
      </c>
      <c r="J1299" s="2">
        <f t="shared" si="1378"/>
        <v>-2.865331473286381E-3</v>
      </c>
    </row>
    <row r="1300" spans="1:10" x14ac:dyDescent="0.45">
      <c r="A1300" s="1">
        <v>42073</v>
      </c>
      <c r="B1300">
        <v>48.29</v>
      </c>
      <c r="C1300">
        <v>1.8134999999999999</v>
      </c>
      <c r="D1300">
        <v>1.8183</v>
      </c>
      <c r="E1300" s="2">
        <f t="shared" si="1358"/>
        <v>28.011399999999998</v>
      </c>
      <c r="F1300" s="2">
        <f t="shared" si="1360"/>
        <v>28.248800000000006</v>
      </c>
      <c r="G1300" s="2">
        <f t="shared" si="1362"/>
        <v>29.249200000000013</v>
      </c>
      <c r="H1300" s="2">
        <f t="shared" si="1363"/>
        <v>7.830579115188474E-3</v>
      </c>
      <c r="I1300" s="2">
        <f t="shared" ref="I1300:J1300" si="1379">LN(C1299)-LN(C1298)</f>
        <v>-1.5746658412505887E-2</v>
      </c>
      <c r="J1300" s="2">
        <f t="shared" si="1379"/>
        <v>-3.8332581676615574E-3</v>
      </c>
    </row>
    <row r="1301" spans="1:10" x14ac:dyDescent="0.45">
      <c r="A1301" s="1">
        <v>42074</v>
      </c>
      <c r="B1301">
        <v>48.17</v>
      </c>
      <c r="C1301">
        <v>1.8204</v>
      </c>
      <c r="D1301">
        <v>1.8264</v>
      </c>
      <c r="E1301" s="2">
        <f t="shared" si="1358"/>
        <v>28.454799999999995</v>
      </c>
      <c r="F1301" s="2">
        <f t="shared" si="1360"/>
        <v>28.011399999999998</v>
      </c>
      <c r="G1301" s="2">
        <f t="shared" si="1362"/>
        <v>28.248800000000006</v>
      </c>
      <c r="H1301" s="2">
        <f t="shared" si="1363"/>
        <v>-3.479850554269559E-2</v>
      </c>
      <c r="I1301" s="2">
        <f t="shared" ref="I1301:J1301" si="1380">LN(C1300)-LN(C1299)</f>
        <v>-1.4398190320099924E-2</v>
      </c>
      <c r="J1301" s="2">
        <f t="shared" si="1380"/>
        <v>-3.0546647977796604E-2</v>
      </c>
    </row>
    <row r="1302" spans="1:10" x14ac:dyDescent="0.45">
      <c r="A1302" s="1">
        <v>42075</v>
      </c>
      <c r="B1302">
        <v>47.05</v>
      </c>
      <c r="C1302">
        <v>1.7790999999999999</v>
      </c>
      <c r="D1302">
        <v>1.8069</v>
      </c>
      <c r="E1302" s="2">
        <f t="shared" si="1358"/>
        <v>28.450600000000009</v>
      </c>
      <c r="F1302" s="2">
        <f t="shared" si="1360"/>
        <v>28.454799999999995</v>
      </c>
      <c r="G1302" s="2">
        <f t="shared" si="1362"/>
        <v>28.011399999999998</v>
      </c>
      <c r="H1302" s="2">
        <f t="shared" si="1363"/>
        <v>-2.4880792433208399E-3</v>
      </c>
      <c r="I1302" s="2">
        <f t="shared" ref="I1302:J1302" si="1381">LN(C1301)-LN(C1300)</f>
        <v>3.7975774195299072E-3</v>
      </c>
      <c r="J1302" s="2">
        <f t="shared" si="1381"/>
        <v>4.4448175902367382E-3</v>
      </c>
    </row>
    <row r="1303" spans="1:10" x14ac:dyDescent="0.45">
      <c r="A1303" s="1">
        <v>42076</v>
      </c>
      <c r="B1303">
        <v>44.84</v>
      </c>
      <c r="C1303">
        <v>1.7130000000000001</v>
      </c>
      <c r="D1303">
        <v>1.7623</v>
      </c>
      <c r="E1303" s="2">
        <f t="shared" si="1358"/>
        <v>28.486399999999993</v>
      </c>
      <c r="F1303" s="2">
        <f t="shared" si="1360"/>
        <v>28.450600000000009</v>
      </c>
      <c r="G1303" s="2">
        <f t="shared" si="1362"/>
        <v>28.454799999999995</v>
      </c>
      <c r="H1303" s="2">
        <f t="shared" si="1363"/>
        <v>-2.3525554610741128E-2</v>
      </c>
      <c r="I1303" s="2">
        <f t="shared" ref="I1303:J1303" si="1382">LN(C1302)-LN(C1301)</f>
        <v>-2.2948638701757118E-2</v>
      </c>
      <c r="J1303" s="2">
        <f t="shared" si="1382"/>
        <v>-1.0734146497800801E-2</v>
      </c>
    </row>
    <row r="1304" spans="1:10" x14ac:dyDescent="0.45">
      <c r="A1304" s="1">
        <v>42079</v>
      </c>
      <c r="B1304">
        <v>43.88</v>
      </c>
      <c r="C1304">
        <v>1.6986000000000001</v>
      </c>
      <c r="D1304">
        <v>1.7285999999999999</v>
      </c>
      <c r="E1304" s="2">
        <f t="shared" si="1358"/>
        <v>28.301199999999984</v>
      </c>
      <c r="F1304" s="2">
        <f t="shared" si="1360"/>
        <v>28.486399999999993</v>
      </c>
      <c r="G1304" s="2">
        <f t="shared" si="1362"/>
        <v>28.450600000000009</v>
      </c>
      <c r="H1304" s="2">
        <f t="shared" si="1363"/>
        <v>-4.8110267827428999E-2</v>
      </c>
      <c r="I1304" s="2">
        <f t="shared" ref="I1304:J1304" si="1383">LN(C1303)-LN(C1302)</f>
        <v>-3.7861399116609795E-2</v>
      </c>
      <c r="J1304" s="2">
        <f t="shared" si="1383"/>
        <v>-2.4992895647461322E-2</v>
      </c>
    </row>
    <row r="1305" spans="1:10" x14ac:dyDescent="0.45">
      <c r="A1305" s="1">
        <v>42080</v>
      </c>
      <c r="B1305">
        <v>43.46</v>
      </c>
      <c r="C1305">
        <v>1.6939</v>
      </c>
      <c r="D1305">
        <v>1.7301</v>
      </c>
      <c r="E1305" s="2">
        <f t="shared" si="1358"/>
        <v>28.697399999999998</v>
      </c>
      <c r="F1305" s="2">
        <f t="shared" si="1360"/>
        <v>28.301199999999984</v>
      </c>
      <c r="G1305" s="2">
        <f t="shared" si="1362"/>
        <v>28.486399999999993</v>
      </c>
      <c r="H1305" s="2">
        <f t="shared" si="1363"/>
        <v>-2.1641962796929981E-2</v>
      </c>
      <c r="I1305" s="2">
        <f t="shared" ref="I1305:J1305" si="1384">LN(C1304)-LN(C1303)</f>
        <v>-8.4418369782109925E-3</v>
      </c>
      <c r="J1305" s="2">
        <f t="shared" si="1384"/>
        <v>-1.9307941751785962E-2</v>
      </c>
    </row>
    <row r="1306" spans="1:10" x14ac:dyDescent="0.45">
      <c r="A1306" s="1">
        <v>42081</v>
      </c>
      <c r="B1306">
        <v>46.65</v>
      </c>
      <c r="C1306">
        <v>1.7725</v>
      </c>
      <c r="D1306">
        <v>1.7990999999999999</v>
      </c>
      <c r="E1306" s="2">
        <f t="shared" si="1358"/>
        <v>28.539799999999996</v>
      </c>
      <c r="F1306" s="2">
        <f t="shared" si="1360"/>
        <v>28.697399999999998</v>
      </c>
      <c r="G1306" s="2">
        <f t="shared" si="1362"/>
        <v>28.301199999999984</v>
      </c>
      <c r="H1306" s="2">
        <f t="shared" si="1363"/>
        <v>-9.6176605787459124E-3</v>
      </c>
      <c r="I1306" s="2">
        <f t="shared" ref="I1306:J1306" si="1385">LN(C1305)-LN(C1304)</f>
        <v>-2.7708197535728507E-3</v>
      </c>
      <c r="J1306" s="2">
        <f t="shared" si="1385"/>
        <v>8.6737797093883184E-4</v>
      </c>
    </row>
    <row r="1307" spans="1:10" x14ac:dyDescent="0.45">
      <c r="A1307" s="1">
        <v>42082</v>
      </c>
      <c r="B1307">
        <v>45.53</v>
      </c>
      <c r="C1307">
        <v>1.7027000000000001</v>
      </c>
      <c r="D1307">
        <v>1.7715000000000001</v>
      </c>
      <c r="E1307" s="2">
        <f t="shared" si="1358"/>
        <v>27.909800000000008</v>
      </c>
      <c r="F1307" s="2">
        <f t="shared" si="1360"/>
        <v>28.539799999999996</v>
      </c>
      <c r="G1307" s="2">
        <f t="shared" si="1362"/>
        <v>28.697399999999998</v>
      </c>
      <c r="H1307" s="2">
        <f t="shared" si="1363"/>
        <v>7.0831952465069126E-2</v>
      </c>
      <c r="I1307" s="2">
        <f t="shared" ref="I1307:J1307" si="1386">LN(C1306)-LN(C1305)</f>
        <v>4.535741681394645E-2</v>
      </c>
      <c r="J1307" s="2">
        <f t="shared" si="1386"/>
        <v>3.9107329553097148E-2</v>
      </c>
    </row>
    <row r="1308" spans="1:10" x14ac:dyDescent="0.45">
      <c r="A1308" s="1">
        <v>42083</v>
      </c>
      <c r="B1308">
        <v>46.57</v>
      </c>
      <c r="C1308">
        <v>1.716</v>
      </c>
      <c r="D1308">
        <v>1.7948</v>
      </c>
      <c r="E1308" s="2">
        <f t="shared" si="1358"/>
        <v>27.708399999999994</v>
      </c>
      <c r="F1308" s="2">
        <f t="shared" si="1360"/>
        <v>27.909800000000008</v>
      </c>
      <c r="G1308" s="2">
        <f t="shared" si="1362"/>
        <v>28.539799999999996</v>
      </c>
      <c r="H1308" s="2">
        <f t="shared" si="1363"/>
        <v>-2.4301477946661709E-2</v>
      </c>
      <c r="I1308" s="2">
        <f t="shared" ref="I1308:J1308" si="1387">LN(C1307)-LN(C1306)</f>
        <v>-4.0175752979684232E-2</v>
      </c>
      <c r="J1308" s="2">
        <f t="shared" si="1387"/>
        <v>-1.5459894537046992E-2</v>
      </c>
    </row>
    <row r="1309" spans="1:10" x14ac:dyDescent="0.45">
      <c r="A1309" s="1">
        <v>42086</v>
      </c>
      <c r="B1309">
        <v>47.45</v>
      </c>
      <c r="C1309">
        <v>1.718</v>
      </c>
      <c r="D1309">
        <v>1.8031999999999999</v>
      </c>
      <c r="E1309" s="2">
        <f t="shared" si="1358"/>
        <v>27.091599999999989</v>
      </c>
      <c r="F1309" s="2">
        <f t="shared" si="1360"/>
        <v>27.708399999999994</v>
      </c>
      <c r="G1309" s="2">
        <f t="shared" si="1362"/>
        <v>27.909800000000008</v>
      </c>
      <c r="H1309" s="2">
        <f t="shared" si="1363"/>
        <v>2.2585107647595137E-2</v>
      </c>
      <c r="I1309" s="2">
        <f t="shared" ref="I1309:J1309" si="1388">LN(C1308)-LN(C1307)</f>
        <v>7.7807746213092166E-3</v>
      </c>
      <c r="J1309" s="2">
        <f t="shared" si="1388"/>
        <v>1.3066949796301519E-2</v>
      </c>
    </row>
    <row r="1310" spans="1:10" x14ac:dyDescent="0.45">
      <c r="A1310" s="1">
        <v>42087</v>
      </c>
      <c r="B1310">
        <v>47.51</v>
      </c>
      <c r="C1310">
        <v>1.7007000000000001</v>
      </c>
      <c r="D1310">
        <v>1.7977000000000001</v>
      </c>
      <c r="E1310" s="2">
        <f t="shared" si="1358"/>
        <v>26.635399999999994</v>
      </c>
      <c r="F1310" s="2">
        <f t="shared" si="1360"/>
        <v>27.091599999999989</v>
      </c>
      <c r="G1310" s="2">
        <f t="shared" si="1362"/>
        <v>27.708399999999994</v>
      </c>
      <c r="H1310" s="2">
        <f t="shared" si="1363"/>
        <v>1.8719968061650771E-2</v>
      </c>
      <c r="I1310" s="2">
        <f t="shared" ref="I1310:J1310" si="1389">LN(C1309)-LN(C1308)</f>
        <v>1.1648224962931275E-3</v>
      </c>
      <c r="J1310" s="2">
        <f t="shared" si="1389"/>
        <v>4.6692691836835998E-3</v>
      </c>
    </row>
    <row r="1311" spans="1:10" x14ac:dyDescent="0.45">
      <c r="A1311" s="1">
        <v>42088</v>
      </c>
      <c r="B1311">
        <v>49.21</v>
      </c>
      <c r="C1311">
        <v>1.7225999999999999</v>
      </c>
      <c r="D1311">
        <v>1.8348</v>
      </c>
      <c r="E1311" s="2">
        <f t="shared" si="1358"/>
        <v>26.280799999999999</v>
      </c>
      <c r="F1311" s="2">
        <f t="shared" si="1360"/>
        <v>26.635399999999994</v>
      </c>
      <c r="G1311" s="2">
        <f t="shared" si="1362"/>
        <v>27.091599999999989</v>
      </c>
      <c r="H1311" s="2">
        <f t="shared" si="1363"/>
        <v>1.2636901428932923E-3</v>
      </c>
      <c r="I1311" s="2">
        <f t="shared" ref="I1311:J1311" si="1390">LN(C1310)-LN(C1309)</f>
        <v>-1.0120892545832927E-2</v>
      </c>
      <c r="J1311" s="2">
        <f t="shared" si="1390"/>
        <v>-3.0547942331414779E-3</v>
      </c>
    </row>
    <row r="1312" spans="1:10" x14ac:dyDescent="0.45">
      <c r="A1312" s="1">
        <v>42089</v>
      </c>
      <c r="B1312">
        <v>51.43</v>
      </c>
      <c r="C1312">
        <v>1.7856000000000001</v>
      </c>
      <c r="D1312">
        <v>1.8815</v>
      </c>
      <c r="E1312" s="2">
        <f t="shared" si="1358"/>
        <v>26.250400000000003</v>
      </c>
      <c r="F1312" s="2">
        <f t="shared" si="1360"/>
        <v>26.280799999999999</v>
      </c>
      <c r="G1312" s="2">
        <f t="shared" si="1362"/>
        <v>26.635399999999994</v>
      </c>
      <c r="H1312" s="2">
        <f t="shared" si="1363"/>
        <v>3.5156639679056578E-2</v>
      </c>
      <c r="I1312" s="2">
        <f t="shared" ref="I1312:J1312" si="1391">LN(C1311)-LN(C1310)</f>
        <v>1.2794846356705469E-2</v>
      </c>
      <c r="J1312" s="2">
        <f t="shared" si="1391"/>
        <v>2.0427413670646599E-2</v>
      </c>
    </row>
    <row r="1313" spans="1:10" x14ac:dyDescent="0.45">
      <c r="A1313" s="1">
        <v>42090</v>
      </c>
      <c r="B1313">
        <v>48.87</v>
      </c>
      <c r="C1313">
        <v>1.7216</v>
      </c>
      <c r="D1313">
        <v>1.7968</v>
      </c>
      <c r="E1313" s="2">
        <f t="shared" si="1358"/>
        <v>25.5428</v>
      </c>
      <c r="F1313" s="2">
        <f t="shared" si="1360"/>
        <v>26.250400000000003</v>
      </c>
      <c r="G1313" s="2">
        <f t="shared" si="1362"/>
        <v>26.280799999999999</v>
      </c>
      <c r="H1313" s="2">
        <f t="shared" si="1363"/>
        <v>4.412480490893822E-2</v>
      </c>
      <c r="I1313" s="2">
        <f t="shared" ref="I1313:J1313" si="1392">LN(C1312)-LN(C1311)</f>
        <v>3.5919715831918664E-2</v>
      </c>
      <c r="J1313" s="2">
        <f t="shared" si="1392"/>
        <v>2.5133847310474966E-2</v>
      </c>
    </row>
    <row r="1314" spans="1:10" x14ac:dyDescent="0.45">
      <c r="A1314" s="1">
        <v>42093</v>
      </c>
      <c r="B1314">
        <v>48.68</v>
      </c>
      <c r="C1314">
        <v>1.7281</v>
      </c>
      <c r="D1314">
        <v>1.7951999999999999</v>
      </c>
      <c r="E1314" s="2">
        <f t="shared" si="1358"/>
        <v>25.779000000000007</v>
      </c>
      <c r="F1314" s="2">
        <f t="shared" si="1360"/>
        <v>25.5428</v>
      </c>
      <c r="G1314" s="2">
        <f t="shared" si="1362"/>
        <v>26.250400000000003</v>
      </c>
      <c r="H1314" s="2">
        <f t="shared" si="1363"/>
        <v>-5.105794850476153E-2</v>
      </c>
      <c r="I1314" s="2">
        <f t="shared" ref="I1314:J1314" si="1393">LN(C1313)-LN(C1312)</f>
        <v>-3.6500402219526551E-2</v>
      </c>
      <c r="J1314" s="2">
        <f t="shared" si="1393"/>
        <v>-4.6062026049313198E-2</v>
      </c>
    </row>
    <row r="1315" spans="1:10" x14ac:dyDescent="0.45">
      <c r="A1315" s="1">
        <v>42094</v>
      </c>
      <c r="B1315">
        <v>47.6</v>
      </c>
      <c r="C1315">
        <v>1.708</v>
      </c>
      <c r="D1315">
        <v>1.77</v>
      </c>
      <c r="E1315" s="2">
        <f t="shared" si="1358"/>
        <v>25.871999999999996</v>
      </c>
      <c r="F1315" s="2">
        <f t="shared" si="1360"/>
        <v>25.779000000000007</v>
      </c>
      <c r="G1315" s="2">
        <f t="shared" si="1362"/>
        <v>25.5428</v>
      </c>
      <c r="H1315" s="2">
        <f t="shared" si="1363"/>
        <v>-3.8954431627371555E-3</v>
      </c>
      <c r="I1315" s="2">
        <f t="shared" ref="I1315:J1315" si="1394">LN(C1314)-LN(C1313)</f>
        <v>3.7684480924806696E-3</v>
      </c>
      <c r="J1315" s="2">
        <f t="shared" si="1394"/>
        <v>-8.9086865580156882E-4</v>
      </c>
    </row>
    <row r="1316" spans="1:10" x14ac:dyDescent="0.45">
      <c r="A1316" s="1">
        <v>42095</v>
      </c>
      <c r="B1316">
        <v>50.09</v>
      </c>
      <c r="C1316">
        <v>1.7468999999999999</v>
      </c>
      <c r="D1316">
        <v>1.8311999999999999</v>
      </c>
      <c r="E1316" s="2">
        <f t="shared" si="1358"/>
        <v>25.640199999999993</v>
      </c>
      <c r="F1316" s="2">
        <f t="shared" si="1360"/>
        <v>25.871999999999996</v>
      </c>
      <c r="G1316" s="2">
        <f t="shared" si="1362"/>
        <v>25.779000000000007</v>
      </c>
      <c r="H1316" s="2">
        <f t="shared" si="1363"/>
        <v>-2.2435506881951728E-2</v>
      </c>
      <c r="I1316" s="2">
        <f t="shared" ref="I1316:J1316" si="1395">LN(C1315)-LN(C1314)</f>
        <v>-1.1699443711430835E-2</v>
      </c>
      <c r="J1316" s="2">
        <f t="shared" si="1395"/>
        <v>-1.4136889760502314E-2</v>
      </c>
    </row>
    <row r="1317" spans="1:10" x14ac:dyDescent="0.45">
      <c r="A1317" s="1">
        <v>42096</v>
      </c>
      <c r="B1317">
        <v>49.14</v>
      </c>
      <c r="C1317">
        <v>1.6825000000000001</v>
      </c>
      <c r="D1317">
        <v>1.7613000000000001</v>
      </c>
      <c r="E1317" s="2">
        <f t="shared" si="1358"/>
        <v>23.731400000000008</v>
      </c>
      <c r="F1317" s="2">
        <f t="shared" si="1360"/>
        <v>25.640199999999993</v>
      </c>
      <c r="G1317" s="2">
        <f t="shared" si="1362"/>
        <v>25.871999999999996</v>
      </c>
      <c r="H1317" s="2">
        <f t="shared" si="1363"/>
        <v>5.0988626132150827E-2</v>
      </c>
      <c r="I1317" s="2">
        <f t="shared" ref="I1317:J1317" si="1396">LN(C1316)-LN(C1315)</f>
        <v>2.2519693162668775E-2</v>
      </c>
      <c r="J1317" s="2">
        <f t="shared" si="1396"/>
        <v>3.3991943070482034E-2</v>
      </c>
    </row>
    <row r="1318" spans="1:10" x14ac:dyDescent="0.45">
      <c r="A1318" s="1">
        <v>42100</v>
      </c>
      <c r="B1318">
        <v>52.14</v>
      </c>
      <c r="C1318">
        <v>1.7643</v>
      </c>
      <c r="D1318">
        <v>1.8425</v>
      </c>
      <c r="E1318" s="2">
        <f t="shared" si="1358"/>
        <v>24.150200000000002</v>
      </c>
      <c r="F1318" s="2">
        <f t="shared" si="1360"/>
        <v>23.731400000000008</v>
      </c>
      <c r="G1318" s="2">
        <f t="shared" si="1362"/>
        <v>25.640199999999993</v>
      </c>
      <c r="H1318" s="2">
        <f t="shared" si="1363"/>
        <v>-1.9148020276492428E-2</v>
      </c>
      <c r="I1318" s="2">
        <f t="shared" ref="I1318:J1318" si="1397">LN(C1317)-LN(C1316)</f>
        <v>-3.7562005992300973E-2</v>
      </c>
      <c r="J1318" s="2">
        <f t="shared" si="1397"/>
        <v>-3.891931690010686E-2</v>
      </c>
    </row>
    <row r="1319" spans="1:10" x14ac:dyDescent="0.45">
      <c r="A1319" s="1">
        <v>42101</v>
      </c>
      <c r="B1319">
        <v>53.98</v>
      </c>
      <c r="C1319">
        <v>1.7838000000000001</v>
      </c>
      <c r="D1319">
        <v>1.8609</v>
      </c>
      <c r="E1319" s="2">
        <f t="shared" si="1358"/>
        <v>23.098399999999998</v>
      </c>
      <c r="F1319" s="2">
        <f t="shared" si="1360"/>
        <v>24.150200000000002</v>
      </c>
      <c r="G1319" s="2">
        <f t="shared" si="1362"/>
        <v>23.731400000000008</v>
      </c>
      <c r="H1319" s="2">
        <f t="shared" si="1363"/>
        <v>5.9259041412322855E-2</v>
      </c>
      <c r="I1319" s="2">
        <f t="shared" ref="I1319:J1319" si="1398">LN(C1318)-LN(C1317)</f>
        <v>4.7473228615137031E-2</v>
      </c>
      <c r="J1319" s="2">
        <f t="shared" si="1398"/>
        <v>4.5071172325241715E-2</v>
      </c>
    </row>
    <row r="1320" spans="1:10" x14ac:dyDescent="0.45">
      <c r="A1320" s="1">
        <v>42102</v>
      </c>
      <c r="B1320">
        <v>50.42</v>
      </c>
      <c r="C1320">
        <v>1.6980999999999999</v>
      </c>
      <c r="D1320">
        <v>1.7392000000000001</v>
      </c>
      <c r="E1320" s="2">
        <f t="shared" si="1358"/>
        <v>22.051000000000005</v>
      </c>
      <c r="F1320" s="2">
        <f t="shared" si="1360"/>
        <v>23.098399999999998</v>
      </c>
      <c r="G1320" s="2">
        <f t="shared" si="1362"/>
        <v>24.150200000000002</v>
      </c>
      <c r="H1320" s="2">
        <f t="shared" si="1363"/>
        <v>3.4681199084502623E-2</v>
      </c>
      <c r="I1320" s="2">
        <f t="shared" ref="I1320:J1320" si="1399">LN(C1319)-LN(C1318)</f>
        <v>1.0991909098087005E-2</v>
      </c>
      <c r="J1320" s="2">
        <f t="shared" si="1399"/>
        <v>9.9368965836897916E-3</v>
      </c>
    </row>
    <row r="1321" spans="1:10" x14ac:dyDescent="0.45">
      <c r="A1321" s="1">
        <v>42103</v>
      </c>
      <c r="B1321">
        <v>50.79</v>
      </c>
      <c r="C1321">
        <v>1.7267999999999999</v>
      </c>
      <c r="D1321">
        <v>1.7592000000000001</v>
      </c>
      <c r="E1321" s="2">
        <f t="shared" si="1358"/>
        <v>22.642800000000005</v>
      </c>
      <c r="F1321" s="2">
        <f t="shared" si="1360"/>
        <v>22.051000000000005</v>
      </c>
      <c r="G1321" s="2">
        <f t="shared" si="1362"/>
        <v>23.098399999999998</v>
      </c>
      <c r="H1321" s="2">
        <f t="shared" si="1363"/>
        <v>-6.8225685830084704E-2</v>
      </c>
      <c r="I1321" s="2">
        <f t="shared" ref="I1321:J1321" si="1400">LN(C1320)-LN(C1319)</f>
        <v>-4.9235941279851647E-2</v>
      </c>
      <c r="J1321" s="2">
        <f t="shared" si="1400"/>
        <v>-6.7635004280236499E-2</v>
      </c>
    </row>
    <row r="1322" spans="1:10" x14ac:dyDescent="0.45">
      <c r="A1322" s="1">
        <v>42104</v>
      </c>
      <c r="B1322">
        <v>51.64</v>
      </c>
      <c r="C1322">
        <v>1.7661</v>
      </c>
      <c r="D1322">
        <v>1.8072999999999999</v>
      </c>
      <c r="E1322" s="2">
        <f t="shared" si="1358"/>
        <v>23.689799999999991</v>
      </c>
      <c r="F1322" s="2">
        <f t="shared" si="1360"/>
        <v>22.642800000000005</v>
      </c>
      <c r="G1322" s="2">
        <f t="shared" si="1362"/>
        <v>22.051000000000005</v>
      </c>
      <c r="H1322" s="2">
        <f t="shared" si="1363"/>
        <v>7.311563053379988E-3</v>
      </c>
      <c r="I1322" s="2">
        <f t="shared" ref="I1322:J1322" si="1401">LN(C1321)-LN(C1320)</f>
        <v>1.6760005729066996E-2</v>
      </c>
      <c r="J1322" s="2">
        <f t="shared" si="1401"/>
        <v>1.143392287360645E-2</v>
      </c>
    </row>
    <row r="1323" spans="1:10" x14ac:dyDescent="0.45">
      <c r="A1323" s="1">
        <v>42107</v>
      </c>
      <c r="B1323">
        <v>51.91</v>
      </c>
      <c r="C1323">
        <v>1.7833000000000001</v>
      </c>
      <c r="D1323">
        <v>1.8046</v>
      </c>
      <c r="E1323" s="2">
        <f t="shared" si="1358"/>
        <v>23.585000000000008</v>
      </c>
      <c r="F1323" s="2">
        <f t="shared" si="1360"/>
        <v>23.689799999999991</v>
      </c>
      <c r="G1323" s="2">
        <f t="shared" si="1362"/>
        <v>22.642800000000005</v>
      </c>
      <c r="H1323" s="2">
        <f t="shared" si="1363"/>
        <v>1.6597081165288241E-2</v>
      </c>
      <c r="I1323" s="2">
        <f t="shared" ref="I1323:J1323" si="1402">LN(C1322)-LN(C1321)</f>
        <v>2.2503741021003054E-2</v>
      </c>
      <c r="J1323" s="2">
        <f t="shared" si="1402"/>
        <v>2.6974858601041429E-2</v>
      </c>
    </row>
    <row r="1324" spans="1:10" x14ac:dyDescent="0.45">
      <c r="A1324" s="1">
        <v>42108</v>
      </c>
      <c r="B1324">
        <v>53.29</v>
      </c>
      <c r="C1324">
        <v>1.8017000000000001</v>
      </c>
      <c r="D1324">
        <v>1.8360000000000001</v>
      </c>
      <c r="E1324" s="2">
        <f t="shared" si="1358"/>
        <v>23.341800000000006</v>
      </c>
      <c r="F1324" s="2">
        <f t="shared" si="1360"/>
        <v>23.585000000000008</v>
      </c>
      <c r="G1324" s="2">
        <f t="shared" si="1362"/>
        <v>23.689799999999991</v>
      </c>
      <c r="H1324" s="2">
        <f t="shared" si="1363"/>
        <v>5.2148838606957959E-3</v>
      </c>
      <c r="I1324" s="2">
        <f t="shared" ref="I1324:J1324" si="1403">LN(C1323)-LN(C1322)</f>
        <v>9.6918547561422042E-3</v>
      </c>
      <c r="J1324" s="2">
        <f t="shared" si="1403"/>
        <v>-1.4950582811925628E-3</v>
      </c>
    </row>
    <row r="1325" spans="1:10" x14ac:dyDescent="0.45">
      <c r="A1325" s="1">
        <v>42109</v>
      </c>
      <c r="B1325">
        <v>56.39</v>
      </c>
      <c r="C1325">
        <v>1.8888</v>
      </c>
      <c r="D1325">
        <v>1.9359999999999999</v>
      </c>
      <c r="E1325" s="2">
        <f t="shared" si="1358"/>
        <v>24.261199999999992</v>
      </c>
      <c r="F1325" s="2">
        <f t="shared" si="1360"/>
        <v>23.341800000000006</v>
      </c>
      <c r="G1325" s="2">
        <f t="shared" si="1362"/>
        <v>23.585000000000008</v>
      </c>
      <c r="H1325" s="2">
        <f t="shared" si="1363"/>
        <v>2.6237246469553277E-2</v>
      </c>
      <c r="I1325" s="2">
        <f t="shared" ref="I1325:J1325" si="1404">LN(C1324)-LN(C1323)</f>
        <v>1.0265083163186861E-2</v>
      </c>
      <c r="J1325" s="2">
        <f t="shared" si="1404"/>
        <v>1.725033162003542E-2</v>
      </c>
    </row>
    <row r="1326" spans="1:10" x14ac:dyDescent="0.45">
      <c r="A1326" s="1">
        <v>42110</v>
      </c>
      <c r="B1326">
        <v>56.71</v>
      </c>
      <c r="C1326">
        <v>1.9079999999999999</v>
      </c>
      <c r="D1326">
        <v>1.9354</v>
      </c>
      <c r="E1326" s="2">
        <f t="shared" si="1358"/>
        <v>24.193200000000001</v>
      </c>
      <c r="F1326" s="2">
        <f t="shared" si="1360"/>
        <v>24.261199999999992</v>
      </c>
      <c r="G1326" s="2">
        <f t="shared" si="1362"/>
        <v>23.341800000000006</v>
      </c>
      <c r="H1326" s="2">
        <f t="shared" si="1363"/>
        <v>5.6543141510399408E-2</v>
      </c>
      <c r="I1326" s="2">
        <f t="shared" ref="I1326:J1326" si="1405">LN(C1325)-LN(C1324)</f>
        <v>4.7211043149648746E-2</v>
      </c>
      <c r="J1326" s="2">
        <f t="shared" si="1405"/>
        <v>5.3034696656086511E-2</v>
      </c>
    </row>
    <row r="1327" spans="1:10" x14ac:dyDescent="0.45">
      <c r="A1327" s="1">
        <v>42111</v>
      </c>
      <c r="B1327">
        <v>57.32</v>
      </c>
      <c r="C1327">
        <v>1.8824000000000001</v>
      </c>
      <c r="D1327">
        <v>1.9298999999999999</v>
      </c>
      <c r="E1327" s="2">
        <f t="shared" si="1358"/>
        <v>23.070800000000002</v>
      </c>
      <c r="F1327" s="2">
        <f t="shared" si="1360"/>
        <v>24.193200000000001</v>
      </c>
      <c r="G1327" s="2">
        <f t="shared" si="1362"/>
        <v>24.261199999999992</v>
      </c>
      <c r="H1327" s="2">
        <f t="shared" si="1363"/>
        <v>5.6587242068459886E-3</v>
      </c>
      <c r="I1327" s="2">
        <f t="shared" ref="I1327:J1327" si="1406">LN(C1326)-LN(C1325)</f>
        <v>1.0113866236928559E-2</v>
      </c>
      <c r="J1327" s="2">
        <f t="shared" si="1406"/>
        <v>-3.0996538968008913E-4</v>
      </c>
    </row>
    <row r="1328" spans="1:10" x14ac:dyDescent="0.45">
      <c r="A1328" s="1">
        <v>42114</v>
      </c>
      <c r="B1328">
        <v>57.88</v>
      </c>
      <c r="C1328">
        <v>1.8817999999999999</v>
      </c>
      <c r="D1328">
        <v>1.9368000000000001</v>
      </c>
      <c r="E1328" s="2">
        <f t="shared" si="1358"/>
        <v>22.695600000000002</v>
      </c>
      <c r="F1328" s="2">
        <f t="shared" si="1360"/>
        <v>23.070800000000002</v>
      </c>
      <c r="G1328" s="2">
        <f t="shared" si="1362"/>
        <v>24.193200000000001</v>
      </c>
      <c r="H1328" s="2">
        <f t="shared" si="1363"/>
        <v>1.069904093403462E-2</v>
      </c>
      <c r="I1328" s="2">
        <f t="shared" ref="I1328:J1328" si="1407">LN(C1327)-LN(C1326)</f>
        <v>-1.3508014595078999E-2</v>
      </c>
      <c r="J1328" s="2">
        <f t="shared" si="1407"/>
        <v>-2.8458353617778487E-3</v>
      </c>
    </row>
    <row r="1329" spans="1:10" x14ac:dyDescent="0.45">
      <c r="A1329" s="1">
        <v>42115</v>
      </c>
      <c r="B1329">
        <v>56.61</v>
      </c>
      <c r="C1329">
        <v>1.8567</v>
      </c>
      <c r="D1329">
        <v>1.8926000000000001</v>
      </c>
      <c r="E1329" s="2">
        <f t="shared" si="1358"/>
        <v>22.376600000000007</v>
      </c>
      <c r="F1329" s="2">
        <f t="shared" si="1360"/>
        <v>22.695600000000002</v>
      </c>
      <c r="G1329" s="2">
        <f t="shared" si="1362"/>
        <v>23.070800000000002</v>
      </c>
      <c r="H1329" s="2">
        <f t="shared" si="1363"/>
        <v>9.7222988033118796E-3</v>
      </c>
      <c r="I1329" s="2">
        <f t="shared" ref="I1329:J1329" si="1408">LN(C1328)-LN(C1327)</f>
        <v>-3.187928404875251E-4</v>
      </c>
      <c r="J1329" s="2">
        <f t="shared" si="1408"/>
        <v>3.568938538784483E-3</v>
      </c>
    </row>
    <row r="1330" spans="1:10" x14ac:dyDescent="0.45">
      <c r="A1330" s="1">
        <v>42116</v>
      </c>
      <c r="B1330">
        <v>56.16</v>
      </c>
      <c r="C1330">
        <v>1.8731</v>
      </c>
      <c r="D1330">
        <v>1.9265000000000001</v>
      </c>
      <c r="E1330" s="2">
        <f t="shared" si="1358"/>
        <v>24.005400000000009</v>
      </c>
      <c r="F1330" s="2">
        <f t="shared" si="1360"/>
        <v>22.376600000000007</v>
      </c>
      <c r="G1330" s="2">
        <f t="shared" si="1362"/>
        <v>22.695600000000002</v>
      </c>
      <c r="H1330" s="2">
        <f t="shared" si="1363"/>
        <v>-2.218625371471461E-2</v>
      </c>
      <c r="I1330" s="2">
        <f t="shared" ref="I1330:J1330" si="1409">LN(C1329)-LN(C1328)</f>
        <v>-1.3428047159239731E-2</v>
      </c>
      <c r="J1330" s="2">
        <f t="shared" si="1409"/>
        <v>-2.3085581549716516E-2</v>
      </c>
    </row>
    <row r="1331" spans="1:10" x14ac:dyDescent="0.45">
      <c r="A1331" s="1">
        <v>42117</v>
      </c>
      <c r="B1331">
        <v>57.74</v>
      </c>
      <c r="C1331">
        <v>1.9268000000000001</v>
      </c>
      <c r="D1331">
        <v>1.9934000000000001</v>
      </c>
      <c r="E1331" s="2">
        <f t="shared" si="1358"/>
        <v>25.050400000000007</v>
      </c>
      <c r="F1331" s="2">
        <f t="shared" si="1360"/>
        <v>24.005400000000009</v>
      </c>
      <c r="G1331" s="2">
        <f t="shared" si="1362"/>
        <v>22.376600000000007</v>
      </c>
      <c r="H1331" s="2">
        <f t="shared" si="1363"/>
        <v>-7.9808883310130696E-3</v>
      </c>
      <c r="I1331" s="2">
        <f t="shared" ref="I1331:J1331" si="1410">LN(C1330)-LN(C1329)</f>
        <v>8.7940938884210063E-3</v>
      </c>
      <c r="J1331" s="2">
        <f t="shared" si="1410"/>
        <v>1.7753339992080064E-2</v>
      </c>
    </row>
    <row r="1332" spans="1:10" x14ac:dyDescent="0.45">
      <c r="A1332" s="1">
        <v>42118</v>
      </c>
      <c r="B1332">
        <v>57.15</v>
      </c>
      <c r="C1332">
        <v>1.9322999999999999</v>
      </c>
      <c r="D1332">
        <v>2.0057999999999998</v>
      </c>
      <c r="E1332" s="2">
        <f t="shared" si="1358"/>
        <v>26.064599999999995</v>
      </c>
      <c r="F1332" s="2">
        <f t="shared" si="1360"/>
        <v>25.050400000000007</v>
      </c>
      <c r="G1332" s="2">
        <f t="shared" si="1362"/>
        <v>24.005400000000009</v>
      </c>
      <c r="H1332" s="2">
        <f t="shared" si="1363"/>
        <v>2.7745414517234224E-2</v>
      </c>
      <c r="I1332" s="2">
        <f t="shared" ref="I1332:J1332" si="1411">LN(C1331)-LN(C1330)</f>
        <v>2.8265783454219262E-2</v>
      </c>
      <c r="J1332" s="2">
        <f t="shared" si="1411"/>
        <v>3.4136838467143549E-2</v>
      </c>
    </row>
    <row r="1333" spans="1:10" x14ac:dyDescent="0.45">
      <c r="A1333" s="1">
        <v>42121</v>
      </c>
      <c r="B1333">
        <v>56.99</v>
      </c>
      <c r="C1333">
        <v>1.9249000000000001</v>
      </c>
      <c r="D1333">
        <v>2.0049000000000001</v>
      </c>
      <c r="E1333" s="2">
        <f t="shared" si="1358"/>
        <v>26.095800000000008</v>
      </c>
      <c r="F1333" s="2">
        <f t="shared" si="1360"/>
        <v>26.064599999999995</v>
      </c>
      <c r="G1333" s="2">
        <f t="shared" si="1362"/>
        <v>25.050400000000007</v>
      </c>
      <c r="H1333" s="2">
        <f t="shared" si="1363"/>
        <v>-1.0270783993969523E-2</v>
      </c>
      <c r="I1333" s="2">
        <f t="shared" ref="I1333:J1333" si="1412">LN(C1332)-LN(C1331)</f>
        <v>2.8504074648888489E-3</v>
      </c>
      <c r="J1333" s="2">
        <f t="shared" si="1412"/>
        <v>6.2012601207519502E-3</v>
      </c>
    </row>
    <row r="1334" spans="1:10" x14ac:dyDescent="0.45">
      <c r="A1334" s="1">
        <v>42122</v>
      </c>
      <c r="B1334">
        <v>57.06</v>
      </c>
      <c r="C1334">
        <v>1.9204000000000001</v>
      </c>
      <c r="D1334">
        <v>1.9968999999999999</v>
      </c>
      <c r="E1334" s="2">
        <f t="shared" si="1358"/>
        <v>25.738799999999998</v>
      </c>
      <c r="F1334" s="2">
        <f t="shared" si="1360"/>
        <v>26.095800000000008</v>
      </c>
      <c r="G1334" s="2">
        <f t="shared" si="1362"/>
        <v>26.064599999999995</v>
      </c>
      <c r="H1334" s="2">
        <f t="shared" si="1363"/>
        <v>-2.8035763939113778E-3</v>
      </c>
      <c r="I1334" s="2">
        <f t="shared" ref="I1334:J1334" si="1413">LN(C1333)-LN(C1332)</f>
        <v>-3.8369849003648815E-3</v>
      </c>
      <c r="J1334" s="2">
        <f t="shared" si="1413"/>
        <v>-4.4879946897369294E-4</v>
      </c>
    </row>
    <row r="1335" spans="1:10" x14ac:dyDescent="0.45">
      <c r="A1335" s="1">
        <v>42123</v>
      </c>
      <c r="B1335">
        <v>58.58</v>
      </c>
      <c r="C1335">
        <v>1.9516</v>
      </c>
      <c r="D1335">
        <v>2.0125000000000002</v>
      </c>
      <c r="E1335" s="2">
        <f t="shared" si="1358"/>
        <v>25.092399999999998</v>
      </c>
      <c r="F1335" s="2">
        <f t="shared" si="1360"/>
        <v>25.738799999999998</v>
      </c>
      <c r="G1335" s="2">
        <f t="shared" si="1362"/>
        <v>26.095800000000008</v>
      </c>
      <c r="H1335" s="2">
        <f t="shared" si="1363"/>
        <v>1.2275319384453809E-3</v>
      </c>
      <c r="I1335" s="2">
        <f t="shared" ref="I1335:J1335" si="1414">LN(C1334)-LN(C1333)</f>
        <v>-2.3405206638044129E-3</v>
      </c>
      <c r="J1335" s="2">
        <f t="shared" si="1414"/>
        <v>-3.9982061357882737E-3</v>
      </c>
    </row>
    <row r="1336" spans="1:10" x14ac:dyDescent="0.45">
      <c r="A1336" s="1">
        <v>42124</v>
      </c>
      <c r="B1336">
        <v>59.63</v>
      </c>
      <c r="C1336">
        <v>1.9804999999999999</v>
      </c>
      <c r="D1336">
        <v>2.0451000000000001</v>
      </c>
      <c r="E1336" s="2">
        <f t="shared" si="1358"/>
        <v>25.359799999999996</v>
      </c>
      <c r="F1336" s="2">
        <f t="shared" si="1360"/>
        <v>25.092399999999998</v>
      </c>
      <c r="G1336" s="2">
        <f t="shared" si="1362"/>
        <v>25.738799999999998</v>
      </c>
      <c r="H1336" s="2">
        <f t="shared" si="1363"/>
        <v>2.6289995614233064E-2</v>
      </c>
      <c r="I1336" s="2">
        <f t="shared" ref="I1336:J1336" si="1415">LN(C1335)-LN(C1334)</f>
        <v>1.6116051284896793E-2</v>
      </c>
      <c r="J1336" s="2">
        <f t="shared" si="1415"/>
        <v>7.7817522433726305E-3</v>
      </c>
    </row>
    <row r="1337" spans="1:10" x14ac:dyDescent="0.45">
      <c r="A1337" s="1">
        <v>42125</v>
      </c>
      <c r="B1337">
        <v>59.15</v>
      </c>
      <c r="C1337">
        <v>1.9822</v>
      </c>
      <c r="D1337">
        <v>2.0453000000000001</v>
      </c>
      <c r="E1337" s="2">
        <f t="shared" si="1358"/>
        <v>25.869200000000006</v>
      </c>
      <c r="F1337" s="2">
        <f t="shared" si="1360"/>
        <v>25.359799999999996</v>
      </c>
      <c r="G1337" s="2">
        <f t="shared" si="1362"/>
        <v>25.092399999999998</v>
      </c>
      <c r="H1337" s="2">
        <f t="shared" si="1363"/>
        <v>1.7765461735427479E-2</v>
      </c>
      <c r="I1337" s="2">
        <f t="shared" ref="I1337:J1337" si="1416">LN(C1336)-LN(C1335)</f>
        <v>1.4699789120289131E-2</v>
      </c>
      <c r="J1337" s="2">
        <f t="shared" si="1416"/>
        <v>1.6068957744130863E-2</v>
      </c>
    </row>
    <row r="1338" spans="1:10" x14ac:dyDescent="0.45">
      <c r="A1338" s="1">
        <v>42128</v>
      </c>
      <c r="B1338">
        <v>58.93</v>
      </c>
      <c r="C1338">
        <v>1.9786999999999999</v>
      </c>
      <c r="D1338">
        <v>2.0339</v>
      </c>
      <c r="E1338" s="2">
        <f t="shared" si="1358"/>
        <v>25.721000000000004</v>
      </c>
      <c r="F1338" s="2">
        <f t="shared" si="1360"/>
        <v>25.869200000000006</v>
      </c>
      <c r="G1338" s="2">
        <f t="shared" si="1362"/>
        <v>25.359799999999996</v>
      </c>
      <c r="H1338" s="2">
        <f t="shared" si="1363"/>
        <v>-8.0822127106188191E-3</v>
      </c>
      <c r="I1338" s="2">
        <f t="shared" ref="I1338:J1338" si="1417">LN(C1337)-LN(C1336)</f>
        <v>8.5800091063681361E-4</v>
      </c>
      <c r="J1338" s="2">
        <f t="shared" si="1417"/>
        <v>9.7789947271276212E-5</v>
      </c>
    </row>
    <row r="1339" spans="1:10" x14ac:dyDescent="0.45">
      <c r="A1339" s="1">
        <v>42129</v>
      </c>
      <c r="B1339">
        <v>60.4</v>
      </c>
      <c r="C1339">
        <v>2.0145</v>
      </c>
      <c r="D1339">
        <v>2.0634000000000001</v>
      </c>
      <c r="E1339" s="2">
        <f t="shared" si="1358"/>
        <v>25.578199999999999</v>
      </c>
      <c r="F1339" s="2">
        <f t="shared" si="1360"/>
        <v>25.721000000000004</v>
      </c>
      <c r="G1339" s="2">
        <f t="shared" si="1362"/>
        <v>25.869200000000006</v>
      </c>
      <c r="H1339" s="2">
        <f t="shared" si="1363"/>
        <v>-3.7262915745737146E-3</v>
      </c>
      <c r="I1339" s="2">
        <f t="shared" ref="I1339:J1339" si="1418">LN(C1338)-LN(C1337)</f>
        <v>-1.7672755742138557E-3</v>
      </c>
      <c r="J1339" s="2">
        <f t="shared" si="1418"/>
        <v>-5.5893457926708967E-3</v>
      </c>
    </row>
    <row r="1340" spans="1:10" x14ac:dyDescent="0.45">
      <c r="A1340" s="1">
        <v>42130</v>
      </c>
      <c r="B1340">
        <v>60.93</v>
      </c>
      <c r="C1340">
        <v>2.0160999999999998</v>
      </c>
      <c r="D1340">
        <v>2.0366</v>
      </c>
      <c r="E1340" s="2">
        <f t="shared" si="1358"/>
        <v>24.3202</v>
      </c>
      <c r="F1340" s="2">
        <f t="shared" si="1360"/>
        <v>25.578199999999999</v>
      </c>
      <c r="G1340" s="2">
        <f t="shared" si="1362"/>
        <v>25.721000000000004</v>
      </c>
      <c r="H1340" s="2">
        <f t="shared" si="1363"/>
        <v>2.4638806090947263E-2</v>
      </c>
      <c r="I1340" s="2">
        <f t="shared" ref="I1340:J1340" si="1419">LN(C1339)-LN(C1338)</f>
        <v>1.7930962233007719E-2</v>
      </c>
      <c r="J1340" s="2">
        <f t="shared" si="1419"/>
        <v>1.4399975474825855E-2</v>
      </c>
    </row>
    <row r="1341" spans="1:10" x14ac:dyDescent="0.45">
      <c r="A1341" s="1">
        <v>42131</v>
      </c>
      <c r="B1341">
        <v>58.94</v>
      </c>
      <c r="C1341">
        <v>1.9617</v>
      </c>
      <c r="D1341">
        <v>1.9903</v>
      </c>
      <c r="E1341" s="2">
        <f t="shared" si="1358"/>
        <v>24.252200000000006</v>
      </c>
      <c r="F1341" s="2">
        <f t="shared" si="1360"/>
        <v>24.3202</v>
      </c>
      <c r="G1341" s="2">
        <f t="shared" si="1362"/>
        <v>25.578199999999999</v>
      </c>
      <c r="H1341" s="2">
        <f t="shared" si="1363"/>
        <v>8.7365593196340186E-3</v>
      </c>
      <c r="I1341" s="2">
        <f t="shared" ref="I1341:J1341" si="1420">LN(C1340)-LN(C1339)</f>
        <v>7.9392650426357569E-4</v>
      </c>
      <c r="J1341" s="2">
        <f t="shared" si="1420"/>
        <v>-1.3073356928710589E-2</v>
      </c>
    </row>
    <row r="1342" spans="1:10" x14ac:dyDescent="0.45">
      <c r="A1342" s="1">
        <v>42132</v>
      </c>
      <c r="B1342">
        <v>59.39</v>
      </c>
      <c r="C1342">
        <v>1.9537</v>
      </c>
      <c r="D1342">
        <v>1.9918</v>
      </c>
      <c r="E1342" s="2">
        <f t="shared" si="1358"/>
        <v>23.732199999999995</v>
      </c>
      <c r="F1342" s="2">
        <f t="shared" si="1360"/>
        <v>24.252200000000006</v>
      </c>
      <c r="G1342" s="2">
        <f t="shared" si="1362"/>
        <v>24.3202</v>
      </c>
      <c r="H1342" s="2">
        <f t="shared" si="1363"/>
        <v>-3.3205686950855018E-2</v>
      </c>
      <c r="I1342" s="2">
        <f t="shared" ref="I1342:J1342" si="1421">LN(C1341)-LN(C1340)</f>
        <v>-2.7353507900325535E-2</v>
      </c>
      <c r="J1342" s="2">
        <f t="shared" si="1421"/>
        <v>-2.2996369612390266E-2</v>
      </c>
    </row>
    <row r="1343" spans="1:10" x14ac:dyDescent="0.45">
      <c r="A1343" s="1">
        <v>42135</v>
      </c>
      <c r="B1343">
        <v>59.25</v>
      </c>
      <c r="C1343">
        <v>1.9454</v>
      </c>
      <c r="D1343">
        <v>1.9863999999999999</v>
      </c>
      <c r="E1343" s="2">
        <f t="shared" si="1358"/>
        <v>23.604799999999994</v>
      </c>
      <c r="F1343" s="2">
        <f t="shared" si="1360"/>
        <v>23.732199999999995</v>
      </c>
      <c r="G1343" s="2">
        <f t="shared" si="1362"/>
        <v>24.252200000000006</v>
      </c>
      <c r="H1343" s="2">
        <f t="shared" si="1363"/>
        <v>7.6058847182203237E-3</v>
      </c>
      <c r="I1343" s="2">
        <f t="shared" ref="I1343:J1343" si="1422">LN(C1342)-LN(C1341)</f>
        <v>-4.0864336377501864E-3</v>
      </c>
      <c r="J1343" s="2">
        <f t="shared" si="1422"/>
        <v>7.5337137236441976E-4</v>
      </c>
    </row>
    <row r="1344" spans="1:10" x14ac:dyDescent="0.45">
      <c r="A1344" s="1">
        <v>42136</v>
      </c>
      <c r="B1344">
        <v>60.75</v>
      </c>
      <c r="C1344">
        <v>1.9988999999999999</v>
      </c>
      <c r="D1344">
        <v>2.0392999999999999</v>
      </c>
      <c r="E1344" s="2">
        <f t="shared" si="1358"/>
        <v>24.334999999999997</v>
      </c>
      <c r="F1344" s="2">
        <f t="shared" si="1360"/>
        <v>23.604799999999994</v>
      </c>
      <c r="G1344" s="2">
        <f t="shared" si="1362"/>
        <v>23.732199999999995</v>
      </c>
      <c r="H1344" s="2">
        <f t="shared" si="1363"/>
        <v>-2.3600820125277977E-3</v>
      </c>
      <c r="I1344" s="2">
        <f t="shared" ref="I1344:J1344" si="1423">LN(C1343)-LN(C1342)</f>
        <v>-4.2573991622498752E-3</v>
      </c>
      <c r="J1344" s="2">
        <f t="shared" si="1423"/>
        <v>-2.7147973035823725E-3</v>
      </c>
    </row>
    <row r="1345" spans="1:10" x14ac:dyDescent="0.45">
      <c r="A1345" s="1">
        <v>42137</v>
      </c>
      <c r="B1345">
        <v>60.5</v>
      </c>
      <c r="C1345">
        <v>2.0051000000000001</v>
      </c>
      <c r="D1345">
        <v>2.0405000000000002</v>
      </c>
      <c r="E1345" s="2">
        <f t="shared" si="1358"/>
        <v>24.705400000000008</v>
      </c>
      <c r="F1345" s="2">
        <f t="shared" si="1360"/>
        <v>24.334999999999997</v>
      </c>
      <c r="G1345" s="2">
        <f t="shared" si="1362"/>
        <v>23.604799999999994</v>
      </c>
      <c r="H1345" s="2">
        <f t="shared" si="1363"/>
        <v>2.5001302205416742E-2</v>
      </c>
      <c r="I1345" s="2">
        <f t="shared" ref="I1345:J1345" si="1424">LN(C1344)-LN(C1343)</f>
        <v>2.7129417801261213E-2</v>
      </c>
      <c r="J1345" s="2">
        <f t="shared" si="1424"/>
        <v>2.6282656504344581E-2</v>
      </c>
    </row>
    <row r="1346" spans="1:10" x14ac:dyDescent="0.45">
      <c r="A1346" s="1">
        <v>42138</v>
      </c>
      <c r="B1346">
        <v>59.88</v>
      </c>
      <c r="C1346">
        <v>2.0055999999999998</v>
      </c>
      <c r="D1346">
        <v>2.0575000000000001</v>
      </c>
      <c r="E1346" s="2">
        <f t="shared" si="1358"/>
        <v>25.808399999999995</v>
      </c>
      <c r="F1346" s="2">
        <f t="shared" si="1360"/>
        <v>24.705400000000008</v>
      </c>
      <c r="G1346" s="2">
        <f t="shared" si="1362"/>
        <v>24.334999999999997</v>
      </c>
      <c r="H1346" s="2">
        <f t="shared" si="1363"/>
        <v>-4.1237171838615083E-3</v>
      </c>
      <c r="I1346" s="2">
        <f t="shared" ref="I1346:J1346" si="1425">LN(C1345)-LN(C1344)</f>
        <v>3.096905572057107E-3</v>
      </c>
      <c r="J1346" s="2">
        <f t="shared" si="1425"/>
        <v>5.8826414755908107E-4</v>
      </c>
    </row>
    <row r="1347" spans="1:10" x14ac:dyDescent="0.45">
      <c r="A1347" s="1">
        <v>42139</v>
      </c>
      <c r="B1347">
        <v>59.69</v>
      </c>
      <c r="C1347">
        <v>2.0047999999999999</v>
      </c>
      <c r="D1347">
        <v>2.0568</v>
      </c>
      <c r="E1347" s="2">
        <f t="shared" ref="E1347:E1410" si="1426">(2*D1347*42+1*C1347*42-3*B1347)/3</f>
        <v>25.967600000000004</v>
      </c>
      <c r="F1347" s="2">
        <f t="shared" si="1360"/>
        <v>25.808399999999995</v>
      </c>
      <c r="G1347" s="2">
        <f t="shared" si="1362"/>
        <v>24.705400000000008</v>
      </c>
      <c r="H1347" s="2">
        <f t="shared" si="1363"/>
        <v>-1.0300805485368159E-2</v>
      </c>
      <c r="I1347" s="2">
        <f t="shared" ref="I1347:J1347" si="1427">LN(C1346)-LN(C1345)</f>
        <v>2.4933303542529206E-4</v>
      </c>
      <c r="J1347" s="2">
        <f t="shared" si="1427"/>
        <v>8.2967777053644109E-3</v>
      </c>
    </row>
    <row r="1348" spans="1:10" x14ac:dyDescent="0.45">
      <c r="A1348" s="1">
        <v>42142</v>
      </c>
      <c r="B1348">
        <v>60.24</v>
      </c>
      <c r="C1348">
        <v>1.9867999999999999</v>
      </c>
      <c r="D1348">
        <v>2.0411000000000001</v>
      </c>
      <c r="E1348" s="2">
        <f t="shared" si="1426"/>
        <v>24.72600000000001</v>
      </c>
      <c r="F1348" s="2">
        <f t="shared" ref="F1348:F1411" si="1428">E1347</f>
        <v>25.967600000000004</v>
      </c>
      <c r="G1348" s="2">
        <f t="shared" si="1362"/>
        <v>25.808399999999995</v>
      </c>
      <c r="H1348" s="2">
        <f t="shared" si="1363"/>
        <v>-3.1780573708690696E-3</v>
      </c>
      <c r="I1348" s="2">
        <f t="shared" ref="I1348:J1348" si="1429">LN(C1347)-LN(C1346)</f>
        <v>-3.9896270227968156E-4</v>
      </c>
      <c r="J1348" s="2">
        <f t="shared" si="1429"/>
        <v>-3.4027659954516398E-4</v>
      </c>
    </row>
    <row r="1349" spans="1:10" x14ac:dyDescent="0.45">
      <c r="A1349" s="1">
        <v>42143</v>
      </c>
      <c r="B1349">
        <v>57.99</v>
      </c>
      <c r="C1349">
        <v>1.9314</v>
      </c>
      <c r="D1349">
        <v>1.9832000000000001</v>
      </c>
      <c r="E1349" s="2">
        <f t="shared" si="1426"/>
        <v>24.579199999999997</v>
      </c>
      <c r="F1349" s="2">
        <f t="shared" si="1428"/>
        <v>24.72600000000001</v>
      </c>
      <c r="G1349" s="2">
        <f t="shared" ref="G1349:G1412" si="1430">E1347</f>
        <v>25.967600000000004</v>
      </c>
      <c r="H1349" s="2">
        <f t="shared" ref="H1349:H1412" si="1431">LN(B1348)-LN(B1347)</f>
        <v>9.172081311079161E-3</v>
      </c>
      <c r="I1349" s="2">
        <f t="shared" ref="I1349:J1349" si="1432">LN(C1348)-LN(C1347)</f>
        <v>-9.019000908608521E-3</v>
      </c>
      <c r="J1349" s="2">
        <f t="shared" si="1432"/>
        <v>-7.6624987516827892E-3</v>
      </c>
    </row>
    <row r="1350" spans="1:10" x14ac:dyDescent="0.45">
      <c r="A1350" s="1">
        <v>42144</v>
      </c>
      <c r="B1350">
        <v>58.98</v>
      </c>
      <c r="C1350">
        <v>1.9499</v>
      </c>
      <c r="D1350">
        <v>2.0270000000000001</v>
      </c>
      <c r="E1350" s="2">
        <f t="shared" si="1426"/>
        <v>25.074599999999993</v>
      </c>
      <c r="F1350" s="2">
        <f t="shared" si="1428"/>
        <v>24.579199999999997</v>
      </c>
      <c r="G1350" s="2">
        <f t="shared" si="1430"/>
        <v>24.72600000000001</v>
      </c>
      <c r="H1350" s="2">
        <f t="shared" si="1431"/>
        <v>-3.8066001603288768E-2</v>
      </c>
      <c r="I1350" s="2">
        <f t="shared" ref="I1350:J1350" si="1433">LN(C1349)-LN(C1348)</f>
        <v>-2.8280175700377885E-2</v>
      </c>
      <c r="J1350" s="2">
        <f t="shared" si="1433"/>
        <v>-2.877717647901612E-2</v>
      </c>
    </row>
    <row r="1351" spans="1:10" x14ac:dyDescent="0.45">
      <c r="A1351" s="1">
        <v>42145</v>
      </c>
      <c r="B1351">
        <v>60.72</v>
      </c>
      <c r="C1351">
        <v>1.9899</v>
      </c>
      <c r="D1351">
        <v>2.0678999999999998</v>
      </c>
      <c r="E1351" s="2">
        <f t="shared" si="1426"/>
        <v>25.039800000000003</v>
      </c>
      <c r="F1351" s="2">
        <f t="shared" si="1428"/>
        <v>25.074599999999993</v>
      </c>
      <c r="G1351" s="2">
        <f t="shared" si="1430"/>
        <v>24.579199999999997</v>
      </c>
      <c r="H1351" s="2">
        <f t="shared" si="1431"/>
        <v>1.6927821498780915E-2</v>
      </c>
      <c r="I1351" s="2">
        <f t="shared" ref="I1351:J1351" si="1434">LN(C1350)-LN(C1349)</f>
        <v>9.5329606587236659E-3</v>
      </c>
      <c r="J1351" s="2">
        <f t="shared" si="1434"/>
        <v>2.1845165731019245E-2</v>
      </c>
    </row>
    <row r="1352" spans="1:10" x14ac:dyDescent="0.45">
      <c r="A1352" s="1">
        <v>42146</v>
      </c>
      <c r="B1352">
        <v>59.72</v>
      </c>
      <c r="C1352">
        <v>1.9573</v>
      </c>
      <c r="D1352">
        <v>2.0390000000000001</v>
      </c>
      <c r="E1352" s="2">
        <f t="shared" si="1426"/>
        <v>24.774200000000008</v>
      </c>
      <c r="F1352" s="2">
        <f t="shared" si="1428"/>
        <v>25.039800000000003</v>
      </c>
      <c r="G1352" s="2">
        <f t="shared" si="1430"/>
        <v>25.074599999999993</v>
      </c>
      <c r="H1352" s="2">
        <f t="shared" si="1431"/>
        <v>2.9074729700244717E-2</v>
      </c>
      <c r="I1352" s="2">
        <f t="shared" ref="I1352:J1352" si="1435">LN(C1351)-LN(C1350)</f>
        <v>2.0306297008078844E-2</v>
      </c>
      <c r="J1352" s="2">
        <f t="shared" si="1435"/>
        <v>1.9976732107715667E-2</v>
      </c>
    </row>
    <row r="1353" spans="1:10" x14ac:dyDescent="0.45">
      <c r="A1353" s="1">
        <v>42150</v>
      </c>
      <c r="B1353">
        <v>58.03</v>
      </c>
      <c r="C1353">
        <v>1.9041999999999999</v>
      </c>
      <c r="D1353">
        <v>1.9839</v>
      </c>
      <c r="E1353" s="2">
        <f t="shared" si="1426"/>
        <v>24.178000000000008</v>
      </c>
      <c r="F1353" s="2">
        <f t="shared" si="1428"/>
        <v>24.774200000000008</v>
      </c>
      <c r="G1353" s="2">
        <f t="shared" si="1430"/>
        <v>25.039800000000003</v>
      </c>
      <c r="H1353" s="2">
        <f t="shared" si="1431"/>
        <v>-1.6606160416385407E-2</v>
      </c>
      <c r="I1353" s="2">
        <f t="shared" ref="I1353:J1353" si="1436">LN(C1352)-LN(C1351)</f>
        <v>-1.651841369114182E-2</v>
      </c>
      <c r="J1353" s="2">
        <f t="shared" si="1436"/>
        <v>-1.4074107985260431E-2</v>
      </c>
    </row>
    <row r="1354" spans="1:10" x14ac:dyDescent="0.45">
      <c r="A1354" s="1">
        <v>42151</v>
      </c>
      <c r="B1354">
        <v>57.51</v>
      </c>
      <c r="C1354">
        <v>1.8603000000000001</v>
      </c>
      <c r="D1354">
        <v>1.9326000000000001</v>
      </c>
      <c r="E1354" s="2">
        <f t="shared" si="1426"/>
        <v>22.647000000000002</v>
      </c>
      <c r="F1354" s="2">
        <f t="shared" si="1428"/>
        <v>24.178000000000008</v>
      </c>
      <c r="G1354" s="2">
        <f t="shared" si="1430"/>
        <v>24.774200000000008</v>
      </c>
      <c r="H1354" s="2">
        <f t="shared" si="1431"/>
        <v>-2.8706854468472542E-2</v>
      </c>
      <c r="I1354" s="2">
        <f t="shared" ref="I1354:J1354" si="1437">LN(C1353)-LN(C1352)</f>
        <v>-2.7503999656887212E-2</v>
      </c>
      <c r="J1354" s="2">
        <f t="shared" si="1437"/>
        <v>-2.7394887225728914E-2</v>
      </c>
    </row>
    <row r="1355" spans="1:10" x14ac:dyDescent="0.45">
      <c r="A1355" s="1">
        <v>42152</v>
      </c>
      <c r="B1355">
        <v>57.68</v>
      </c>
      <c r="C1355">
        <v>1.8732</v>
      </c>
      <c r="D1355">
        <v>1.97</v>
      </c>
      <c r="E1355" s="2">
        <f t="shared" si="1426"/>
        <v>23.704800000000006</v>
      </c>
      <c r="F1355" s="2">
        <f t="shared" si="1428"/>
        <v>22.647000000000002</v>
      </c>
      <c r="G1355" s="2">
        <f t="shared" si="1430"/>
        <v>24.178000000000008</v>
      </c>
      <c r="H1355" s="2">
        <f t="shared" si="1431"/>
        <v>-9.0012724768540053E-3</v>
      </c>
      <c r="I1355" s="2">
        <f t="shared" ref="I1355:J1355" si="1438">LN(C1354)-LN(C1353)</f>
        <v>-2.3324207827648991E-2</v>
      </c>
      <c r="J1355" s="2">
        <f t="shared" si="1438"/>
        <v>-2.61983577835182E-2</v>
      </c>
    </row>
    <row r="1356" spans="1:10" x14ac:dyDescent="0.45">
      <c r="A1356" s="1">
        <v>42153</v>
      </c>
      <c r="B1356">
        <v>60.3</v>
      </c>
      <c r="C1356">
        <v>1.9497</v>
      </c>
      <c r="D1356">
        <v>2.0627</v>
      </c>
      <c r="E1356" s="2">
        <f t="shared" si="1426"/>
        <v>24.751400000000007</v>
      </c>
      <c r="F1356" s="2">
        <f t="shared" si="1428"/>
        <v>23.704800000000006</v>
      </c>
      <c r="G1356" s="2">
        <f t="shared" si="1430"/>
        <v>22.647000000000002</v>
      </c>
      <c r="H1356" s="2">
        <f t="shared" si="1431"/>
        <v>2.95164725103092E-3</v>
      </c>
      <c r="I1356" s="2">
        <f t="shared" ref="I1356:J1356" si="1439">LN(C1355)-LN(C1354)</f>
        <v>6.910433285444717E-3</v>
      </c>
      <c r="J1356" s="2">
        <f t="shared" si="1439"/>
        <v>1.9167296166825998E-2</v>
      </c>
    </row>
    <row r="1357" spans="1:10" x14ac:dyDescent="0.45">
      <c r="A1357" s="1">
        <v>42156</v>
      </c>
      <c r="B1357">
        <v>60.2</v>
      </c>
      <c r="C1357">
        <v>1.9263999999999999</v>
      </c>
      <c r="D1357">
        <v>2.0421999999999998</v>
      </c>
      <c r="E1357" s="2">
        <f t="shared" si="1426"/>
        <v>23.951199999999989</v>
      </c>
      <c r="F1357" s="2">
        <f t="shared" si="1428"/>
        <v>24.751400000000007</v>
      </c>
      <c r="G1357" s="2">
        <f t="shared" si="1430"/>
        <v>23.704800000000006</v>
      </c>
      <c r="H1357" s="2">
        <f t="shared" si="1431"/>
        <v>4.4421610756446128E-2</v>
      </c>
      <c r="I1357" s="2">
        <f t="shared" ref="I1357:J1357" si="1440">LN(C1356)-LN(C1355)</f>
        <v>4.0027316259026224E-2</v>
      </c>
      <c r="J1357" s="2">
        <f t="shared" si="1440"/>
        <v>4.5982261472514385E-2</v>
      </c>
    </row>
    <row r="1358" spans="1:10" x14ac:dyDescent="0.45">
      <c r="A1358" s="1">
        <v>42157</v>
      </c>
      <c r="B1358">
        <v>61.26</v>
      </c>
      <c r="C1358">
        <v>1.9455</v>
      </c>
      <c r="D1358">
        <v>2.0648</v>
      </c>
      <c r="E1358" s="2">
        <f t="shared" si="1426"/>
        <v>23.791399999999999</v>
      </c>
      <c r="F1358" s="2">
        <f t="shared" si="1428"/>
        <v>23.951199999999989</v>
      </c>
      <c r="G1358" s="2">
        <f t="shared" si="1430"/>
        <v>24.751400000000007</v>
      </c>
      <c r="H1358" s="2">
        <f t="shared" si="1431"/>
        <v>-1.6597514183640527E-3</v>
      </c>
      <c r="I1358" s="2">
        <f t="shared" ref="I1358:J1358" si="1441">LN(C1357)-LN(C1356)</f>
        <v>-1.2022538453910991E-2</v>
      </c>
      <c r="J1358" s="2">
        <f t="shared" si="1441"/>
        <v>-9.9881460831110491E-3</v>
      </c>
    </row>
    <row r="1359" spans="1:10" x14ac:dyDescent="0.45">
      <c r="A1359" s="1">
        <v>42158</v>
      </c>
      <c r="B1359">
        <v>59.64</v>
      </c>
      <c r="C1359">
        <v>1.8917999999999999</v>
      </c>
      <c r="D1359">
        <v>2.0453000000000001</v>
      </c>
      <c r="E1359" s="2">
        <f t="shared" si="1426"/>
        <v>24.113600000000002</v>
      </c>
      <c r="F1359" s="2">
        <f t="shared" si="1428"/>
        <v>23.791399999999999</v>
      </c>
      <c r="G1359" s="2">
        <f t="shared" si="1430"/>
        <v>23.951199999999989</v>
      </c>
      <c r="H1359" s="2">
        <f t="shared" si="1431"/>
        <v>1.7454749089853117E-2</v>
      </c>
      <c r="I1359" s="2">
        <f t="shared" ref="I1359:J1359" si="1442">LN(C1358)-LN(C1357)</f>
        <v>9.8660373101063792E-3</v>
      </c>
      <c r="J1359" s="2">
        <f t="shared" si="1442"/>
        <v>1.1005711282966568E-2</v>
      </c>
    </row>
    <row r="1360" spans="1:10" x14ac:dyDescent="0.45">
      <c r="A1360" s="1">
        <v>42159</v>
      </c>
      <c r="B1360">
        <v>58</v>
      </c>
      <c r="C1360">
        <v>1.8439000000000001</v>
      </c>
      <c r="D1360">
        <v>1.9805999999999999</v>
      </c>
      <c r="E1360" s="2">
        <f t="shared" si="1426"/>
        <v>23.2714</v>
      </c>
      <c r="F1360" s="2">
        <f t="shared" si="1428"/>
        <v>24.113600000000002</v>
      </c>
      <c r="G1360" s="2">
        <f t="shared" si="1430"/>
        <v>23.791399999999999</v>
      </c>
      <c r="H1360" s="2">
        <f t="shared" si="1431"/>
        <v>-2.6800611508090988E-2</v>
      </c>
      <c r="I1360" s="2">
        <f t="shared" ref="I1360:J1360" si="1443">LN(C1359)-LN(C1358)</f>
        <v>-2.7990256645538225E-2</v>
      </c>
      <c r="J1360" s="2">
        <f t="shared" si="1443"/>
        <v>-9.4888914202834185E-3</v>
      </c>
    </row>
    <row r="1361" spans="1:10" x14ac:dyDescent="0.45">
      <c r="A1361" s="1">
        <v>42160</v>
      </c>
      <c r="B1361">
        <v>59.13</v>
      </c>
      <c r="C1361">
        <v>1.8695999999999999</v>
      </c>
      <c r="D1361">
        <v>2.0299999999999998</v>
      </c>
      <c r="E1361" s="2">
        <f t="shared" si="1426"/>
        <v>23.884399999999989</v>
      </c>
      <c r="F1361" s="2">
        <f t="shared" si="1428"/>
        <v>23.2714</v>
      </c>
      <c r="G1361" s="2">
        <f t="shared" si="1430"/>
        <v>24.113600000000002</v>
      </c>
      <c r="H1361" s="2">
        <f t="shared" si="1431"/>
        <v>-2.7883479350118812E-2</v>
      </c>
      <c r="I1361" s="2">
        <f t="shared" ref="I1361:J1361" si="1444">LN(C1360)-LN(C1359)</f>
        <v>-2.5645863067951025E-2</v>
      </c>
      <c r="J1361" s="2">
        <f t="shared" si="1444"/>
        <v>-3.2144648896918371E-2</v>
      </c>
    </row>
    <row r="1362" spans="1:10" x14ac:dyDescent="0.45">
      <c r="A1362" s="1">
        <v>42163</v>
      </c>
      <c r="B1362">
        <v>58.14</v>
      </c>
      <c r="C1362">
        <v>1.8548</v>
      </c>
      <c r="D1362">
        <v>2.0074999999999998</v>
      </c>
      <c r="E1362" s="2">
        <f t="shared" si="1426"/>
        <v>24.037199999999995</v>
      </c>
      <c r="F1362" s="2">
        <f t="shared" si="1428"/>
        <v>23.884399999999989</v>
      </c>
      <c r="G1362" s="2">
        <f t="shared" si="1430"/>
        <v>23.2714</v>
      </c>
      <c r="H1362" s="2">
        <f t="shared" si="1431"/>
        <v>1.9295399286319181E-2</v>
      </c>
      <c r="I1362" s="2">
        <f t="shared" ref="I1362:J1362" si="1445">LN(C1361)-LN(C1360)</f>
        <v>1.3841610513529168E-2</v>
      </c>
      <c r="J1362" s="2">
        <f t="shared" si="1445"/>
        <v>2.4635963948630657E-2</v>
      </c>
    </row>
    <row r="1363" spans="1:10" x14ac:dyDescent="0.45">
      <c r="A1363" s="1">
        <v>42164</v>
      </c>
      <c r="B1363">
        <v>60.14</v>
      </c>
      <c r="C1363">
        <v>1.9178999999999999</v>
      </c>
      <c r="D1363">
        <v>2.0771000000000002</v>
      </c>
      <c r="E1363" s="2">
        <f t="shared" si="1426"/>
        <v>24.869400000000002</v>
      </c>
      <c r="F1363" s="2">
        <f t="shared" si="1428"/>
        <v>24.037199999999995</v>
      </c>
      <c r="G1363" s="2">
        <f t="shared" si="1430"/>
        <v>23.884399999999989</v>
      </c>
      <c r="H1363" s="2">
        <f t="shared" si="1431"/>
        <v>-1.6884514702008246E-2</v>
      </c>
      <c r="I1363" s="2">
        <f t="shared" ref="I1363:J1363" si="1446">LN(C1362)-LN(C1361)</f>
        <v>-7.9476307073423902E-3</v>
      </c>
      <c r="J1363" s="2">
        <f t="shared" si="1446"/>
        <v>-1.1145626214916327E-2</v>
      </c>
    </row>
    <row r="1364" spans="1:10" x14ac:dyDescent="0.45">
      <c r="A1364" s="1">
        <v>42165</v>
      </c>
      <c r="B1364">
        <v>61.43</v>
      </c>
      <c r="C1364">
        <v>1.9459</v>
      </c>
      <c r="D1364">
        <v>2.1463999999999999</v>
      </c>
      <c r="E1364" s="2">
        <f t="shared" si="1426"/>
        <v>25.911799999999999</v>
      </c>
      <c r="F1364" s="2">
        <f t="shared" si="1428"/>
        <v>24.869400000000002</v>
      </c>
      <c r="G1364" s="2">
        <f t="shared" si="1430"/>
        <v>24.037199999999995</v>
      </c>
      <c r="H1364" s="2">
        <f t="shared" si="1431"/>
        <v>3.3821282429652655E-2</v>
      </c>
      <c r="I1364" s="2">
        <f t="shared" ref="I1364:J1364" si="1447">LN(C1363)-LN(C1362)</f>
        <v>3.3453963923484986E-2</v>
      </c>
      <c r="J1364" s="2">
        <f t="shared" si="1447"/>
        <v>3.4082523261146136E-2</v>
      </c>
    </row>
    <row r="1365" spans="1:10" x14ac:dyDescent="0.45">
      <c r="A1365" s="1">
        <v>42166</v>
      </c>
      <c r="B1365">
        <v>60.77</v>
      </c>
      <c r="C1365">
        <v>1.921</v>
      </c>
      <c r="D1365">
        <v>2.1381000000000001</v>
      </c>
      <c r="E1365" s="2">
        <f t="shared" si="1426"/>
        <v>25.990799999999997</v>
      </c>
      <c r="F1365" s="2">
        <f t="shared" si="1428"/>
        <v>25.911799999999999</v>
      </c>
      <c r="G1365" s="2">
        <f t="shared" si="1430"/>
        <v>24.869400000000002</v>
      </c>
      <c r="H1365" s="2">
        <f t="shared" si="1431"/>
        <v>2.1223137615453247E-2</v>
      </c>
      <c r="I1365" s="2">
        <f t="shared" ref="I1365:J1365" si="1448">LN(C1364)-LN(C1363)</f>
        <v>1.4493757523319384E-2</v>
      </c>
      <c r="J1365" s="2">
        <f t="shared" si="1448"/>
        <v>3.2819330029351557E-2</v>
      </c>
    </row>
    <row r="1366" spans="1:10" x14ac:dyDescent="0.45">
      <c r="A1366" s="1">
        <v>42167</v>
      </c>
      <c r="B1366">
        <v>59.96</v>
      </c>
      <c r="C1366">
        <v>1.8892</v>
      </c>
      <c r="D1366">
        <v>2.1211000000000002</v>
      </c>
      <c r="E1366" s="2">
        <f t="shared" si="1426"/>
        <v>25.8796</v>
      </c>
      <c r="F1366" s="2">
        <f t="shared" si="1428"/>
        <v>25.990799999999997</v>
      </c>
      <c r="G1366" s="2">
        <f t="shared" si="1430"/>
        <v>25.911799999999999</v>
      </c>
      <c r="H1366" s="2">
        <f t="shared" si="1431"/>
        <v>-1.080206902857217E-2</v>
      </c>
      <c r="I1366" s="2">
        <f t="shared" ref="I1366:J1366" si="1449">LN(C1365)-LN(C1364)</f>
        <v>-1.2878711195553505E-2</v>
      </c>
      <c r="J1366" s="2">
        <f t="shared" si="1449"/>
        <v>-3.8744359354795366E-3</v>
      </c>
    </row>
    <row r="1367" spans="1:10" x14ac:dyDescent="0.45">
      <c r="A1367" s="1">
        <v>42170</v>
      </c>
      <c r="B1367">
        <v>59.52</v>
      </c>
      <c r="C1367">
        <v>1.8703000000000001</v>
      </c>
      <c r="D1367">
        <v>2.0991</v>
      </c>
      <c r="E1367" s="2">
        <f t="shared" si="1426"/>
        <v>25.439000000000004</v>
      </c>
      <c r="F1367" s="2">
        <f t="shared" si="1428"/>
        <v>25.8796</v>
      </c>
      <c r="G1367" s="2">
        <f t="shared" si="1430"/>
        <v>25.990799999999997</v>
      </c>
      <c r="H1367" s="2">
        <f t="shared" si="1431"/>
        <v>-1.3418572912867077E-2</v>
      </c>
      <c r="I1367" s="2">
        <f t="shared" ref="I1367:J1367" si="1450">LN(C1366)-LN(C1365)</f>
        <v>-1.6692424746594603E-2</v>
      </c>
      <c r="J1367" s="2">
        <f t="shared" si="1450"/>
        <v>-7.982762150763989E-3</v>
      </c>
    </row>
    <row r="1368" spans="1:10" x14ac:dyDescent="0.45">
      <c r="A1368" s="1">
        <v>42171</v>
      </c>
      <c r="B1368">
        <v>59.97</v>
      </c>
      <c r="C1368">
        <v>1.8849</v>
      </c>
      <c r="D1368">
        <v>2.1244999999999998</v>
      </c>
      <c r="E1368" s="2">
        <f t="shared" si="1426"/>
        <v>25.904600000000006</v>
      </c>
      <c r="F1368" s="2">
        <f t="shared" si="1428"/>
        <v>25.439000000000004</v>
      </c>
      <c r="G1368" s="2">
        <f t="shared" si="1430"/>
        <v>25.8796</v>
      </c>
      <c r="H1368" s="2">
        <f t="shared" si="1431"/>
        <v>-7.3652827095598283E-3</v>
      </c>
      <c r="I1368" s="2">
        <f t="shared" ref="I1368:J1368" si="1451">LN(C1367)-LN(C1366)</f>
        <v>-1.0054613233007603E-2</v>
      </c>
      <c r="J1368" s="2">
        <f t="shared" si="1451"/>
        <v>-1.0426140605210077E-2</v>
      </c>
    </row>
    <row r="1369" spans="1:10" x14ac:dyDescent="0.45">
      <c r="A1369" s="1">
        <v>42172</v>
      </c>
      <c r="B1369">
        <v>59.92</v>
      </c>
      <c r="C1369">
        <v>1.9097999999999999</v>
      </c>
      <c r="D1369">
        <v>2.1004999999999998</v>
      </c>
      <c r="E1369" s="2">
        <f t="shared" si="1426"/>
        <v>25.631199999999996</v>
      </c>
      <c r="F1369" s="2">
        <f t="shared" si="1428"/>
        <v>25.904600000000006</v>
      </c>
      <c r="G1369" s="2">
        <f t="shared" si="1430"/>
        <v>25.439000000000004</v>
      </c>
      <c r="H1369" s="2">
        <f t="shared" si="1431"/>
        <v>7.5320466555819365E-3</v>
      </c>
      <c r="I1369" s="2">
        <f t="shared" ref="I1369:J1369" si="1452">LN(C1368)-LN(C1367)</f>
        <v>7.775923288056541E-3</v>
      </c>
      <c r="J1369" s="2">
        <f t="shared" si="1452"/>
        <v>1.2027799134905481E-2</v>
      </c>
    </row>
    <row r="1370" spans="1:10" x14ac:dyDescent="0.45">
      <c r="A1370" s="1">
        <v>42173</v>
      </c>
      <c r="B1370">
        <v>60.45</v>
      </c>
      <c r="C1370">
        <v>1.9152</v>
      </c>
      <c r="D1370">
        <v>2.069</v>
      </c>
      <c r="E1370" s="2">
        <f t="shared" si="1426"/>
        <v>24.294799999999992</v>
      </c>
      <c r="F1370" s="2">
        <f t="shared" si="1428"/>
        <v>25.631199999999996</v>
      </c>
      <c r="G1370" s="2">
        <f t="shared" si="1430"/>
        <v>25.904600000000006</v>
      </c>
      <c r="H1370" s="2">
        <f t="shared" si="1431"/>
        <v>-8.3409797145428399E-4</v>
      </c>
      <c r="I1370" s="2">
        <f t="shared" ref="I1370:J1370" si="1453">LN(C1369)-LN(C1368)</f>
        <v>1.3123755439091167E-2</v>
      </c>
      <c r="J1370" s="2">
        <f t="shared" si="1453"/>
        <v>-1.1361068945429542E-2</v>
      </c>
    </row>
    <row r="1371" spans="1:10" x14ac:dyDescent="0.45">
      <c r="A1371" s="1">
        <v>42174</v>
      </c>
      <c r="B1371">
        <v>59.97</v>
      </c>
      <c r="C1371">
        <v>1.8734</v>
      </c>
      <c r="D1371">
        <v>2.0202</v>
      </c>
      <c r="E1371" s="2">
        <f t="shared" si="1426"/>
        <v>22.823199999999996</v>
      </c>
      <c r="F1371" s="2">
        <f t="shared" si="1428"/>
        <v>24.294799999999992</v>
      </c>
      <c r="G1371" s="2">
        <f t="shared" si="1430"/>
        <v>25.631199999999996</v>
      </c>
      <c r="H1371" s="2">
        <f t="shared" si="1431"/>
        <v>8.8062378518376505E-3</v>
      </c>
      <c r="I1371" s="2">
        <f t="shared" ref="I1371:J1371" si="1454">LN(C1370)-LN(C1369)</f>
        <v>2.8235312876065954E-3</v>
      </c>
      <c r="J1371" s="2">
        <f t="shared" si="1454"/>
        <v>-1.5110012863893685E-2</v>
      </c>
    </row>
    <row r="1372" spans="1:10" x14ac:dyDescent="0.45">
      <c r="A1372" s="1">
        <v>42177</v>
      </c>
      <c r="B1372">
        <v>60.38</v>
      </c>
      <c r="C1372">
        <v>1.8762000000000001</v>
      </c>
      <c r="D1372">
        <v>1.9962</v>
      </c>
      <c r="E1372" s="2">
        <f t="shared" si="1426"/>
        <v>21.780399999999997</v>
      </c>
      <c r="F1372" s="2">
        <f t="shared" si="1428"/>
        <v>22.823199999999996</v>
      </c>
      <c r="G1372" s="2">
        <f t="shared" si="1430"/>
        <v>24.294799999999992</v>
      </c>
      <c r="H1372" s="2">
        <f t="shared" si="1431"/>
        <v>-7.9721398803833665E-3</v>
      </c>
      <c r="I1372" s="2">
        <f t="shared" ref="I1372:J1372" si="1455">LN(C1371)-LN(C1370)</f>
        <v>-2.2067094028678569E-2</v>
      </c>
      <c r="J1372" s="2">
        <f t="shared" si="1455"/>
        <v>-2.3868882350459142E-2</v>
      </c>
    </row>
    <row r="1373" spans="1:10" x14ac:dyDescent="0.45">
      <c r="A1373" s="1">
        <v>42178</v>
      </c>
      <c r="B1373">
        <v>61.01</v>
      </c>
      <c r="C1373">
        <v>1.9188000000000001</v>
      </c>
      <c r="D1373">
        <v>2.0432999999999999</v>
      </c>
      <c r="E1373" s="2">
        <f t="shared" si="1426"/>
        <v>23.065599999999989</v>
      </c>
      <c r="F1373" s="2">
        <f t="shared" si="1428"/>
        <v>21.780399999999997</v>
      </c>
      <c r="G1373" s="2">
        <f t="shared" si="1430"/>
        <v>22.823199999999996</v>
      </c>
      <c r="H1373" s="2">
        <f t="shared" si="1431"/>
        <v>6.813487098273896E-3</v>
      </c>
      <c r="I1373" s="2">
        <f t="shared" ref="I1373:J1373" si="1456">LN(C1372)-LN(C1371)</f>
        <v>1.4934929168204381E-3</v>
      </c>
      <c r="J1373" s="2">
        <f t="shared" si="1456"/>
        <v>-1.195114314259782E-2</v>
      </c>
    </row>
    <row r="1374" spans="1:10" x14ac:dyDescent="0.45">
      <c r="A1374" s="1">
        <v>42179</v>
      </c>
      <c r="B1374">
        <v>60.27</v>
      </c>
      <c r="C1374">
        <v>1.8831</v>
      </c>
      <c r="D1374">
        <v>2.0247999999999999</v>
      </c>
      <c r="E1374" s="2">
        <f t="shared" si="1426"/>
        <v>22.787800000000004</v>
      </c>
      <c r="F1374" s="2">
        <f t="shared" si="1428"/>
        <v>23.065599999999989</v>
      </c>
      <c r="G1374" s="2">
        <f t="shared" si="1430"/>
        <v>21.780399999999997</v>
      </c>
      <c r="H1374" s="2">
        <f t="shared" si="1431"/>
        <v>1.0379860885068481E-2</v>
      </c>
      <c r="I1374" s="2">
        <f t="shared" ref="I1374:J1374" si="1457">LN(C1373)-LN(C1372)</f>
        <v>2.2451535936058309E-2</v>
      </c>
      <c r="J1374" s="2">
        <f t="shared" si="1457"/>
        <v>2.3320774662896282E-2</v>
      </c>
    </row>
    <row r="1375" spans="1:10" x14ac:dyDescent="0.45">
      <c r="A1375" s="1">
        <v>42180</v>
      </c>
      <c r="B1375">
        <v>59.7</v>
      </c>
      <c r="C1375">
        <v>1.8687</v>
      </c>
      <c r="D1375">
        <v>2.0085000000000002</v>
      </c>
      <c r="E1375" s="2">
        <f t="shared" si="1426"/>
        <v>22.6998</v>
      </c>
      <c r="F1375" s="2">
        <f t="shared" si="1428"/>
        <v>22.787800000000004</v>
      </c>
      <c r="G1375" s="2">
        <f t="shared" si="1430"/>
        <v>23.065599999999989</v>
      </c>
      <c r="H1375" s="2">
        <f t="shared" si="1431"/>
        <v>-1.2203317668808111E-2</v>
      </c>
      <c r="I1375" s="2">
        <f t="shared" ref="I1375:J1375" si="1458">LN(C1374)-LN(C1373)</f>
        <v>-1.8780635636313159E-2</v>
      </c>
      <c r="J1375" s="2">
        <f t="shared" si="1458"/>
        <v>-9.0952176844680821E-3</v>
      </c>
    </row>
    <row r="1376" spans="1:10" x14ac:dyDescent="0.45">
      <c r="A1376" s="1">
        <v>42181</v>
      </c>
      <c r="B1376">
        <v>59.63</v>
      </c>
      <c r="C1376">
        <v>1.8695999999999999</v>
      </c>
      <c r="D1376">
        <v>2.0204</v>
      </c>
      <c r="E1376" s="2">
        <f t="shared" si="1426"/>
        <v>23.11559999999999</v>
      </c>
      <c r="F1376" s="2">
        <f t="shared" si="1428"/>
        <v>22.6998</v>
      </c>
      <c r="G1376" s="2">
        <f t="shared" si="1430"/>
        <v>22.787800000000004</v>
      </c>
      <c r="H1376" s="2">
        <f t="shared" si="1431"/>
        <v>-9.5024470963966934E-3</v>
      </c>
      <c r="I1376" s="2">
        <f t="shared" ref="I1376:J1376" si="1459">LN(C1375)-LN(C1374)</f>
        <v>-7.6763530633862098E-3</v>
      </c>
      <c r="J1376" s="2">
        <f t="shared" si="1459"/>
        <v>-8.0827554315772154E-3</v>
      </c>
    </row>
    <row r="1377" spans="1:10" x14ac:dyDescent="0.45">
      <c r="A1377" s="1">
        <v>42184</v>
      </c>
      <c r="B1377">
        <v>58.33</v>
      </c>
      <c r="C1377">
        <v>1.8435999999999999</v>
      </c>
      <c r="D1377">
        <v>2.0032999999999999</v>
      </c>
      <c r="E1377" s="2">
        <f t="shared" si="1426"/>
        <v>23.57279999999999</v>
      </c>
      <c r="F1377" s="2">
        <f t="shared" si="1428"/>
        <v>23.11559999999999</v>
      </c>
      <c r="G1377" s="2">
        <f t="shared" si="1430"/>
        <v>22.6998</v>
      </c>
      <c r="H1377" s="2">
        <f t="shared" si="1431"/>
        <v>-1.1732172635419147E-3</v>
      </c>
      <c r="I1377" s="2">
        <f t="shared" ref="I1377:J1377" si="1460">LN(C1376)-LN(C1375)</f>
        <v>4.8150229643861842E-4</v>
      </c>
      <c r="J1377" s="2">
        <f t="shared" si="1460"/>
        <v>5.9073367945604582E-3</v>
      </c>
    </row>
    <row r="1378" spans="1:10" x14ac:dyDescent="0.45">
      <c r="A1378" s="1">
        <v>42185</v>
      </c>
      <c r="B1378">
        <v>59.47</v>
      </c>
      <c r="C1378">
        <v>1.8898999999999999</v>
      </c>
      <c r="D1378">
        <v>2.0493999999999999</v>
      </c>
      <c r="E1378" s="2">
        <f t="shared" si="1426"/>
        <v>24.371799999999997</v>
      </c>
      <c r="F1378" s="2">
        <f t="shared" si="1428"/>
        <v>23.57279999999999</v>
      </c>
      <c r="G1378" s="2">
        <f t="shared" si="1430"/>
        <v>23.11559999999999</v>
      </c>
      <c r="H1378" s="2">
        <f t="shared" si="1431"/>
        <v>-2.2042262369468268E-2</v>
      </c>
      <c r="I1378" s="2">
        <f t="shared" ref="I1378:J1378" si="1461">LN(C1377)-LN(C1376)</f>
        <v>-1.4004322378295075E-2</v>
      </c>
      <c r="J1378" s="2">
        <f t="shared" si="1461"/>
        <v>-8.4996908062907606E-3</v>
      </c>
    </row>
    <row r="1379" spans="1:10" x14ac:dyDescent="0.45">
      <c r="A1379" s="1">
        <v>42186</v>
      </c>
      <c r="B1379">
        <v>56.96</v>
      </c>
      <c r="C1379">
        <v>1.8392999999999999</v>
      </c>
      <c r="D1379">
        <v>2.0068000000000001</v>
      </c>
      <c r="E1379" s="2">
        <f t="shared" si="1426"/>
        <v>24.980599999999999</v>
      </c>
      <c r="F1379" s="2">
        <f t="shared" si="1428"/>
        <v>24.371799999999997</v>
      </c>
      <c r="G1379" s="2">
        <f t="shared" si="1430"/>
        <v>23.57279999999999</v>
      </c>
      <c r="H1379" s="2">
        <f t="shared" si="1431"/>
        <v>1.9355442952956103E-2</v>
      </c>
      <c r="I1379" s="2">
        <f t="shared" ref="I1379:J1379" si="1462">LN(C1378)-LN(C1377)</f>
        <v>2.4803735754638678E-2</v>
      </c>
      <c r="J1379" s="2">
        <f t="shared" si="1462"/>
        <v>2.2751246578010753E-2</v>
      </c>
    </row>
    <row r="1380" spans="1:10" x14ac:dyDescent="0.45">
      <c r="A1380" s="1">
        <v>42187</v>
      </c>
      <c r="B1380">
        <v>56.93</v>
      </c>
      <c r="C1380">
        <v>1.8399000000000001</v>
      </c>
      <c r="D1380">
        <v>2.0343</v>
      </c>
      <c r="E1380" s="2">
        <f t="shared" si="1426"/>
        <v>25.789000000000005</v>
      </c>
      <c r="F1380" s="2">
        <f t="shared" si="1428"/>
        <v>24.980599999999999</v>
      </c>
      <c r="G1380" s="2">
        <f t="shared" si="1430"/>
        <v>24.371799999999997</v>
      </c>
      <c r="H1380" s="2">
        <f t="shared" si="1431"/>
        <v>-4.3122716614782064E-2</v>
      </c>
      <c r="I1380" s="2">
        <f t="shared" ref="I1380:J1380" si="1463">LN(C1379)-LN(C1378)</f>
        <v>-2.7138853164239918E-2</v>
      </c>
      <c r="J1380" s="2">
        <f t="shared" si="1463"/>
        <v>-2.1005653755519438E-2</v>
      </c>
    </row>
    <row r="1381" spans="1:10" x14ac:dyDescent="0.45">
      <c r="A1381" s="1">
        <v>42191</v>
      </c>
      <c r="B1381">
        <v>52.53</v>
      </c>
      <c r="C1381">
        <v>1.7089000000000001</v>
      </c>
      <c r="D1381">
        <v>1.9237</v>
      </c>
      <c r="E1381" s="2">
        <f t="shared" si="1426"/>
        <v>25.258199999999999</v>
      </c>
      <c r="F1381" s="2">
        <f t="shared" si="1428"/>
        <v>25.789000000000005</v>
      </c>
      <c r="G1381" s="2">
        <f t="shared" si="1430"/>
        <v>24.980599999999999</v>
      </c>
      <c r="H1381" s="2">
        <f t="shared" si="1431"/>
        <v>-5.2682414072968697E-4</v>
      </c>
      <c r="I1381" s="2">
        <f t="shared" ref="I1381:J1381" si="1464">LN(C1380)-LN(C1379)</f>
        <v>3.2615786329592833E-4</v>
      </c>
      <c r="J1381" s="2">
        <f t="shared" si="1464"/>
        <v>1.3610365747808162E-2</v>
      </c>
    </row>
    <row r="1382" spans="1:10" x14ac:dyDescent="0.45">
      <c r="A1382" s="1">
        <v>42192</v>
      </c>
      <c r="B1382">
        <v>52.33</v>
      </c>
      <c r="C1382">
        <v>1.7113</v>
      </c>
      <c r="D1382">
        <v>1.9494</v>
      </c>
      <c r="E1382" s="2">
        <f t="shared" si="1426"/>
        <v>26.211400000000008</v>
      </c>
      <c r="F1382" s="2">
        <f t="shared" si="1428"/>
        <v>25.258199999999999</v>
      </c>
      <c r="G1382" s="2">
        <f t="shared" si="1430"/>
        <v>25.789000000000005</v>
      </c>
      <c r="H1382" s="2">
        <f t="shared" si="1431"/>
        <v>-8.0438007997120309E-2</v>
      </c>
      <c r="I1382" s="2">
        <f t="shared" ref="I1382:J1382" si="1465">LN(C1381)-LN(C1380)</f>
        <v>-7.3861333647184613E-2</v>
      </c>
      <c r="J1382" s="2">
        <f t="shared" si="1465"/>
        <v>-5.590136444577043E-2</v>
      </c>
    </row>
    <row r="1383" spans="1:10" x14ac:dyDescent="0.45">
      <c r="A1383" s="1">
        <v>42193</v>
      </c>
      <c r="B1383">
        <v>51.65</v>
      </c>
      <c r="C1383">
        <v>1.7152000000000001</v>
      </c>
      <c r="D1383">
        <v>1.9990000000000001</v>
      </c>
      <c r="E1383" s="2">
        <f t="shared" si="1426"/>
        <v>28.334800000000001</v>
      </c>
      <c r="F1383" s="2">
        <f t="shared" si="1428"/>
        <v>26.211400000000008</v>
      </c>
      <c r="G1383" s="2">
        <f t="shared" si="1430"/>
        <v>25.258199999999999</v>
      </c>
      <c r="H1383" s="2">
        <f t="shared" si="1431"/>
        <v>-3.8146145817536947E-3</v>
      </c>
      <c r="I1383" s="2">
        <f t="shared" ref="I1383:J1383" si="1466">LN(C1382)-LN(C1381)</f>
        <v>1.4034269305429614E-3</v>
      </c>
      <c r="J1383" s="2">
        <f t="shared" si="1466"/>
        <v>1.327121799097386E-2</v>
      </c>
    </row>
    <row r="1384" spans="1:10" x14ac:dyDescent="0.45">
      <c r="A1384" s="1">
        <v>42194</v>
      </c>
      <c r="B1384">
        <v>52.78</v>
      </c>
      <c r="C1384">
        <v>1.736</v>
      </c>
      <c r="D1384">
        <v>2.0451000000000001</v>
      </c>
      <c r="E1384" s="2">
        <f t="shared" si="1426"/>
        <v>28.78680000000001</v>
      </c>
      <c r="F1384" s="2">
        <f t="shared" si="1428"/>
        <v>28.334800000000001</v>
      </c>
      <c r="G1384" s="2">
        <f t="shared" si="1430"/>
        <v>26.211400000000008</v>
      </c>
      <c r="H1384" s="2">
        <f t="shared" si="1431"/>
        <v>-1.3079624818468805E-2</v>
      </c>
      <c r="I1384" s="2">
        <f t="shared" ref="I1384:J1384" si="1467">LN(C1383)-LN(C1382)</f>
        <v>2.2763762930767539E-3</v>
      </c>
      <c r="J1384" s="2">
        <f t="shared" si="1467"/>
        <v>2.5125422597290559E-2</v>
      </c>
    </row>
    <row r="1385" spans="1:10" x14ac:dyDescent="0.45">
      <c r="A1385" s="1">
        <v>42195</v>
      </c>
      <c r="B1385">
        <v>52.74</v>
      </c>
      <c r="C1385">
        <v>1.7399</v>
      </c>
      <c r="D1385">
        <v>2.0165000000000002</v>
      </c>
      <c r="E1385" s="2">
        <f t="shared" si="1426"/>
        <v>28.080600000000015</v>
      </c>
      <c r="F1385" s="2">
        <f t="shared" si="1428"/>
        <v>28.78680000000001</v>
      </c>
      <c r="G1385" s="2">
        <f t="shared" si="1430"/>
        <v>28.334800000000001</v>
      </c>
      <c r="H1385" s="2">
        <f t="shared" si="1431"/>
        <v>2.1642135509530203E-2</v>
      </c>
      <c r="I1385" s="2">
        <f t="shared" ref="I1385:J1385" si="1468">LN(C1384)-LN(C1383)</f>
        <v>1.2053924343812583E-2</v>
      </c>
      <c r="J1385" s="2">
        <f t="shared" si="1468"/>
        <v>2.2799632536449232E-2</v>
      </c>
    </row>
    <row r="1386" spans="1:10" x14ac:dyDescent="0.45">
      <c r="A1386" s="1">
        <v>42198</v>
      </c>
      <c r="B1386">
        <v>52.2</v>
      </c>
      <c r="C1386">
        <v>1.7186999999999999</v>
      </c>
      <c r="D1386">
        <v>1.9396</v>
      </c>
      <c r="E1386" s="2">
        <f t="shared" si="1426"/>
        <v>26.170599999999997</v>
      </c>
      <c r="F1386" s="2">
        <f t="shared" si="1428"/>
        <v>28.080600000000015</v>
      </c>
      <c r="G1386" s="2">
        <f t="shared" si="1430"/>
        <v>28.78680000000001</v>
      </c>
      <c r="H1386" s="2">
        <f t="shared" si="1431"/>
        <v>-7.5815015003710684E-4</v>
      </c>
      <c r="I1386" s="2">
        <f t="shared" ref="I1386:J1386" si="1469">LN(C1385)-LN(C1384)</f>
        <v>2.244024072375006E-3</v>
      </c>
      <c r="J1386" s="2">
        <f t="shared" si="1469"/>
        <v>-1.4083352723426423E-2</v>
      </c>
    </row>
    <row r="1387" spans="1:10" x14ac:dyDescent="0.45">
      <c r="A1387" s="1">
        <v>42199</v>
      </c>
      <c r="B1387">
        <v>53.04</v>
      </c>
      <c r="C1387">
        <v>1.7253000000000001</v>
      </c>
      <c r="D1387">
        <v>1.9307000000000001</v>
      </c>
      <c r="E1387" s="2">
        <f t="shared" si="1426"/>
        <v>25.1738</v>
      </c>
      <c r="F1387" s="2">
        <f t="shared" si="1428"/>
        <v>26.170599999999997</v>
      </c>
      <c r="G1387" s="2">
        <f t="shared" si="1430"/>
        <v>28.080600000000015</v>
      </c>
      <c r="H1387" s="2">
        <f t="shared" si="1431"/>
        <v>-1.029168603654762E-2</v>
      </c>
      <c r="I1387" s="2">
        <f t="shared" ref="I1387:J1387" si="1470">LN(C1386)-LN(C1385)</f>
        <v>-1.225944921002875E-2</v>
      </c>
      <c r="J1387" s="2">
        <f t="shared" si="1470"/>
        <v>-3.8881569082225731E-2</v>
      </c>
    </row>
    <row r="1388" spans="1:10" x14ac:dyDescent="0.45">
      <c r="A1388" s="1">
        <v>42200</v>
      </c>
      <c r="B1388">
        <v>51.41</v>
      </c>
      <c r="C1388">
        <v>1.6693</v>
      </c>
      <c r="D1388">
        <v>1.8589</v>
      </c>
      <c r="E1388" s="2">
        <f t="shared" si="1426"/>
        <v>24.00940000000001</v>
      </c>
      <c r="F1388" s="2">
        <f t="shared" si="1428"/>
        <v>25.1738</v>
      </c>
      <c r="G1388" s="2">
        <f t="shared" si="1430"/>
        <v>26.170599999999997</v>
      </c>
      <c r="H1388" s="2">
        <f t="shared" si="1431"/>
        <v>1.596385098901365E-2</v>
      </c>
      <c r="I1388" s="2">
        <f t="shared" ref="I1388:J1388" si="1471">LN(C1387)-LN(C1386)</f>
        <v>3.8327573051765151E-3</v>
      </c>
      <c r="J1388" s="2">
        <f t="shared" si="1471"/>
        <v>-4.5991347894261958E-3</v>
      </c>
    </row>
    <row r="1389" spans="1:10" x14ac:dyDescent="0.45">
      <c r="A1389" s="1">
        <v>42201</v>
      </c>
      <c r="B1389">
        <v>50.91</v>
      </c>
      <c r="C1389">
        <v>1.6661999999999999</v>
      </c>
      <c r="D1389">
        <v>1.8429</v>
      </c>
      <c r="E1389" s="2">
        <f t="shared" si="1426"/>
        <v>24.018000000000001</v>
      </c>
      <c r="F1389" s="2">
        <f t="shared" si="1428"/>
        <v>24.00940000000001</v>
      </c>
      <c r="G1389" s="2">
        <f t="shared" si="1430"/>
        <v>25.1738</v>
      </c>
      <c r="H1389" s="2">
        <f t="shared" si="1431"/>
        <v>-3.1213639810193428E-2</v>
      </c>
      <c r="I1389" s="2">
        <f t="shared" ref="I1389:J1389" si="1472">LN(C1388)-LN(C1387)</f>
        <v>-3.2996571526475837E-2</v>
      </c>
      <c r="J1389" s="2">
        <f t="shared" si="1472"/>
        <v>-3.7897716528672687E-2</v>
      </c>
    </row>
    <row r="1390" spans="1:10" x14ac:dyDescent="0.45">
      <c r="A1390" s="1">
        <v>42202</v>
      </c>
      <c r="B1390">
        <v>50.89</v>
      </c>
      <c r="C1390">
        <v>1.6640999999999999</v>
      </c>
      <c r="D1390">
        <v>1.8774</v>
      </c>
      <c r="E1390" s="2">
        <f t="shared" si="1426"/>
        <v>24.974599999999992</v>
      </c>
      <c r="F1390" s="2">
        <f t="shared" si="1428"/>
        <v>24.018000000000001</v>
      </c>
      <c r="G1390" s="2">
        <f t="shared" si="1430"/>
        <v>24.00940000000001</v>
      </c>
      <c r="H1390" s="2">
        <f t="shared" si="1431"/>
        <v>-9.7733381531690533E-3</v>
      </c>
      <c r="I1390" s="2">
        <f t="shared" ref="I1390:J1390" si="1473">LN(C1389)-LN(C1388)</f>
        <v>-1.8587923205336532E-3</v>
      </c>
      <c r="J1390" s="2">
        <f t="shared" si="1473"/>
        <v>-8.6444970751069494E-3</v>
      </c>
    </row>
    <row r="1391" spans="1:10" x14ac:dyDescent="0.45">
      <c r="A1391" s="1">
        <v>42205</v>
      </c>
      <c r="B1391">
        <v>50.44</v>
      </c>
      <c r="C1391">
        <v>1.6584000000000001</v>
      </c>
      <c r="D1391">
        <v>1.8783000000000001</v>
      </c>
      <c r="E1391" s="2">
        <f t="shared" si="1426"/>
        <v>25.370000000000005</v>
      </c>
      <c r="F1391" s="2">
        <f t="shared" si="1428"/>
        <v>24.974599999999992</v>
      </c>
      <c r="G1391" s="2">
        <f t="shared" si="1430"/>
        <v>24.018000000000001</v>
      </c>
      <c r="H1391" s="2">
        <f t="shared" si="1431"/>
        <v>-3.9292731350304422E-4</v>
      </c>
      <c r="I1391" s="2">
        <f t="shared" ref="I1391:J1391" si="1474">LN(C1390)-LN(C1389)</f>
        <v>-1.2611478115103214E-3</v>
      </c>
      <c r="J1391" s="2">
        <f t="shared" si="1474"/>
        <v>1.8547423064899982E-2</v>
      </c>
    </row>
    <row r="1392" spans="1:10" x14ac:dyDescent="0.45">
      <c r="A1392" s="1">
        <v>42206</v>
      </c>
      <c r="B1392">
        <v>50.86</v>
      </c>
      <c r="C1392">
        <v>1.6899</v>
      </c>
      <c r="D1392">
        <v>1.8745000000000001</v>
      </c>
      <c r="E1392" s="2">
        <f t="shared" si="1426"/>
        <v>25.284600000000001</v>
      </c>
      <c r="F1392" s="2">
        <f t="shared" si="1428"/>
        <v>25.370000000000005</v>
      </c>
      <c r="G1392" s="2">
        <f t="shared" si="1430"/>
        <v>24.974599999999992</v>
      </c>
      <c r="H1392" s="2">
        <f t="shared" si="1431"/>
        <v>-8.8819295040227786E-3</v>
      </c>
      <c r="I1392" s="2">
        <f t="shared" ref="I1392:J1392" si="1475">LN(C1391)-LN(C1390)</f>
        <v>-3.4311546077285815E-3</v>
      </c>
      <c r="J1392" s="2">
        <f t="shared" si="1475"/>
        <v>4.7927151648308186E-4</v>
      </c>
    </row>
    <row r="1393" spans="1:10" x14ac:dyDescent="0.45">
      <c r="A1393" s="1">
        <v>42207</v>
      </c>
      <c r="B1393">
        <v>49.19</v>
      </c>
      <c r="C1393">
        <v>1.6793</v>
      </c>
      <c r="D1393">
        <v>1.8230999999999999</v>
      </c>
      <c r="E1393" s="2">
        <f t="shared" si="1426"/>
        <v>25.367000000000001</v>
      </c>
      <c r="F1393" s="2">
        <f t="shared" si="1428"/>
        <v>25.284600000000001</v>
      </c>
      <c r="G1393" s="2">
        <f t="shared" si="1430"/>
        <v>25.370000000000005</v>
      </c>
      <c r="H1393" s="2">
        <f t="shared" si="1431"/>
        <v>8.2922488972552166E-3</v>
      </c>
      <c r="I1393" s="2">
        <f t="shared" ref="I1393:J1393" si="1476">LN(C1392)-LN(C1391)</f>
        <v>1.8816073447208037E-2</v>
      </c>
      <c r="J1393" s="2">
        <f t="shared" si="1476"/>
        <v>-2.0251552434077391E-3</v>
      </c>
    </row>
    <row r="1394" spans="1:10" x14ac:dyDescent="0.45">
      <c r="A1394" s="1">
        <v>42208</v>
      </c>
      <c r="B1394">
        <v>48.45</v>
      </c>
      <c r="C1394">
        <v>1.6627000000000001</v>
      </c>
      <c r="D1394">
        <v>1.8081</v>
      </c>
      <c r="E1394" s="2">
        <f t="shared" si="1426"/>
        <v>25.454599999999989</v>
      </c>
      <c r="F1394" s="2">
        <f t="shared" si="1428"/>
        <v>25.367000000000001</v>
      </c>
      <c r="G1394" s="2">
        <f t="shared" si="1430"/>
        <v>25.284600000000001</v>
      </c>
      <c r="H1394" s="2">
        <f t="shared" si="1431"/>
        <v>-3.338640918672553E-2</v>
      </c>
      <c r="I1394" s="2">
        <f t="shared" ref="I1394:J1394" si="1477">LN(C1393)-LN(C1392)</f>
        <v>-6.2923156678157399E-3</v>
      </c>
      <c r="J1394" s="2">
        <f t="shared" si="1477"/>
        <v>-2.7803608366547494E-2</v>
      </c>
    </row>
    <row r="1395" spans="1:10" x14ac:dyDescent="0.45">
      <c r="A1395" s="1">
        <v>42209</v>
      </c>
      <c r="B1395">
        <v>48.14</v>
      </c>
      <c r="C1395">
        <v>1.6377999999999999</v>
      </c>
      <c r="D1395">
        <v>1.7824</v>
      </c>
      <c r="E1395" s="2">
        <f t="shared" si="1426"/>
        <v>24.696399999999993</v>
      </c>
      <c r="F1395" s="2">
        <f t="shared" si="1428"/>
        <v>25.454599999999989</v>
      </c>
      <c r="G1395" s="2">
        <f t="shared" si="1430"/>
        <v>25.367000000000001</v>
      </c>
      <c r="H1395" s="2">
        <f t="shared" si="1431"/>
        <v>-1.5158012470473103E-2</v>
      </c>
      <c r="I1395" s="2">
        <f t="shared" ref="I1395:J1395" si="1478">LN(C1394)-LN(C1393)</f>
        <v>-9.9342528546283448E-3</v>
      </c>
      <c r="J1395" s="2">
        <f t="shared" si="1478"/>
        <v>-8.2617786523111469E-3</v>
      </c>
    </row>
    <row r="1396" spans="1:10" x14ac:dyDescent="0.45">
      <c r="A1396" s="1">
        <v>42212</v>
      </c>
      <c r="B1396">
        <v>47.39</v>
      </c>
      <c r="C1396">
        <v>1.6040000000000001</v>
      </c>
      <c r="D1396">
        <v>1.7665999999999999</v>
      </c>
      <c r="E1396" s="2">
        <f t="shared" si="1426"/>
        <v>24.530799999999999</v>
      </c>
      <c r="F1396" s="2">
        <f t="shared" si="1428"/>
        <v>24.696399999999993</v>
      </c>
      <c r="G1396" s="2">
        <f t="shared" si="1430"/>
        <v>25.454599999999989</v>
      </c>
      <c r="H1396" s="2">
        <f t="shared" si="1431"/>
        <v>-6.4189059818491323E-3</v>
      </c>
      <c r="I1396" s="2">
        <f t="shared" ref="I1396:J1396" si="1479">LN(C1395)-LN(C1394)</f>
        <v>-1.5088909210245971E-2</v>
      </c>
      <c r="J1396" s="2">
        <f t="shared" si="1479"/>
        <v>-1.4315799424143183E-2</v>
      </c>
    </row>
    <row r="1397" spans="1:10" x14ac:dyDescent="0.45">
      <c r="A1397" s="1">
        <v>42213</v>
      </c>
      <c r="B1397">
        <v>47.98</v>
      </c>
      <c r="C1397">
        <v>1.6122000000000001</v>
      </c>
      <c r="D1397">
        <v>1.7484</v>
      </c>
      <c r="E1397" s="2">
        <f t="shared" si="1426"/>
        <v>23.546000000000003</v>
      </c>
      <c r="F1397" s="2">
        <f t="shared" si="1428"/>
        <v>24.530799999999999</v>
      </c>
      <c r="G1397" s="2">
        <f t="shared" si="1430"/>
        <v>24.696399999999993</v>
      </c>
      <c r="H1397" s="2">
        <f t="shared" si="1431"/>
        <v>-1.5702196375428912E-2</v>
      </c>
      <c r="I1397" s="2">
        <f t="shared" ref="I1397:J1397" si="1480">LN(C1396)-LN(C1395)</f>
        <v>-2.0853368409627981E-2</v>
      </c>
      <c r="J1397" s="2">
        <f t="shared" si="1480"/>
        <v>-8.903975421933108E-3</v>
      </c>
    </row>
    <row r="1398" spans="1:10" x14ac:dyDescent="0.45">
      <c r="A1398" s="1">
        <v>42214</v>
      </c>
      <c r="B1398">
        <v>48.79</v>
      </c>
      <c r="C1398">
        <v>1.6059000000000001</v>
      </c>
      <c r="D1398">
        <v>1.7549999999999999</v>
      </c>
      <c r="E1398" s="2">
        <f t="shared" si="1426"/>
        <v>22.832599999999996</v>
      </c>
      <c r="F1398" s="2">
        <f t="shared" si="1428"/>
        <v>23.546000000000003</v>
      </c>
      <c r="G1398" s="2">
        <f t="shared" si="1430"/>
        <v>24.530799999999999</v>
      </c>
      <c r="H1398" s="2">
        <f t="shared" si="1431"/>
        <v>1.2373021432051434E-2</v>
      </c>
      <c r="I1398" s="2">
        <f t="shared" ref="I1398:J1398" si="1481">LN(C1397)-LN(C1396)</f>
        <v>5.0991964230407416E-3</v>
      </c>
      <c r="J1398" s="2">
        <f t="shared" si="1481"/>
        <v>-1.0355711321872407E-2</v>
      </c>
    </row>
    <row r="1399" spans="1:10" x14ac:dyDescent="0.45">
      <c r="A1399" s="1">
        <v>42215</v>
      </c>
      <c r="B1399">
        <v>48.52</v>
      </c>
      <c r="C1399">
        <v>1.6079000000000001</v>
      </c>
      <c r="D1399">
        <v>1.7689999999999999</v>
      </c>
      <c r="E1399" s="2">
        <f t="shared" si="1426"/>
        <v>23.522600000000001</v>
      </c>
      <c r="F1399" s="2">
        <f t="shared" si="1428"/>
        <v>22.832599999999996</v>
      </c>
      <c r="G1399" s="2">
        <f t="shared" si="1430"/>
        <v>23.546000000000003</v>
      </c>
      <c r="H1399" s="2">
        <f t="shared" si="1431"/>
        <v>1.6741116416197244E-2</v>
      </c>
      <c r="I1399" s="2">
        <f t="shared" ref="I1399:J1399" si="1482">LN(C1398)-LN(C1397)</f>
        <v>-3.9153587820552338E-3</v>
      </c>
      <c r="J1399" s="2">
        <f t="shared" si="1482"/>
        <v>3.7677729108067659E-3</v>
      </c>
    </row>
    <row r="1400" spans="1:10" x14ac:dyDescent="0.45">
      <c r="A1400" s="1">
        <v>42216</v>
      </c>
      <c r="B1400">
        <v>47.12</v>
      </c>
      <c r="C1400">
        <v>1.5889</v>
      </c>
      <c r="D1400">
        <v>1.772</v>
      </c>
      <c r="E1400" s="2">
        <f t="shared" si="1426"/>
        <v>24.740600000000011</v>
      </c>
      <c r="F1400" s="2">
        <f t="shared" si="1428"/>
        <v>23.522600000000001</v>
      </c>
      <c r="G1400" s="2">
        <f t="shared" si="1430"/>
        <v>22.832599999999996</v>
      </c>
      <c r="H1400" s="2">
        <f t="shared" si="1431"/>
        <v>-5.5492897518965023E-3</v>
      </c>
      <c r="I1400" s="2">
        <f t="shared" ref="I1400:J1400" si="1483">LN(C1399)-LN(C1398)</f>
        <v>1.2446326829205767E-3</v>
      </c>
      <c r="J1400" s="2">
        <f t="shared" si="1483"/>
        <v>7.9455582598190189E-3</v>
      </c>
    </row>
    <row r="1401" spans="1:10" x14ac:dyDescent="0.45">
      <c r="A1401" s="1">
        <v>42219</v>
      </c>
      <c r="B1401">
        <v>45.17</v>
      </c>
      <c r="C1401">
        <v>1.5305</v>
      </c>
      <c r="D1401">
        <v>1.6745000000000001</v>
      </c>
      <c r="E1401" s="2">
        <f t="shared" si="1426"/>
        <v>23.143000000000011</v>
      </c>
      <c r="F1401" s="2">
        <f t="shared" si="1428"/>
        <v>24.740600000000011</v>
      </c>
      <c r="G1401" s="2">
        <f t="shared" si="1430"/>
        <v>23.522600000000001</v>
      </c>
      <c r="H1401" s="2">
        <f t="shared" si="1431"/>
        <v>-2.9278544732517897E-2</v>
      </c>
      <c r="I1401" s="2">
        <f t="shared" ref="I1401:J1401" si="1484">LN(C1400)-LN(C1399)</f>
        <v>-1.1887026856044647E-2</v>
      </c>
      <c r="J1401" s="2">
        <f t="shared" si="1484"/>
        <v>1.6944370052410784E-3</v>
      </c>
    </row>
    <row r="1402" spans="1:10" x14ac:dyDescent="0.45">
      <c r="A1402" s="1">
        <v>42220</v>
      </c>
      <c r="B1402">
        <v>45.74</v>
      </c>
      <c r="C1402">
        <v>1.5475000000000001</v>
      </c>
      <c r="D1402">
        <v>1.6852</v>
      </c>
      <c r="E1402" s="2">
        <f t="shared" si="1426"/>
        <v>23.110600000000005</v>
      </c>
      <c r="F1402" s="2">
        <f t="shared" si="1428"/>
        <v>23.143000000000011</v>
      </c>
      <c r="G1402" s="2">
        <f t="shared" si="1430"/>
        <v>24.740600000000011</v>
      </c>
      <c r="H1402" s="2">
        <f t="shared" si="1431"/>
        <v>-4.226438967681867E-2</v>
      </c>
      <c r="I1402" s="2">
        <f t="shared" ref="I1402:J1402" si="1485">LN(C1401)-LN(C1400)</f>
        <v>-3.7447473508854134E-2</v>
      </c>
      <c r="J1402" s="2">
        <f t="shared" si="1485"/>
        <v>-5.6594238930766871E-2</v>
      </c>
    </row>
    <row r="1403" spans="1:10" x14ac:dyDescent="0.45">
      <c r="A1403" s="1">
        <v>42221</v>
      </c>
      <c r="B1403">
        <v>45.15</v>
      </c>
      <c r="C1403">
        <v>1.5385</v>
      </c>
      <c r="D1403">
        <v>1.6705000000000001</v>
      </c>
      <c r="E1403" s="2">
        <f t="shared" si="1426"/>
        <v>23.163000000000011</v>
      </c>
      <c r="F1403" s="2">
        <f t="shared" si="1428"/>
        <v>23.110600000000005</v>
      </c>
      <c r="G1403" s="2">
        <f t="shared" si="1430"/>
        <v>23.143000000000011</v>
      </c>
      <c r="H1403" s="2">
        <f t="shared" si="1431"/>
        <v>1.2540038928122499E-2</v>
      </c>
      <c r="I1403" s="2">
        <f t="shared" ref="I1403:J1403" si="1486">LN(C1402)-LN(C1401)</f>
        <v>1.1046246173284036E-2</v>
      </c>
      <c r="J1403" s="2">
        <f t="shared" si="1486"/>
        <v>6.369637870602074E-3</v>
      </c>
    </row>
    <row r="1404" spans="1:10" x14ac:dyDescent="0.45">
      <c r="A1404" s="1">
        <v>42222</v>
      </c>
      <c r="B1404">
        <v>44.66</v>
      </c>
      <c r="C1404">
        <v>1.5499000000000001</v>
      </c>
      <c r="D1404">
        <v>1.6477999999999999</v>
      </c>
      <c r="E1404" s="2">
        <f t="shared" si="1426"/>
        <v>23.177000000000003</v>
      </c>
      <c r="F1404" s="2">
        <f t="shared" si="1428"/>
        <v>23.163000000000011</v>
      </c>
      <c r="G1404" s="2">
        <f t="shared" si="1430"/>
        <v>23.110600000000005</v>
      </c>
      <c r="H1404" s="2">
        <f t="shared" si="1431"/>
        <v>-1.2982908731640652E-2</v>
      </c>
      <c r="I1404" s="2">
        <f t="shared" ref="I1404:J1404" si="1487">LN(C1403)-LN(C1402)</f>
        <v>-5.832809796654681E-3</v>
      </c>
      <c r="J1404" s="2">
        <f t="shared" si="1487"/>
        <v>-8.7612683080501297E-3</v>
      </c>
    </row>
    <row r="1405" spans="1:10" x14ac:dyDescent="0.45">
      <c r="A1405" s="1">
        <v>42223</v>
      </c>
      <c r="B1405">
        <v>43.87</v>
      </c>
      <c r="C1405">
        <v>1.5436000000000001</v>
      </c>
      <c r="D1405">
        <v>1.623</v>
      </c>
      <c r="E1405" s="2">
        <f t="shared" si="1426"/>
        <v>23.184400000000011</v>
      </c>
      <c r="F1405" s="2">
        <f t="shared" si="1428"/>
        <v>23.177000000000003</v>
      </c>
      <c r="G1405" s="2">
        <f t="shared" si="1430"/>
        <v>23.163000000000011</v>
      </c>
      <c r="H1405" s="2">
        <f t="shared" si="1431"/>
        <v>-1.0912033450982683E-2</v>
      </c>
      <c r="I1405" s="2">
        <f t="shared" ref="I1405:J1405" si="1488">LN(C1404)-LN(C1403)</f>
        <v>7.3824969409085894E-3</v>
      </c>
      <c r="J1405" s="2">
        <f t="shared" si="1488"/>
        <v>-1.3681917915321751E-2</v>
      </c>
    </row>
    <row r="1406" spans="1:10" x14ac:dyDescent="0.45">
      <c r="A1406" s="1">
        <v>42226</v>
      </c>
      <c r="B1406">
        <v>44.96</v>
      </c>
      <c r="C1406">
        <v>1.5921000000000001</v>
      </c>
      <c r="D1406">
        <v>1.694</v>
      </c>
      <c r="E1406" s="2">
        <f t="shared" si="1426"/>
        <v>24.761399999999998</v>
      </c>
      <c r="F1406" s="2">
        <f t="shared" si="1428"/>
        <v>23.184400000000011</v>
      </c>
      <c r="G1406" s="2">
        <f t="shared" si="1430"/>
        <v>23.177000000000003</v>
      </c>
      <c r="H1406" s="2">
        <f t="shared" si="1431"/>
        <v>-1.7847531233889491E-2</v>
      </c>
      <c r="I1406" s="2">
        <f t="shared" ref="I1406:J1406" si="1489">LN(C1405)-LN(C1404)</f>
        <v>-4.0730620395413863E-3</v>
      </c>
      <c r="J1406" s="2">
        <f t="shared" si="1489"/>
        <v>-1.5164776366898391E-2</v>
      </c>
    </row>
    <row r="1407" spans="1:10" x14ac:dyDescent="0.45">
      <c r="A1407" s="1">
        <v>42227</v>
      </c>
      <c r="B1407">
        <v>43.08</v>
      </c>
      <c r="C1407">
        <v>1.5629</v>
      </c>
      <c r="D1407">
        <v>1.6937</v>
      </c>
      <c r="E1407" s="2">
        <f t="shared" si="1426"/>
        <v>26.224199999999996</v>
      </c>
      <c r="F1407" s="2">
        <f t="shared" si="1428"/>
        <v>24.761399999999998</v>
      </c>
      <c r="G1407" s="2">
        <f t="shared" si="1430"/>
        <v>23.184400000000011</v>
      </c>
      <c r="H1407" s="2">
        <f t="shared" si="1431"/>
        <v>2.4542490407313267E-2</v>
      </c>
      <c r="I1407" s="2">
        <f t="shared" ref="I1407:J1407" si="1490">LN(C1406)-LN(C1405)</f>
        <v>3.0936548838495281E-2</v>
      </c>
      <c r="J1407" s="2">
        <f t="shared" si="1490"/>
        <v>4.2816307697408462E-2</v>
      </c>
    </row>
    <row r="1408" spans="1:10" x14ac:dyDescent="0.45">
      <c r="A1408" s="1">
        <v>42228</v>
      </c>
      <c r="B1408">
        <v>43.3</v>
      </c>
      <c r="C1408">
        <v>1.5869</v>
      </c>
      <c r="D1408">
        <v>1.7635000000000001</v>
      </c>
      <c r="E1408" s="2">
        <f t="shared" si="1426"/>
        <v>28.294600000000013</v>
      </c>
      <c r="F1408" s="2">
        <f t="shared" si="1428"/>
        <v>26.224199999999996</v>
      </c>
      <c r="G1408" s="2">
        <f t="shared" si="1430"/>
        <v>24.761399999999998</v>
      </c>
      <c r="H1408" s="2">
        <f t="shared" si="1431"/>
        <v>-4.2714353297248042E-2</v>
      </c>
      <c r="I1408" s="2">
        <f t="shared" ref="I1408:J1408" si="1491">LN(C1407)-LN(C1406)</f>
        <v>-1.8510829653811123E-2</v>
      </c>
      <c r="J1408" s="2">
        <f t="shared" si="1491"/>
        <v>-1.7711131492403887E-4</v>
      </c>
    </row>
    <row r="1409" spans="1:10" x14ac:dyDescent="0.45">
      <c r="A1409" s="1">
        <v>42229</v>
      </c>
      <c r="B1409">
        <v>42.23</v>
      </c>
      <c r="C1409">
        <v>1.5687</v>
      </c>
      <c r="D1409">
        <v>1.7141</v>
      </c>
      <c r="E1409" s="2">
        <f t="shared" si="1426"/>
        <v>27.726600000000001</v>
      </c>
      <c r="F1409" s="2">
        <f t="shared" si="1428"/>
        <v>28.294600000000013</v>
      </c>
      <c r="G1409" s="2">
        <f t="shared" si="1430"/>
        <v>26.224199999999996</v>
      </c>
      <c r="H1409" s="2">
        <f t="shared" si="1431"/>
        <v>5.0937827202566233E-3</v>
      </c>
      <c r="I1409" s="2">
        <f t="shared" ref="I1409:J1409" si="1492">LN(C1408)-LN(C1407)</f>
        <v>1.5239357720648716E-2</v>
      </c>
      <c r="J1409" s="2">
        <f t="shared" si="1492"/>
        <v>4.0384985779031157E-2</v>
      </c>
    </row>
    <row r="1410" spans="1:10" x14ac:dyDescent="0.45">
      <c r="A1410" s="1">
        <v>42230</v>
      </c>
      <c r="B1410">
        <v>42.5</v>
      </c>
      <c r="C1410">
        <v>1.5579000000000001</v>
      </c>
      <c r="D1410">
        <v>1.6869000000000001</v>
      </c>
      <c r="E1410" s="2">
        <f t="shared" si="1426"/>
        <v>26.543800000000005</v>
      </c>
      <c r="F1410" s="2">
        <f t="shared" si="1428"/>
        <v>27.726600000000001</v>
      </c>
      <c r="G1410" s="2">
        <f t="shared" si="1430"/>
        <v>28.294600000000013</v>
      </c>
      <c r="H1410" s="2">
        <f t="shared" si="1431"/>
        <v>-2.502176606259221E-2</v>
      </c>
      <c r="I1410" s="2">
        <f t="shared" ref="I1410:J1410" si="1493">LN(C1409)-LN(C1408)</f>
        <v>-1.1535176706601979E-2</v>
      </c>
      <c r="J1410" s="2">
        <f t="shared" si="1493"/>
        <v>-2.8412309163095451E-2</v>
      </c>
    </row>
    <row r="1411" spans="1:10" x14ac:dyDescent="0.45">
      <c r="A1411" s="1">
        <v>42233</v>
      </c>
      <c r="B1411">
        <v>41.87</v>
      </c>
      <c r="C1411">
        <v>1.5548</v>
      </c>
      <c r="D1411">
        <v>1.6541999999999999</v>
      </c>
      <c r="E1411" s="2">
        <f t="shared" ref="E1411:E1474" si="1494">(2*D1411*42+1*C1411*42-3*B1411)/3</f>
        <v>26.214799999999997</v>
      </c>
      <c r="F1411" s="2">
        <f t="shared" si="1428"/>
        <v>26.543800000000005</v>
      </c>
      <c r="G1411" s="2">
        <f t="shared" si="1430"/>
        <v>27.726600000000001</v>
      </c>
      <c r="H1411" s="2">
        <f t="shared" si="1431"/>
        <v>6.373206984519264E-3</v>
      </c>
      <c r="I1411" s="2">
        <f t="shared" ref="I1411:J1411" si="1495">LN(C1410)-LN(C1409)</f>
        <v>-6.9084903438116352E-3</v>
      </c>
      <c r="J1411" s="2">
        <f t="shared" si="1495"/>
        <v>-1.5995636546745517E-2</v>
      </c>
    </row>
    <row r="1412" spans="1:10" x14ac:dyDescent="0.45">
      <c r="A1412" s="1">
        <v>42234</v>
      </c>
      <c r="B1412">
        <v>43.12</v>
      </c>
      <c r="C1412">
        <v>1.5586</v>
      </c>
      <c r="D1412">
        <v>1.4823</v>
      </c>
      <c r="E1412" s="2">
        <f t="shared" si="1494"/>
        <v>20.204800000000006</v>
      </c>
      <c r="F1412" s="2">
        <f t="shared" ref="F1412:F1475" si="1496">E1411</f>
        <v>26.214799999999997</v>
      </c>
      <c r="G1412" s="2">
        <f t="shared" si="1430"/>
        <v>26.543800000000005</v>
      </c>
      <c r="H1412" s="2">
        <f t="shared" si="1431"/>
        <v>-1.4934495899319167E-2</v>
      </c>
      <c r="I1412" s="2">
        <f t="shared" ref="I1412:J1412" si="1497">LN(C1411)-LN(C1410)</f>
        <v>-1.9918405403149264E-3</v>
      </c>
      <c r="J1412" s="2">
        <f t="shared" si="1497"/>
        <v>-1.9575016708459847E-2</v>
      </c>
    </row>
    <row r="1413" spans="1:10" x14ac:dyDescent="0.45">
      <c r="A1413" s="1">
        <v>42235</v>
      </c>
      <c r="B1413">
        <v>41.27</v>
      </c>
      <c r="C1413">
        <v>1.518</v>
      </c>
      <c r="D1413">
        <v>1.4179999999999999</v>
      </c>
      <c r="E1413" s="2">
        <f t="shared" si="1494"/>
        <v>19.685999999999996</v>
      </c>
      <c r="F1413" s="2">
        <f t="shared" si="1496"/>
        <v>20.204800000000006</v>
      </c>
      <c r="G1413" s="2">
        <f t="shared" ref="G1413:G1476" si="1498">E1411</f>
        <v>26.214799999999997</v>
      </c>
      <c r="H1413" s="2">
        <f t="shared" ref="H1413:H1476" si="1499">LN(B1412)-LN(B1411)</f>
        <v>2.9417346569689418E-2</v>
      </c>
      <c r="I1413" s="2">
        <f t="shared" ref="I1413:J1413" si="1500">LN(C1412)-LN(C1411)</f>
        <v>2.4410624313924711E-3</v>
      </c>
      <c r="J1413" s="2">
        <f t="shared" si="1500"/>
        <v>-0.10972257273799196</v>
      </c>
    </row>
    <row r="1414" spans="1:10" x14ac:dyDescent="0.45">
      <c r="A1414" s="1">
        <v>42236</v>
      </c>
      <c r="B1414">
        <v>41.32</v>
      </c>
      <c r="C1414">
        <v>1.5068999999999999</v>
      </c>
      <c r="D1414">
        <v>1.3929</v>
      </c>
      <c r="E1414" s="2">
        <f t="shared" si="1494"/>
        <v>18.777800000000003</v>
      </c>
      <c r="F1414" s="2">
        <f t="shared" si="1496"/>
        <v>19.685999999999996</v>
      </c>
      <c r="G1414" s="2">
        <f t="shared" si="1498"/>
        <v>20.204800000000006</v>
      </c>
      <c r="H1414" s="2">
        <f t="shared" si="1499"/>
        <v>-4.3851082836250832E-2</v>
      </c>
      <c r="I1414" s="2">
        <f t="shared" ref="I1414:J1414" si="1501">LN(C1413)-LN(C1412)</f>
        <v>-2.6394303453885271E-2</v>
      </c>
      <c r="J1414" s="2">
        <f t="shared" si="1501"/>
        <v>-4.434750742774124E-2</v>
      </c>
    </row>
    <row r="1415" spans="1:10" x14ac:dyDescent="0.45">
      <c r="A1415" s="1">
        <v>42237</v>
      </c>
      <c r="B1415">
        <v>40.450000000000003</v>
      </c>
      <c r="C1415">
        <v>1.4741</v>
      </c>
      <c r="D1415">
        <v>1.3844000000000001</v>
      </c>
      <c r="E1415" s="2">
        <f t="shared" si="1494"/>
        <v>18.950599999999994</v>
      </c>
      <c r="F1415" s="2">
        <f t="shared" si="1496"/>
        <v>18.777800000000003</v>
      </c>
      <c r="G1415" s="2">
        <f t="shared" si="1498"/>
        <v>19.685999999999996</v>
      </c>
      <c r="H1415" s="2">
        <f t="shared" si="1499"/>
        <v>1.2108004869473277E-3</v>
      </c>
      <c r="I1415" s="2">
        <f t="shared" ref="I1415:J1415" si="1502">LN(C1414)-LN(C1413)</f>
        <v>-7.3391185314666263E-3</v>
      </c>
      <c r="J1415" s="2">
        <f t="shared" si="1502"/>
        <v>-1.7859523398086996E-2</v>
      </c>
    </row>
    <row r="1416" spans="1:10" x14ac:dyDescent="0.45">
      <c r="A1416" s="1">
        <v>42240</v>
      </c>
      <c r="B1416">
        <v>38.24</v>
      </c>
      <c r="C1416">
        <v>1.4055</v>
      </c>
      <c r="D1416">
        <v>1.3117000000000001</v>
      </c>
      <c r="E1416" s="2">
        <f t="shared" si="1494"/>
        <v>18.164600000000007</v>
      </c>
      <c r="F1416" s="2">
        <f t="shared" si="1496"/>
        <v>18.950599999999994</v>
      </c>
      <c r="G1416" s="2">
        <f t="shared" si="1498"/>
        <v>18.777800000000003</v>
      </c>
      <c r="H1416" s="2">
        <f t="shared" si="1499"/>
        <v>-2.1280000746937144E-2</v>
      </c>
      <c r="I1416" s="2">
        <f t="shared" ref="I1416:J1416" si="1503">LN(C1415)-LN(C1414)</f>
        <v>-2.2006926370876145E-2</v>
      </c>
      <c r="J1416" s="2">
        <f t="shared" si="1503"/>
        <v>-6.1210719327965402E-3</v>
      </c>
    </row>
    <row r="1417" spans="1:10" x14ac:dyDescent="0.45">
      <c r="A1417" s="1">
        <v>42241</v>
      </c>
      <c r="B1417">
        <v>39.31</v>
      </c>
      <c r="C1417">
        <v>1.4107000000000001</v>
      </c>
      <c r="D1417">
        <v>1.2935000000000001</v>
      </c>
      <c r="E1417" s="2">
        <f t="shared" si="1494"/>
        <v>16.657799999999998</v>
      </c>
      <c r="F1417" s="2">
        <f t="shared" si="1496"/>
        <v>18.164600000000007</v>
      </c>
      <c r="G1417" s="2">
        <f t="shared" si="1498"/>
        <v>18.950599999999994</v>
      </c>
      <c r="H1417" s="2">
        <f t="shared" si="1499"/>
        <v>-5.6184555321300067E-2</v>
      </c>
      <c r="I1417" s="2">
        <f t="shared" ref="I1417:J1417" si="1504">LN(C1416)-LN(C1415)</f>
        <v>-4.7654522706645941E-2</v>
      </c>
      <c r="J1417" s="2">
        <f t="shared" si="1504"/>
        <v>-5.3942826940089117E-2</v>
      </c>
    </row>
    <row r="1418" spans="1:10" x14ac:dyDescent="0.45">
      <c r="A1418" s="1">
        <v>42242</v>
      </c>
      <c r="B1418">
        <v>38.6</v>
      </c>
      <c r="C1418">
        <v>1.3983000000000001</v>
      </c>
      <c r="D1418">
        <v>1.2305999999999999</v>
      </c>
      <c r="E1418" s="2">
        <f t="shared" si="1494"/>
        <v>15.432999999999993</v>
      </c>
      <c r="F1418" s="2">
        <f t="shared" si="1496"/>
        <v>16.657799999999998</v>
      </c>
      <c r="G1418" s="2">
        <f t="shared" si="1498"/>
        <v>18.164600000000007</v>
      </c>
      <c r="H1418" s="2">
        <f t="shared" si="1499"/>
        <v>2.7596851250568211E-2</v>
      </c>
      <c r="I1418" s="2">
        <f t="shared" ref="I1418:J1418" si="1505">LN(C1417)-LN(C1416)</f>
        <v>3.6929237338701459E-3</v>
      </c>
      <c r="J1418" s="2">
        <f t="shared" si="1505"/>
        <v>-1.39722831950162E-2</v>
      </c>
    </row>
    <row r="1419" spans="1:10" x14ac:dyDescent="0.45">
      <c r="A1419" s="1">
        <v>42243</v>
      </c>
      <c r="B1419">
        <v>42.56</v>
      </c>
      <c r="C1419">
        <v>1.5129999999999999</v>
      </c>
      <c r="D1419">
        <v>1.3287</v>
      </c>
      <c r="E1419" s="2">
        <f t="shared" si="1494"/>
        <v>15.825599999999989</v>
      </c>
      <c r="F1419" s="2">
        <f t="shared" si="1496"/>
        <v>15.432999999999993</v>
      </c>
      <c r="G1419" s="2">
        <f t="shared" si="1498"/>
        <v>16.657799999999998</v>
      </c>
      <c r="H1419" s="2">
        <f t="shared" si="1499"/>
        <v>-1.8226662962983919E-2</v>
      </c>
      <c r="I1419" s="2">
        <f t="shared" ref="I1419:J1419" si="1506">LN(C1418)-LN(C1417)</f>
        <v>-8.828822033651651E-3</v>
      </c>
      <c r="J1419" s="2">
        <f t="shared" si="1506"/>
        <v>-4.9849867319694041E-2</v>
      </c>
    </row>
    <row r="1420" spans="1:10" x14ac:dyDescent="0.45">
      <c r="A1420" s="1">
        <v>42244</v>
      </c>
      <c r="B1420">
        <v>45.22</v>
      </c>
      <c r="C1420">
        <v>1.5911</v>
      </c>
      <c r="D1420">
        <v>1.3971</v>
      </c>
      <c r="E1420" s="2">
        <f t="shared" si="1494"/>
        <v>16.174200000000003</v>
      </c>
      <c r="F1420" s="2">
        <f t="shared" si="1496"/>
        <v>15.825599999999989</v>
      </c>
      <c r="G1420" s="2">
        <f t="shared" si="1498"/>
        <v>15.432999999999993</v>
      </c>
      <c r="H1420" s="2">
        <f t="shared" si="1499"/>
        <v>9.7662568562603802E-2</v>
      </c>
      <c r="I1420" s="2">
        <f t="shared" ref="I1420:J1420" si="1507">LN(C1419)-LN(C1418)</f>
        <v>7.8837221741550834E-2</v>
      </c>
      <c r="J1420" s="2">
        <f t="shared" si="1507"/>
        <v>7.669916529087234E-2</v>
      </c>
    </row>
    <row r="1421" spans="1:10" x14ac:dyDescent="0.45">
      <c r="A1421" s="1">
        <v>42247</v>
      </c>
      <c r="B1421">
        <v>49.2</v>
      </c>
      <c r="C1421">
        <v>1.7012</v>
      </c>
      <c r="D1421">
        <v>1.4991000000000001</v>
      </c>
      <c r="E1421" s="2">
        <f t="shared" si="1494"/>
        <v>16.591599999999989</v>
      </c>
      <c r="F1421" s="2">
        <f t="shared" si="1496"/>
        <v>16.174200000000003</v>
      </c>
      <c r="G1421" s="2">
        <f t="shared" si="1498"/>
        <v>15.825599999999989</v>
      </c>
      <c r="H1421" s="2">
        <f t="shared" si="1499"/>
        <v>6.062462181643502E-2</v>
      </c>
      <c r="I1421" s="2">
        <f t="shared" ref="I1421:J1421" si="1508">LN(C1420)-LN(C1419)</f>
        <v>5.0331166125454907E-2</v>
      </c>
      <c r="J1421" s="2">
        <f t="shared" si="1508"/>
        <v>5.0197639059179011E-2</v>
      </c>
    </row>
    <row r="1422" spans="1:10" x14ac:dyDescent="0.45">
      <c r="A1422" s="1">
        <v>42248</v>
      </c>
      <c r="B1422">
        <v>45.41</v>
      </c>
      <c r="C1422">
        <v>1.5779000000000001</v>
      </c>
      <c r="D1422">
        <v>1.3956</v>
      </c>
      <c r="E1422" s="2">
        <f t="shared" si="1494"/>
        <v>15.757400000000009</v>
      </c>
      <c r="F1422" s="2">
        <f t="shared" si="1496"/>
        <v>16.591599999999989</v>
      </c>
      <c r="G1422" s="2">
        <f t="shared" si="1498"/>
        <v>16.174200000000003</v>
      </c>
      <c r="H1422" s="2">
        <f t="shared" si="1499"/>
        <v>8.4354156648438483E-2</v>
      </c>
      <c r="I1422" s="2">
        <f t="shared" ref="I1422:J1422" si="1509">LN(C1421)-LN(C1420)</f>
        <v>6.6908283465667684E-2</v>
      </c>
      <c r="J1422" s="2">
        <f t="shared" si="1509"/>
        <v>7.04662683618279E-2</v>
      </c>
    </row>
    <row r="1423" spans="1:10" x14ac:dyDescent="0.45">
      <c r="A1423" s="1">
        <v>42249</v>
      </c>
      <c r="B1423">
        <v>46.25</v>
      </c>
      <c r="C1423">
        <v>1.6092</v>
      </c>
      <c r="D1423">
        <v>1.4252</v>
      </c>
      <c r="E1423" s="2">
        <f t="shared" si="1494"/>
        <v>16.1844</v>
      </c>
      <c r="F1423" s="2">
        <f t="shared" si="1496"/>
        <v>15.757400000000009</v>
      </c>
      <c r="G1423" s="2">
        <f t="shared" si="1498"/>
        <v>16.591599999999989</v>
      </c>
      <c r="H1423" s="2">
        <f t="shared" si="1499"/>
        <v>-8.0161278388402923E-2</v>
      </c>
      <c r="I1423" s="2">
        <f t="shared" ref="I1423:J1423" si="1510">LN(C1422)-LN(C1421)</f>
        <v>-7.5239035337855087E-2</v>
      </c>
      <c r="J1423" s="2">
        <f t="shared" si="1510"/>
        <v>-7.1540497705650075E-2</v>
      </c>
    </row>
    <row r="1424" spans="1:10" x14ac:dyDescent="0.45">
      <c r="A1424" s="1">
        <v>42250</v>
      </c>
      <c r="B1424">
        <v>46.75</v>
      </c>
      <c r="C1424">
        <v>1.6188</v>
      </c>
      <c r="D1424">
        <v>1.4371</v>
      </c>
      <c r="E1424" s="2">
        <f t="shared" si="1494"/>
        <v>16.152000000000005</v>
      </c>
      <c r="F1424" s="2">
        <f t="shared" si="1496"/>
        <v>16.1844</v>
      </c>
      <c r="G1424" s="2">
        <f t="shared" si="1498"/>
        <v>15.757400000000009</v>
      </c>
      <c r="H1424" s="2">
        <f t="shared" si="1499"/>
        <v>1.8329118848574577E-2</v>
      </c>
      <c r="I1424" s="2">
        <f t="shared" ref="I1424:J1424" si="1511">LN(C1423)-LN(C1422)</f>
        <v>1.9642312034009735E-2</v>
      </c>
      <c r="J1424" s="2">
        <f t="shared" si="1511"/>
        <v>2.0987724419061993E-2</v>
      </c>
    </row>
    <row r="1425" spans="1:10" x14ac:dyDescent="0.45">
      <c r="A1425" s="1">
        <v>42251</v>
      </c>
      <c r="B1425">
        <v>46.05</v>
      </c>
      <c r="C1425">
        <v>1.5960000000000001</v>
      </c>
      <c r="D1425">
        <v>1.4181999999999999</v>
      </c>
      <c r="E1425" s="2">
        <f t="shared" si="1494"/>
        <v>16.003600000000006</v>
      </c>
      <c r="F1425" s="2">
        <f t="shared" si="1496"/>
        <v>16.152000000000005</v>
      </c>
      <c r="G1425" s="2">
        <f t="shared" si="1498"/>
        <v>16.1844</v>
      </c>
      <c r="H1425" s="2">
        <f t="shared" si="1499"/>
        <v>1.0752791776261983E-2</v>
      </c>
      <c r="I1425" s="2">
        <f t="shared" ref="I1425:J1425" si="1512">LN(C1424)-LN(C1423)</f>
        <v>5.947972926077405E-3</v>
      </c>
      <c r="J1425" s="2">
        <f t="shared" si="1512"/>
        <v>8.3150393485201812E-3</v>
      </c>
    </row>
    <row r="1426" spans="1:10" x14ac:dyDescent="0.45">
      <c r="A1426" s="1">
        <v>42255</v>
      </c>
      <c r="B1426">
        <v>45.94</v>
      </c>
      <c r="C1426">
        <v>1.5938000000000001</v>
      </c>
      <c r="D1426">
        <v>1.4020999999999999</v>
      </c>
      <c r="E1426" s="2">
        <f t="shared" si="1494"/>
        <v>15.632000000000005</v>
      </c>
      <c r="F1426" s="2">
        <f t="shared" si="1496"/>
        <v>16.003600000000006</v>
      </c>
      <c r="G1426" s="2">
        <f t="shared" si="1498"/>
        <v>16.152000000000005</v>
      </c>
      <c r="H1426" s="2">
        <f t="shared" si="1499"/>
        <v>-1.5086493033380055E-2</v>
      </c>
      <c r="I1426" s="2">
        <f t="shared" ref="I1426:J1426" si="1513">LN(C1425)-LN(C1424)</f>
        <v>-1.418463499195638E-2</v>
      </c>
      <c r="J1426" s="2">
        <f t="shared" si="1513"/>
        <v>-1.3238732210304971E-2</v>
      </c>
    </row>
    <row r="1427" spans="1:10" x14ac:dyDescent="0.45">
      <c r="A1427" s="1">
        <v>42256</v>
      </c>
      <c r="B1427">
        <v>44.15</v>
      </c>
      <c r="C1427">
        <v>1.5386</v>
      </c>
      <c r="D1427">
        <v>1.3596999999999999</v>
      </c>
      <c r="E1427" s="2">
        <f t="shared" si="1494"/>
        <v>15.462000000000009</v>
      </c>
      <c r="F1427" s="2">
        <f t="shared" si="1496"/>
        <v>15.632000000000005</v>
      </c>
      <c r="G1427" s="2">
        <f t="shared" si="1498"/>
        <v>16.003600000000006</v>
      </c>
      <c r="H1427" s="2">
        <f t="shared" si="1499"/>
        <v>-2.3915654403636744E-3</v>
      </c>
      <c r="I1427" s="2">
        <f t="shared" ref="I1427:J1427" si="1514">LN(C1426)-LN(C1425)</f>
        <v>-1.3793970461062899E-3</v>
      </c>
      <c r="J1427" s="2">
        <f t="shared" si="1514"/>
        <v>-1.1417349142810451E-2</v>
      </c>
    </row>
    <row r="1428" spans="1:10" x14ac:dyDescent="0.45">
      <c r="A1428" s="1">
        <v>42257</v>
      </c>
      <c r="B1428">
        <v>45.92</v>
      </c>
      <c r="C1428">
        <v>1.5747</v>
      </c>
      <c r="D1428">
        <v>1.3935999999999999</v>
      </c>
      <c r="E1428" s="2">
        <f t="shared" si="1494"/>
        <v>15.146599999999998</v>
      </c>
      <c r="F1428" s="2">
        <f t="shared" si="1496"/>
        <v>15.462000000000009</v>
      </c>
      <c r="G1428" s="2">
        <f t="shared" si="1498"/>
        <v>15.632000000000005</v>
      </c>
      <c r="H1428" s="2">
        <f t="shared" si="1499"/>
        <v>-3.974327021098345E-2</v>
      </c>
      <c r="I1428" s="2">
        <f t="shared" ref="I1428:J1428" si="1515">LN(C1427)-LN(C1426)</f>
        <v>-3.5248189938813568E-2</v>
      </c>
      <c r="J1428" s="2">
        <f t="shared" si="1515"/>
        <v>-3.0707025565445523E-2</v>
      </c>
    </row>
    <row r="1429" spans="1:10" x14ac:dyDescent="0.45">
      <c r="A1429" s="1">
        <v>42258</v>
      </c>
      <c r="B1429">
        <v>44.63</v>
      </c>
      <c r="C1429">
        <v>1.55</v>
      </c>
      <c r="D1429">
        <v>1.3698999999999999</v>
      </c>
      <c r="E1429" s="2">
        <f t="shared" si="1494"/>
        <v>15.427199999999999</v>
      </c>
      <c r="F1429" s="2">
        <f t="shared" si="1496"/>
        <v>15.146599999999998</v>
      </c>
      <c r="G1429" s="2">
        <f t="shared" si="1498"/>
        <v>15.462000000000009</v>
      </c>
      <c r="H1429" s="2">
        <f t="shared" si="1499"/>
        <v>3.930782496134233E-2</v>
      </c>
      <c r="I1429" s="2">
        <f t="shared" ref="I1429:J1429" si="1516">LN(C1428)-LN(C1427)</f>
        <v>2.3191865901529496E-2</v>
      </c>
      <c r="J1429" s="2">
        <f t="shared" si="1516"/>
        <v>2.4626239936598071E-2</v>
      </c>
    </row>
    <row r="1430" spans="1:10" x14ac:dyDescent="0.45">
      <c r="A1430" s="1">
        <v>42261</v>
      </c>
      <c r="B1430">
        <v>44</v>
      </c>
      <c r="C1430">
        <v>1.5035000000000001</v>
      </c>
      <c r="D1430">
        <v>1.3043</v>
      </c>
      <c r="E1430" s="2">
        <f t="shared" si="1494"/>
        <v>13.569400000000002</v>
      </c>
      <c r="F1430" s="2">
        <f t="shared" si="1496"/>
        <v>15.427199999999999</v>
      </c>
      <c r="G1430" s="2">
        <f t="shared" si="1498"/>
        <v>15.146599999999998</v>
      </c>
      <c r="H1430" s="2">
        <f t="shared" si="1499"/>
        <v>-2.8494473370132667E-2</v>
      </c>
      <c r="I1430" s="2">
        <f t="shared" ref="I1430:J1430" si="1517">LN(C1429)-LN(C1428)</f>
        <v>-1.5809847013071421E-2</v>
      </c>
      <c r="J1430" s="2">
        <f t="shared" si="1517"/>
        <v>-1.7152582640894531E-2</v>
      </c>
    </row>
    <row r="1431" spans="1:10" x14ac:dyDescent="0.45">
      <c r="A1431" s="1">
        <v>42262</v>
      </c>
      <c r="B1431">
        <v>44.59</v>
      </c>
      <c r="C1431">
        <v>1.5</v>
      </c>
      <c r="D1431">
        <v>1.3220000000000001</v>
      </c>
      <c r="E1431" s="2">
        <f t="shared" si="1494"/>
        <v>13.425999999999997</v>
      </c>
      <c r="F1431" s="2">
        <f t="shared" si="1496"/>
        <v>13.569400000000002</v>
      </c>
      <c r="G1431" s="2">
        <f t="shared" si="1498"/>
        <v>15.427199999999999</v>
      </c>
      <c r="H1431" s="2">
        <f t="shared" si="1499"/>
        <v>-1.4216644722917504E-2</v>
      </c>
      <c r="I1431" s="2">
        <f t="shared" ref="I1431:J1431" si="1518">LN(C1430)-LN(C1429)</f>
        <v>-3.0459207484708539E-2</v>
      </c>
      <c r="J1431" s="2">
        <f t="shared" si="1518"/>
        <v>-4.9071246081106357E-2</v>
      </c>
    </row>
    <row r="1432" spans="1:10" x14ac:dyDescent="0.45">
      <c r="A1432" s="1">
        <v>42263</v>
      </c>
      <c r="B1432">
        <v>47.15</v>
      </c>
      <c r="C1432">
        <v>1.5414000000000001</v>
      </c>
      <c r="D1432">
        <v>1.3689</v>
      </c>
      <c r="E1432" s="2">
        <f t="shared" si="1494"/>
        <v>12.758800000000008</v>
      </c>
      <c r="F1432" s="2">
        <f t="shared" si="1496"/>
        <v>13.425999999999997</v>
      </c>
      <c r="G1432" s="2">
        <f t="shared" si="1498"/>
        <v>13.569400000000002</v>
      </c>
      <c r="H1432" s="2">
        <f t="shared" si="1499"/>
        <v>1.3319984721124278E-2</v>
      </c>
      <c r="I1432" s="2">
        <f t="shared" ref="I1432:J1432" si="1519">LN(C1431)-LN(C1430)</f>
        <v>-2.3306153382823824E-3</v>
      </c>
      <c r="J1432" s="2">
        <f t="shared" si="1519"/>
        <v>1.3479243035394217E-2</v>
      </c>
    </row>
    <row r="1433" spans="1:10" x14ac:dyDescent="0.45">
      <c r="A1433" s="1">
        <v>42264</v>
      </c>
      <c r="B1433">
        <v>46.9</v>
      </c>
      <c r="C1433">
        <v>1.5297000000000001</v>
      </c>
      <c r="D1433">
        <v>1.3759999999999999</v>
      </c>
      <c r="E1433" s="2">
        <f t="shared" si="1494"/>
        <v>13.043799999999996</v>
      </c>
      <c r="F1433" s="2">
        <f t="shared" si="1496"/>
        <v>12.758800000000008</v>
      </c>
      <c r="G1433" s="2">
        <f t="shared" si="1498"/>
        <v>13.425999999999997</v>
      </c>
      <c r="H1433" s="2">
        <f t="shared" si="1499"/>
        <v>5.5824390440081029E-2</v>
      </c>
      <c r="I1433" s="2">
        <f t="shared" ref="I1433:J1433" si="1520">LN(C1432)-LN(C1431)</f>
        <v>2.7225986253591516E-2</v>
      </c>
      <c r="J1433" s="2">
        <f t="shared" si="1520"/>
        <v>3.4861756189834892E-2</v>
      </c>
    </row>
    <row r="1434" spans="1:10" x14ac:dyDescent="0.45">
      <c r="A1434" s="1">
        <v>42265</v>
      </c>
      <c r="B1434">
        <v>45.02</v>
      </c>
      <c r="C1434">
        <v>1.4906999999999999</v>
      </c>
      <c r="D1434">
        <v>1.3382000000000001</v>
      </c>
      <c r="E1434" s="2">
        <f t="shared" si="1494"/>
        <v>13.319399999999993</v>
      </c>
      <c r="F1434" s="2">
        <f t="shared" si="1496"/>
        <v>13.043799999999996</v>
      </c>
      <c r="G1434" s="2">
        <f t="shared" si="1498"/>
        <v>12.758800000000008</v>
      </c>
      <c r="H1434" s="2">
        <f t="shared" si="1499"/>
        <v>-5.3163336272326056E-3</v>
      </c>
      <c r="I1434" s="2">
        <f t="shared" ref="I1434:J1434" si="1521">LN(C1433)-LN(C1432)</f>
        <v>-7.6194566146731701E-3</v>
      </c>
      <c r="J1434" s="2">
        <f t="shared" si="1521"/>
        <v>5.1732418918223333E-3</v>
      </c>
    </row>
    <row r="1435" spans="1:10" x14ac:dyDescent="0.45">
      <c r="A1435" s="1">
        <v>42268</v>
      </c>
      <c r="B1435">
        <v>46.96</v>
      </c>
      <c r="C1435">
        <v>1.5389999999999999</v>
      </c>
      <c r="D1435">
        <v>1.3837999999999999</v>
      </c>
      <c r="E1435" s="2">
        <f t="shared" si="1494"/>
        <v>13.332399999999998</v>
      </c>
      <c r="F1435" s="2">
        <f t="shared" si="1496"/>
        <v>13.319399999999993</v>
      </c>
      <c r="G1435" s="2">
        <f t="shared" si="1498"/>
        <v>13.043799999999996</v>
      </c>
      <c r="H1435" s="2">
        <f t="shared" si="1499"/>
        <v>-4.0910839973647306E-2</v>
      </c>
      <c r="I1435" s="2">
        <f t="shared" ref="I1435:J1435" si="1522">LN(C1434)-LN(C1433)</f>
        <v>-2.5825829452835236E-2</v>
      </c>
      <c r="J1435" s="2">
        <f t="shared" si="1522"/>
        <v>-2.7855312144572264E-2</v>
      </c>
    </row>
    <row r="1436" spans="1:10" x14ac:dyDescent="0.45">
      <c r="A1436" s="1">
        <v>42269</v>
      </c>
      <c r="B1436">
        <v>46.36</v>
      </c>
      <c r="C1436">
        <v>1.5564</v>
      </c>
      <c r="D1436">
        <v>1.3976</v>
      </c>
      <c r="E1436" s="2">
        <f t="shared" si="1494"/>
        <v>14.562400000000006</v>
      </c>
      <c r="F1436" s="2">
        <f t="shared" si="1496"/>
        <v>13.332399999999998</v>
      </c>
      <c r="G1436" s="2">
        <f t="shared" si="1498"/>
        <v>13.319399999999993</v>
      </c>
      <c r="H1436" s="2">
        <f t="shared" si="1499"/>
        <v>4.2189340041254741E-2</v>
      </c>
      <c r="I1436" s="2">
        <f t="shared" ref="I1436:J1436" si="1523">LN(C1435)-LN(C1434)</f>
        <v>3.1887046562494636E-2</v>
      </c>
      <c r="J1436" s="2">
        <f t="shared" si="1523"/>
        <v>3.3507910715994016E-2</v>
      </c>
    </row>
    <row r="1437" spans="1:10" x14ac:dyDescent="0.45">
      <c r="A1437" s="1">
        <v>42270</v>
      </c>
      <c r="B1437">
        <v>44.48</v>
      </c>
      <c r="C1437">
        <v>1.5279</v>
      </c>
      <c r="D1437">
        <v>1.3649</v>
      </c>
      <c r="E1437" s="2">
        <f t="shared" si="1494"/>
        <v>15.127799999999999</v>
      </c>
      <c r="F1437" s="2">
        <f t="shared" si="1496"/>
        <v>14.562400000000006</v>
      </c>
      <c r="G1437" s="2">
        <f t="shared" si="1498"/>
        <v>13.332399999999998</v>
      </c>
      <c r="H1437" s="2">
        <f t="shared" si="1499"/>
        <v>-1.2859157048290104E-2</v>
      </c>
      <c r="I1437" s="2">
        <f t="shared" ref="I1437:J1437" si="1524">LN(C1436)-LN(C1435)</f>
        <v>1.1242607271519323E-2</v>
      </c>
      <c r="J1437" s="2">
        <f t="shared" si="1524"/>
        <v>9.9231417551361445E-3</v>
      </c>
    </row>
    <row r="1438" spans="1:10" x14ac:dyDescent="0.45">
      <c r="A1438" s="1">
        <v>42271</v>
      </c>
      <c r="B1438">
        <v>44.91</v>
      </c>
      <c r="C1438">
        <v>1.544</v>
      </c>
      <c r="D1438">
        <v>1.3512999999999999</v>
      </c>
      <c r="E1438" s="2">
        <f t="shared" si="1494"/>
        <v>14.542399999999995</v>
      </c>
      <c r="F1438" s="2">
        <f t="shared" si="1496"/>
        <v>15.127799999999999</v>
      </c>
      <c r="G1438" s="2">
        <f t="shared" si="1498"/>
        <v>14.562400000000006</v>
      </c>
      <c r="H1438" s="2">
        <f t="shared" si="1499"/>
        <v>-4.1397368529224376E-2</v>
      </c>
      <c r="I1438" s="2">
        <f t="shared" ref="I1438:J1438" si="1525">LN(C1437)-LN(C1436)</f>
        <v>-1.848121855172985E-2</v>
      </c>
      <c r="J1438" s="2">
        <f t="shared" si="1525"/>
        <v>-2.3675313957697008E-2</v>
      </c>
    </row>
    <row r="1439" spans="1:10" x14ac:dyDescent="0.45">
      <c r="A1439" s="1">
        <v>42272</v>
      </c>
      <c r="B1439">
        <v>45.7</v>
      </c>
      <c r="C1439">
        <v>1.5456000000000001</v>
      </c>
      <c r="D1439">
        <v>1.3793</v>
      </c>
      <c r="E1439" s="2">
        <f t="shared" si="1494"/>
        <v>14.558799999999991</v>
      </c>
      <c r="F1439" s="2">
        <f t="shared" si="1496"/>
        <v>14.542399999999995</v>
      </c>
      <c r="G1439" s="2">
        <f t="shared" si="1498"/>
        <v>15.127799999999999</v>
      </c>
      <c r="H1439" s="2">
        <f t="shared" si="1499"/>
        <v>9.6208371573198725E-3</v>
      </c>
      <c r="I1439" s="2">
        <f t="shared" ref="I1439:J1439" si="1526">LN(C1438)-LN(C1437)</f>
        <v>1.0482208026052875E-2</v>
      </c>
      <c r="J1439" s="2">
        <f t="shared" si="1526"/>
        <v>-1.0014073818109426E-2</v>
      </c>
    </row>
    <row r="1440" spans="1:10" x14ac:dyDescent="0.45">
      <c r="A1440" s="1">
        <v>42275</v>
      </c>
      <c r="B1440">
        <v>44.43</v>
      </c>
      <c r="C1440">
        <v>1.5017</v>
      </c>
      <c r="D1440">
        <v>1.3326</v>
      </c>
      <c r="E1440" s="2">
        <f t="shared" si="1494"/>
        <v>13.906600000000006</v>
      </c>
      <c r="F1440" s="2">
        <f t="shared" si="1496"/>
        <v>14.558799999999991</v>
      </c>
      <c r="G1440" s="2">
        <f t="shared" si="1498"/>
        <v>14.542399999999995</v>
      </c>
      <c r="H1440" s="2">
        <f t="shared" si="1499"/>
        <v>1.7437810800512654E-2</v>
      </c>
      <c r="I1440" s="2">
        <f t="shared" ref="I1440:J1440" si="1527">LN(C1439)-LN(C1438)</f>
        <v>1.0357328735320914E-3</v>
      </c>
      <c r="J1440" s="2">
        <f t="shared" si="1527"/>
        <v>2.0509032037433816E-2</v>
      </c>
    </row>
    <row r="1441" spans="1:10" x14ac:dyDescent="0.45">
      <c r="A1441" s="1">
        <v>42276</v>
      </c>
      <c r="B1441">
        <v>45.23</v>
      </c>
      <c r="C1441">
        <v>1.5250999999999999</v>
      </c>
      <c r="D1441">
        <v>1.3494999999999999</v>
      </c>
      <c r="E1441" s="2">
        <f t="shared" si="1494"/>
        <v>13.907399999999996</v>
      </c>
      <c r="F1441" s="2">
        <f t="shared" si="1496"/>
        <v>13.906600000000006</v>
      </c>
      <c r="G1441" s="2">
        <f t="shared" si="1498"/>
        <v>14.558799999999991</v>
      </c>
      <c r="H1441" s="2">
        <f t="shared" si="1499"/>
        <v>-2.8183380952341963E-2</v>
      </c>
      <c r="I1441" s="2">
        <f t="shared" ref="I1441:J1441" si="1528">LN(C1440)-LN(C1439)</f>
        <v>-2.8814384772018586E-2</v>
      </c>
      <c r="J1441" s="2">
        <f t="shared" si="1528"/>
        <v>-3.4444202953037406E-2</v>
      </c>
    </row>
    <row r="1442" spans="1:10" x14ac:dyDescent="0.45">
      <c r="A1442" s="1">
        <v>42277</v>
      </c>
      <c r="B1442">
        <v>45.09</v>
      </c>
      <c r="C1442">
        <v>1.5374000000000001</v>
      </c>
      <c r="D1442">
        <v>1.3667</v>
      </c>
      <c r="E1442" s="2">
        <f t="shared" si="1494"/>
        <v>14.7012</v>
      </c>
      <c r="F1442" s="2">
        <f t="shared" si="1496"/>
        <v>13.907399999999996</v>
      </c>
      <c r="G1442" s="2">
        <f t="shared" si="1498"/>
        <v>13.906600000000006</v>
      </c>
      <c r="H1442" s="2">
        <f t="shared" si="1499"/>
        <v>1.7845666541934424E-2</v>
      </c>
      <c r="I1442" s="2">
        <f t="shared" ref="I1442:J1442" si="1529">LN(C1441)-LN(C1440)</f>
        <v>1.5462181975902989E-2</v>
      </c>
      <c r="J1442" s="2">
        <f t="shared" si="1529"/>
        <v>1.2602232329622542E-2</v>
      </c>
    </row>
    <row r="1443" spans="1:10" x14ac:dyDescent="0.45">
      <c r="A1443" s="1">
        <v>42278</v>
      </c>
      <c r="B1443">
        <v>44.74</v>
      </c>
      <c r="C1443">
        <v>1.5198</v>
      </c>
      <c r="D1443">
        <v>1.3668</v>
      </c>
      <c r="E1443" s="2">
        <f t="shared" si="1494"/>
        <v>14.807599999999999</v>
      </c>
      <c r="F1443" s="2">
        <f t="shared" si="1496"/>
        <v>14.7012</v>
      </c>
      <c r="G1443" s="2">
        <f t="shared" si="1498"/>
        <v>13.907399999999996</v>
      </c>
      <c r="H1443" s="2">
        <f t="shared" si="1499"/>
        <v>-3.1000910567589024E-3</v>
      </c>
      <c r="I1443" s="2">
        <f t="shared" ref="I1443:J1443" si="1530">LN(C1442)-LN(C1441)</f>
        <v>8.0326962528936563E-3</v>
      </c>
      <c r="J1443" s="2">
        <f t="shared" si="1530"/>
        <v>1.2664921512695493E-2</v>
      </c>
    </row>
    <row r="1444" spans="1:10" x14ac:dyDescent="0.45">
      <c r="A1444" s="1">
        <v>42279</v>
      </c>
      <c r="B1444">
        <v>45.54</v>
      </c>
      <c r="C1444">
        <v>1.5199</v>
      </c>
      <c r="D1444">
        <v>1.3413999999999999</v>
      </c>
      <c r="E1444" s="2">
        <f t="shared" si="1494"/>
        <v>13.297799999999995</v>
      </c>
      <c r="F1444" s="2">
        <f t="shared" si="1496"/>
        <v>14.807599999999999</v>
      </c>
      <c r="G1444" s="2">
        <f t="shared" si="1498"/>
        <v>14.7012</v>
      </c>
      <c r="H1444" s="2">
        <f t="shared" si="1499"/>
        <v>-7.7925363710091844E-3</v>
      </c>
      <c r="I1444" s="2">
        <f t="shared" ref="I1444:J1444" si="1531">LN(C1443)-LN(C1442)</f>
        <v>-1.151393067934714E-2</v>
      </c>
      <c r="J1444" s="2">
        <f t="shared" si="1531"/>
        <v>7.3166270382007959E-5</v>
      </c>
    </row>
    <row r="1445" spans="1:10" x14ac:dyDescent="0.45">
      <c r="A1445" s="1">
        <v>42282</v>
      </c>
      <c r="B1445">
        <v>46.26</v>
      </c>
      <c r="C1445">
        <v>1.5483</v>
      </c>
      <c r="D1445">
        <v>1.3853</v>
      </c>
      <c r="E1445" s="2">
        <f t="shared" si="1494"/>
        <v>14.204599999999999</v>
      </c>
      <c r="F1445" s="2">
        <f t="shared" si="1496"/>
        <v>13.297799999999995</v>
      </c>
      <c r="G1445" s="2">
        <f t="shared" si="1498"/>
        <v>14.807599999999999</v>
      </c>
      <c r="H1445" s="2">
        <f t="shared" si="1499"/>
        <v>1.7723104573609927E-2</v>
      </c>
      <c r="I1445" s="2">
        <f t="shared" ref="I1445:J1445" si="1532">LN(C1444)-LN(C1443)</f>
        <v>6.5795966731008182E-5</v>
      </c>
      <c r="J1445" s="2">
        <f t="shared" si="1532"/>
        <v>-1.8758396575499992E-2</v>
      </c>
    </row>
    <row r="1446" spans="1:10" x14ac:dyDescent="0.45">
      <c r="A1446" s="1">
        <v>42283</v>
      </c>
      <c r="B1446">
        <v>48.53</v>
      </c>
      <c r="C1446">
        <v>1.6114999999999999</v>
      </c>
      <c r="D1446">
        <v>1.4361999999999999</v>
      </c>
      <c r="E1446" s="2">
        <f t="shared" si="1494"/>
        <v>14.2446</v>
      </c>
      <c r="F1446" s="2">
        <f t="shared" si="1496"/>
        <v>14.204599999999999</v>
      </c>
      <c r="G1446" s="2">
        <f t="shared" si="1498"/>
        <v>13.297799999999995</v>
      </c>
      <c r="H1446" s="2">
        <f t="shared" si="1499"/>
        <v>1.568659616769974E-2</v>
      </c>
      <c r="I1446" s="2">
        <f t="shared" ref="I1446:J1446" si="1533">LN(C1445)-LN(C1444)</f>
        <v>1.8513011620375608E-2</v>
      </c>
      <c r="J1446" s="2">
        <f t="shared" si="1533"/>
        <v>3.2202877998196544E-2</v>
      </c>
    </row>
    <row r="1447" spans="1:10" x14ac:dyDescent="0.45">
      <c r="A1447" s="1">
        <v>42284</v>
      </c>
      <c r="B1447">
        <v>47.81</v>
      </c>
      <c r="C1447">
        <v>1.5795999999999999</v>
      </c>
      <c r="D1447">
        <v>1.39</v>
      </c>
      <c r="E1447" s="2">
        <f t="shared" si="1494"/>
        <v>13.224399999999994</v>
      </c>
      <c r="F1447" s="2">
        <f t="shared" si="1496"/>
        <v>14.2446</v>
      </c>
      <c r="G1447" s="2">
        <f t="shared" si="1498"/>
        <v>14.204599999999999</v>
      </c>
      <c r="H1447" s="2">
        <f t="shared" si="1499"/>
        <v>4.7904506613831721E-2</v>
      </c>
      <c r="I1447" s="2">
        <f t="shared" ref="I1447:J1447" si="1534">LN(C1446)-LN(C1445)</f>
        <v>4.0007867432701349E-2</v>
      </c>
      <c r="J1447" s="2">
        <f t="shared" si="1534"/>
        <v>3.6084014012383758E-2</v>
      </c>
    </row>
    <row r="1448" spans="1:10" x14ac:dyDescent="0.45">
      <c r="A1448" s="1">
        <v>42285</v>
      </c>
      <c r="B1448">
        <v>49.43</v>
      </c>
      <c r="C1448">
        <v>1.6017999999999999</v>
      </c>
      <c r="D1448">
        <v>1.4077999999999999</v>
      </c>
      <c r="E1448" s="2">
        <f t="shared" si="1494"/>
        <v>12.413600000000002</v>
      </c>
      <c r="F1448" s="2">
        <f t="shared" si="1496"/>
        <v>13.224399999999994</v>
      </c>
      <c r="G1448" s="2">
        <f t="shared" si="1498"/>
        <v>14.2446</v>
      </c>
      <c r="H1448" s="2">
        <f t="shared" si="1499"/>
        <v>-1.494734077911275E-2</v>
      </c>
      <c r="I1448" s="2">
        <f t="shared" ref="I1448:J1448" si="1535">LN(C1447)-LN(C1446)</f>
        <v>-1.999377184299822E-2</v>
      </c>
      <c r="J1448" s="2">
        <f t="shared" si="1535"/>
        <v>-3.269698955147976E-2</v>
      </c>
    </row>
    <row r="1449" spans="1:10" x14ac:dyDescent="0.45">
      <c r="A1449" s="1">
        <v>42286</v>
      </c>
      <c r="B1449">
        <v>49.63</v>
      </c>
      <c r="C1449">
        <v>1.5909</v>
      </c>
      <c r="D1449">
        <v>1.4167000000000001</v>
      </c>
      <c r="E1449" s="2">
        <f t="shared" si="1494"/>
        <v>12.3102</v>
      </c>
      <c r="F1449" s="2">
        <f t="shared" si="1496"/>
        <v>12.413600000000002</v>
      </c>
      <c r="G1449" s="2">
        <f t="shared" si="1498"/>
        <v>13.224399999999994</v>
      </c>
      <c r="H1449" s="2">
        <f t="shared" si="1499"/>
        <v>3.3322704680855519E-2</v>
      </c>
      <c r="I1449" s="2">
        <f t="shared" ref="I1449:J1449" si="1536">LN(C1448)-LN(C1447)</f>
        <v>1.3956346477087544E-2</v>
      </c>
      <c r="J1449" s="2">
        <f t="shared" si="1536"/>
        <v>1.2724455049293815E-2</v>
      </c>
    </row>
    <row r="1450" spans="1:10" x14ac:dyDescent="0.45">
      <c r="A1450" s="1">
        <v>42289</v>
      </c>
      <c r="B1450">
        <v>47.1</v>
      </c>
      <c r="C1450">
        <v>1.5024</v>
      </c>
      <c r="D1450">
        <v>1.3411</v>
      </c>
      <c r="E1450" s="2">
        <f t="shared" si="1494"/>
        <v>11.484399999999994</v>
      </c>
      <c r="F1450" s="2">
        <f t="shared" si="1496"/>
        <v>12.3102</v>
      </c>
      <c r="G1450" s="2">
        <f t="shared" si="1498"/>
        <v>12.413600000000002</v>
      </c>
      <c r="H1450" s="2">
        <f t="shared" si="1499"/>
        <v>4.0379622804818105E-3</v>
      </c>
      <c r="I1450" s="2">
        <f t="shared" ref="I1450:J1450" si="1537">LN(C1449)-LN(C1448)</f>
        <v>-6.828103078387826E-3</v>
      </c>
      <c r="J1450" s="2">
        <f t="shared" si="1537"/>
        <v>6.3020212112741558E-3</v>
      </c>
    </row>
    <row r="1451" spans="1:10" x14ac:dyDescent="0.45">
      <c r="A1451" s="1">
        <v>42290</v>
      </c>
      <c r="B1451">
        <v>46.66</v>
      </c>
      <c r="C1451">
        <v>1.4708000000000001</v>
      </c>
      <c r="D1451">
        <v>1.3140000000000001</v>
      </c>
      <c r="E1451" s="2">
        <f t="shared" si="1494"/>
        <v>10.723200000000011</v>
      </c>
      <c r="F1451" s="2">
        <f t="shared" si="1496"/>
        <v>11.484399999999994</v>
      </c>
      <c r="G1451" s="2">
        <f t="shared" si="1498"/>
        <v>12.3102</v>
      </c>
      <c r="H1451" s="2">
        <f t="shared" si="1499"/>
        <v>-5.23224885769773E-2</v>
      </c>
      <c r="I1451" s="2">
        <f t="shared" ref="I1451:J1451" si="1538">LN(C1450)-LN(C1449)</f>
        <v>-5.7236064357195582E-2</v>
      </c>
      <c r="J1451" s="2">
        <f t="shared" si="1538"/>
        <v>-5.4840050668410911E-2</v>
      </c>
    </row>
    <row r="1452" spans="1:10" x14ac:dyDescent="0.45">
      <c r="A1452" s="1">
        <v>42291</v>
      </c>
      <c r="B1452">
        <v>46.64</v>
      </c>
      <c r="C1452">
        <v>1.4833000000000001</v>
      </c>
      <c r="D1452">
        <v>1.3083</v>
      </c>
      <c r="E1452" s="2">
        <f t="shared" si="1494"/>
        <v>10.758599999999992</v>
      </c>
      <c r="F1452" s="2">
        <f t="shared" si="1496"/>
        <v>10.723200000000011</v>
      </c>
      <c r="G1452" s="2">
        <f t="shared" si="1498"/>
        <v>11.484399999999994</v>
      </c>
      <c r="H1452" s="2">
        <f t="shared" si="1499"/>
        <v>-9.3857344290881883E-3</v>
      </c>
      <c r="I1452" s="2">
        <f t="shared" ref="I1452:J1452" si="1539">LN(C1451)-LN(C1450)</f>
        <v>-2.1257359026881417E-2</v>
      </c>
      <c r="J1452" s="2">
        <f t="shared" si="1539"/>
        <v>-2.041425267233854E-2</v>
      </c>
    </row>
    <row r="1453" spans="1:10" x14ac:dyDescent="0.45">
      <c r="A1453" s="1">
        <v>42292</v>
      </c>
      <c r="B1453">
        <v>46.38</v>
      </c>
      <c r="C1453">
        <v>1.4863</v>
      </c>
      <c r="D1453">
        <v>1.3128</v>
      </c>
      <c r="E1453" s="2">
        <f t="shared" si="1494"/>
        <v>11.18659999999999</v>
      </c>
      <c r="F1453" s="2">
        <f t="shared" si="1496"/>
        <v>10.758599999999992</v>
      </c>
      <c r="G1453" s="2">
        <f t="shared" si="1498"/>
        <v>10.723200000000011</v>
      </c>
      <c r="H1453" s="2">
        <f t="shared" si="1499"/>
        <v>-4.2872455104703278E-4</v>
      </c>
      <c r="I1453" s="2">
        <f t="shared" ref="I1453:J1453" si="1540">LN(C1452)-LN(C1451)</f>
        <v>8.4628649024497404E-3</v>
      </c>
      <c r="J1453" s="2">
        <f t="shared" si="1540"/>
        <v>-4.3473355277254266E-3</v>
      </c>
    </row>
    <row r="1454" spans="1:10" x14ac:dyDescent="0.45">
      <c r="A1454" s="1">
        <v>42293</v>
      </c>
      <c r="B1454">
        <v>47.72</v>
      </c>
      <c r="C1454">
        <v>1.4965999999999999</v>
      </c>
      <c r="D1454">
        <v>1.3280000000000001</v>
      </c>
      <c r="E1454" s="2">
        <f t="shared" si="1494"/>
        <v>10.416400000000001</v>
      </c>
      <c r="F1454" s="2">
        <f t="shared" si="1496"/>
        <v>11.18659999999999</v>
      </c>
      <c r="G1454" s="2">
        <f t="shared" si="1498"/>
        <v>10.758599999999992</v>
      </c>
      <c r="H1454" s="2">
        <f t="shared" si="1499"/>
        <v>-5.5902102148515098E-3</v>
      </c>
      <c r="I1454" s="2">
        <f t="shared" ref="I1454:J1454" si="1541">LN(C1453)-LN(C1452)</f>
        <v>2.0204748252825033E-3</v>
      </c>
      <c r="J1454" s="2">
        <f t="shared" si="1541"/>
        <v>3.4336762590506664E-3</v>
      </c>
    </row>
    <row r="1455" spans="1:10" x14ac:dyDescent="0.45">
      <c r="A1455" s="1">
        <v>42296</v>
      </c>
      <c r="B1455">
        <v>46.28</v>
      </c>
      <c r="C1455">
        <v>1.4796</v>
      </c>
      <c r="D1455">
        <v>1.2685</v>
      </c>
      <c r="E1455" s="2">
        <f t="shared" si="1494"/>
        <v>9.9524000000000026</v>
      </c>
      <c r="F1455" s="2">
        <f t="shared" si="1496"/>
        <v>10.416400000000001</v>
      </c>
      <c r="G1455" s="2">
        <f t="shared" si="1498"/>
        <v>11.18659999999999</v>
      </c>
      <c r="H1455" s="2">
        <f t="shared" si="1499"/>
        <v>2.8482265402329787E-2</v>
      </c>
      <c r="I1455" s="2">
        <f t="shared" ref="I1455:J1455" si="1542">LN(C1454)-LN(C1453)</f>
        <v>6.9060584914088508E-3</v>
      </c>
      <c r="J1455" s="2">
        <f t="shared" si="1542"/>
        <v>1.1511790260498089E-2</v>
      </c>
    </row>
    <row r="1456" spans="1:10" x14ac:dyDescent="0.45">
      <c r="A1456" s="1">
        <v>42297</v>
      </c>
      <c r="B1456">
        <v>46.29</v>
      </c>
      <c r="C1456">
        <v>1.4782</v>
      </c>
      <c r="D1456">
        <v>1.2895000000000001</v>
      </c>
      <c r="E1456" s="2">
        <f t="shared" si="1494"/>
        <v>10.510799999999998</v>
      </c>
      <c r="F1456" s="2">
        <f t="shared" si="1496"/>
        <v>9.9524000000000026</v>
      </c>
      <c r="G1456" s="2">
        <f t="shared" si="1498"/>
        <v>10.416400000000001</v>
      </c>
      <c r="H1456" s="2">
        <f t="shared" si="1499"/>
        <v>-3.0640694904239485E-2</v>
      </c>
      <c r="I1456" s="2">
        <f t="shared" ref="I1456:J1456" si="1543">LN(C1455)-LN(C1454)</f>
        <v>-1.1424087687959161E-2</v>
      </c>
      <c r="J1456" s="2">
        <f t="shared" si="1543"/>
        <v>-4.583895099704266E-2</v>
      </c>
    </row>
    <row r="1457" spans="1:10" x14ac:dyDescent="0.45">
      <c r="A1457" s="1">
        <v>42298</v>
      </c>
      <c r="B1457">
        <v>45.2</v>
      </c>
      <c r="C1457">
        <v>1.4737</v>
      </c>
      <c r="D1457">
        <v>1.2859</v>
      </c>
      <c r="E1457" s="2">
        <f t="shared" si="1494"/>
        <v>11.436999999999992</v>
      </c>
      <c r="F1457" s="2">
        <f t="shared" si="1496"/>
        <v>10.510799999999998</v>
      </c>
      <c r="G1457" s="2">
        <f t="shared" si="1498"/>
        <v>9.9524000000000026</v>
      </c>
      <c r="H1457" s="2">
        <f t="shared" si="1499"/>
        <v>2.1605271770352985E-4</v>
      </c>
      <c r="I1457" s="2">
        <f t="shared" ref="I1457:J1457" si="1544">LN(C1456)-LN(C1455)</f>
        <v>-9.4664960751256189E-4</v>
      </c>
      <c r="J1457" s="2">
        <f t="shared" si="1544"/>
        <v>1.6419446282062988E-2</v>
      </c>
    </row>
    <row r="1458" spans="1:10" x14ac:dyDescent="0.45">
      <c r="A1458" s="1">
        <v>42299</v>
      </c>
      <c r="B1458">
        <v>45.38</v>
      </c>
      <c r="C1458">
        <v>1.4871000000000001</v>
      </c>
      <c r="D1458">
        <v>1.306</v>
      </c>
      <c r="E1458" s="2">
        <f t="shared" si="1494"/>
        <v>12.007399999999999</v>
      </c>
      <c r="F1458" s="2">
        <f t="shared" si="1496"/>
        <v>11.436999999999992</v>
      </c>
      <c r="G1458" s="2">
        <f t="shared" si="1498"/>
        <v>10.510799999999998</v>
      </c>
      <c r="H1458" s="2">
        <f t="shared" si="1499"/>
        <v>-2.3828868204993636E-2</v>
      </c>
      <c r="I1458" s="2">
        <f t="shared" ref="I1458:J1458" si="1545">LN(C1457)-LN(C1456)</f>
        <v>-3.0488861315691174E-3</v>
      </c>
      <c r="J1458" s="2">
        <f t="shared" si="1545"/>
        <v>-2.7956840450062415E-3</v>
      </c>
    </row>
    <row r="1459" spans="1:10" x14ac:dyDescent="0.45">
      <c r="A1459" s="1">
        <v>42300</v>
      </c>
      <c r="B1459">
        <v>44.6</v>
      </c>
      <c r="C1459">
        <v>1.4781</v>
      </c>
      <c r="D1459">
        <v>1.2964</v>
      </c>
      <c r="E1459" s="2">
        <f t="shared" si="1494"/>
        <v>12.392599999999996</v>
      </c>
      <c r="F1459" s="2">
        <f t="shared" si="1496"/>
        <v>12.007399999999999</v>
      </c>
      <c r="G1459" s="2">
        <f t="shared" si="1498"/>
        <v>11.436999999999992</v>
      </c>
      <c r="H1459" s="2">
        <f t="shared" si="1499"/>
        <v>3.9743925135100611E-3</v>
      </c>
      <c r="I1459" s="2">
        <f t="shared" ref="I1459:J1459" si="1546">LN(C1458)-LN(C1457)</f>
        <v>9.0516694754206872E-3</v>
      </c>
      <c r="J1459" s="2">
        <f t="shared" si="1546"/>
        <v>1.5510168559983106E-2</v>
      </c>
    </row>
    <row r="1460" spans="1:10" x14ac:dyDescent="0.45">
      <c r="A1460" s="1">
        <v>42303</v>
      </c>
      <c r="B1460">
        <v>43.98</v>
      </c>
      <c r="C1460">
        <v>1.4490000000000001</v>
      </c>
      <c r="D1460">
        <v>1.2827999999999999</v>
      </c>
      <c r="E1460" s="2">
        <f t="shared" si="1494"/>
        <v>12.224400000000003</v>
      </c>
      <c r="F1460" s="2">
        <f t="shared" si="1496"/>
        <v>12.392599999999996</v>
      </c>
      <c r="G1460" s="2">
        <f t="shared" si="1498"/>
        <v>12.007399999999999</v>
      </c>
      <c r="H1460" s="2">
        <f t="shared" si="1499"/>
        <v>-1.7337620325677428E-2</v>
      </c>
      <c r="I1460" s="2">
        <f t="shared" ref="I1460:J1460" si="1547">LN(C1459)-LN(C1458)</f>
        <v>-6.0704354766109025E-3</v>
      </c>
      <c r="J1460" s="2">
        <f t="shared" si="1547"/>
        <v>-7.3778385689841075E-3</v>
      </c>
    </row>
    <row r="1461" spans="1:10" x14ac:dyDescent="0.45">
      <c r="A1461" s="1">
        <v>42304</v>
      </c>
      <c r="B1461">
        <v>43.2</v>
      </c>
      <c r="C1461">
        <v>1.4456</v>
      </c>
      <c r="D1461">
        <v>1.2783</v>
      </c>
      <c r="E1461" s="2">
        <f t="shared" si="1494"/>
        <v>12.830799999999991</v>
      </c>
      <c r="F1461" s="2">
        <f t="shared" si="1496"/>
        <v>12.224400000000003</v>
      </c>
      <c r="G1461" s="2">
        <f t="shared" si="1498"/>
        <v>12.392599999999996</v>
      </c>
      <c r="H1461" s="2">
        <f t="shared" si="1499"/>
        <v>-1.3998873899403463E-2</v>
      </c>
      <c r="I1461" s="2">
        <f t="shared" ref="I1461:J1461" si="1548">LN(C1460)-LN(C1459)</f>
        <v>-1.9883815897344614E-2</v>
      </c>
      <c r="J1461" s="2">
        <f t="shared" si="1548"/>
        <v>-1.0546003448392488E-2</v>
      </c>
    </row>
    <row r="1462" spans="1:10" x14ac:dyDescent="0.45">
      <c r="A1462" s="1">
        <v>42305</v>
      </c>
      <c r="B1462">
        <v>45.94</v>
      </c>
      <c r="C1462">
        <v>1.5041</v>
      </c>
      <c r="D1462">
        <v>1.3384</v>
      </c>
      <c r="E1462" s="2">
        <f t="shared" si="1494"/>
        <v>12.592600000000004</v>
      </c>
      <c r="F1462" s="2">
        <f t="shared" si="1496"/>
        <v>12.830799999999991</v>
      </c>
      <c r="G1462" s="2">
        <f t="shared" si="1498"/>
        <v>12.224400000000003</v>
      </c>
      <c r="H1462" s="2">
        <f t="shared" si="1499"/>
        <v>-1.7894489876550068E-2</v>
      </c>
      <c r="I1462" s="2">
        <f t="shared" ref="I1462:J1462" si="1549">LN(C1461)-LN(C1460)</f>
        <v>-2.3492030426636723E-3</v>
      </c>
      <c r="J1462" s="2">
        <f t="shared" si="1549"/>
        <v>-3.5141186450237671E-3</v>
      </c>
    </row>
    <row r="1463" spans="1:10" x14ac:dyDescent="0.45">
      <c r="A1463" s="1">
        <v>42306</v>
      </c>
      <c r="B1463">
        <v>46.06</v>
      </c>
      <c r="C1463">
        <v>1.4984</v>
      </c>
      <c r="D1463">
        <v>1.3393999999999999</v>
      </c>
      <c r="E1463" s="2">
        <f t="shared" si="1494"/>
        <v>12.420799999999995</v>
      </c>
      <c r="F1463" s="2">
        <f t="shared" si="1496"/>
        <v>12.592600000000004</v>
      </c>
      <c r="G1463" s="2">
        <f t="shared" si="1498"/>
        <v>12.830799999999991</v>
      </c>
      <c r="H1463" s="2">
        <f t="shared" si="1499"/>
        <v>6.1495702010887499E-2</v>
      </c>
      <c r="I1463" s="2">
        <f t="shared" ref="I1463:J1463" si="1550">LN(C1462)-LN(C1461)</f>
        <v>3.9670252383148863E-2</v>
      </c>
      <c r="J1463" s="2">
        <f t="shared" si="1550"/>
        <v>4.5943800498638193E-2</v>
      </c>
    </row>
    <row r="1464" spans="1:10" x14ac:dyDescent="0.45">
      <c r="A1464" s="1">
        <v>42307</v>
      </c>
      <c r="B1464">
        <v>46.59</v>
      </c>
      <c r="C1464">
        <v>1.5166999999999999</v>
      </c>
      <c r="D1464">
        <v>1.3715999999999999</v>
      </c>
      <c r="E1464" s="2">
        <f t="shared" si="1494"/>
        <v>13.048599999999993</v>
      </c>
      <c r="F1464" s="2">
        <f t="shared" si="1496"/>
        <v>12.420799999999995</v>
      </c>
      <c r="G1464" s="2">
        <f t="shared" si="1498"/>
        <v>12.592600000000004</v>
      </c>
      <c r="H1464" s="2">
        <f t="shared" si="1499"/>
        <v>2.6086971315870677E-3</v>
      </c>
      <c r="I1464" s="2">
        <f t="shared" ref="I1464:J1464" si="1551">LN(C1463)-LN(C1462)</f>
        <v>-3.7968405312888698E-3</v>
      </c>
      <c r="J1464" s="2">
        <f t="shared" si="1551"/>
        <v>7.4688180333554177E-4</v>
      </c>
    </row>
    <row r="1465" spans="1:10" x14ac:dyDescent="0.45">
      <c r="A1465" s="1">
        <v>42310</v>
      </c>
      <c r="B1465">
        <v>46.14</v>
      </c>
      <c r="C1465">
        <v>1.5068999999999999</v>
      </c>
      <c r="D1465">
        <v>1.3753</v>
      </c>
      <c r="E1465" s="2">
        <f t="shared" si="1494"/>
        <v>13.464999999999995</v>
      </c>
      <c r="F1465" s="2">
        <f t="shared" si="1496"/>
        <v>13.048599999999993</v>
      </c>
      <c r="G1465" s="2">
        <f t="shared" si="1498"/>
        <v>12.420799999999995</v>
      </c>
      <c r="H1465" s="2">
        <f t="shared" si="1499"/>
        <v>1.1441031436166149E-2</v>
      </c>
      <c r="I1465" s="2">
        <f t="shared" ref="I1465:J1465" si="1552">LN(C1464)-LN(C1463)</f>
        <v>1.2139049927472445E-2</v>
      </c>
      <c r="J1465" s="2">
        <f t="shared" si="1552"/>
        <v>2.3756189112815462E-2</v>
      </c>
    </row>
    <row r="1466" spans="1:10" x14ac:dyDescent="0.45">
      <c r="A1466" s="1">
        <v>42311</v>
      </c>
      <c r="B1466">
        <v>47.9</v>
      </c>
      <c r="C1466">
        <v>1.5660000000000001</v>
      </c>
      <c r="D1466">
        <v>1.4455</v>
      </c>
      <c r="E1466" s="2">
        <f t="shared" si="1494"/>
        <v>14.49800000000001</v>
      </c>
      <c r="F1466" s="2">
        <f t="shared" si="1496"/>
        <v>13.464999999999995</v>
      </c>
      <c r="G1466" s="2">
        <f t="shared" si="1498"/>
        <v>13.048599999999993</v>
      </c>
      <c r="H1466" s="2">
        <f t="shared" si="1499"/>
        <v>-9.7056730830979987E-3</v>
      </c>
      <c r="I1466" s="2">
        <f t="shared" ref="I1466:J1466" si="1553">LN(C1465)-LN(C1464)</f>
        <v>-6.4823616332425615E-3</v>
      </c>
      <c r="J1466" s="2">
        <f t="shared" si="1553"/>
        <v>2.6939475318968342E-3</v>
      </c>
    </row>
    <row r="1467" spans="1:10" x14ac:dyDescent="0.45">
      <c r="A1467" s="1">
        <v>42312</v>
      </c>
      <c r="B1467">
        <v>46.32</v>
      </c>
      <c r="C1467">
        <v>1.5035000000000001</v>
      </c>
      <c r="D1467">
        <v>1.3918999999999999</v>
      </c>
      <c r="E1467" s="2">
        <f t="shared" si="1494"/>
        <v>13.702199999999996</v>
      </c>
      <c r="F1467" s="2">
        <f t="shared" si="1496"/>
        <v>14.49800000000001</v>
      </c>
      <c r="G1467" s="2">
        <f t="shared" si="1498"/>
        <v>13.464999999999995</v>
      </c>
      <c r="H1467" s="2">
        <f t="shared" si="1499"/>
        <v>3.7435251671261938E-2</v>
      </c>
      <c r="I1467" s="2">
        <f t="shared" ref="I1467:J1467" si="1554">LN(C1466)-LN(C1465)</f>
        <v>3.8470037126639822E-2</v>
      </c>
      <c r="J1467" s="2">
        <f t="shared" si="1554"/>
        <v>4.9783393335738668E-2</v>
      </c>
    </row>
    <row r="1468" spans="1:10" x14ac:dyDescent="0.45">
      <c r="A1468" s="1">
        <v>42313</v>
      </c>
      <c r="B1468">
        <v>45.2</v>
      </c>
      <c r="C1468">
        <v>1.4872000000000001</v>
      </c>
      <c r="D1468">
        <v>1.361</v>
      </c>
      <c r="E1468" s="2">
        <f t="shared" si="1494"/>
        <v>13.728799999999998</v>
      </c>
      <c r="F1468" s="2">
        <f t="shared" si="1496"/>
        <v>13.702199999999996</v>
      </c>
      <c r="G1468" s="2">
        <f t="shared" si="1498"/>
        <v>14.49800000000001</v>
      </c>
      <c r="H1468" s="2">
        <f t="shared" si="1499"/>
        <v>-3.3541671152129471E-2</v>
      </c>
      <c r="I1468" s="2">
        <f t="shared" ref="I1468:J1468" si="1555">LN(C1467)-LN(C1466)</f>
        <v>-4.0728874122164638E-2</v>
      </c>
      <c r="J1468" s="2">
        <f t="shared" si="1555"/>
        <v>-3.778556222304591E-2</v>
      </c>
    </row>
    <row r="1469" spans="1:10" x14ac:dyDescent="0.45">
      <c r="A1469" s="1">
        <v>42314</v>
      </c>
      <c r="B1469">
        <v>44.29</v>
      </c>
      <c r="C1469">
        <v>1.4896</v>
      </c>
      <c r="D1469">
        <v>1.3694999999999999</v>
      </c>
      <c r="E1469" s="2">
        <f t="shared" si="1494"/>
        <v>14.910400000000001</v>
      </c>
      <c r="F1469" s="2">
        <f t="shared" si="1496"/>
        <v>13.728799999999998</v>
      </c>
      <c r="G1469" s="2">
        <f t="shared" si="1498"/>
        <v>13.702199999999996</v>
      </c>
      <c r="H1469" s="2">
        <f t="shared" si="1499"/>
        <v>-2.4476746426554286E-2</v>
      </c>
      <c r="I1469" s="2">
        <f t="shared" ref="I1469:J1469" si="1556">LN(C1468)-LN(C1467)</f>
        <v>-1.0900566021349534E-2</v>
      </c>
      <c r="J1469" s="2">
        <f t="shared" si="1556"/>
        <v>-2.2449996581888731E-2</v>
      </c>
    </row>
    <row r="1470" spans="1:10" x14ac:dyDescent="0.45">
      <c r="A1470" s="1">
        <v>42317</v>
      </c>
      <c r="B1470">
        <v>43.87</v>
      </c>
      <c r="C1470">
        <v>1.4774</v>
      </c>
      <c r="D1470">
        <v>1.3705000000000001</v>
      </c>
      <c r="E1470" s="2">
        <f t="shared" si="1494"/>
        <v>15.187600000000003</v>
      </c>
      <c r="F1470" s="2">
        <f t="shared" si="1496"/>
        <v>14.910400000000001</v>
      </c>
      <c r="G1470" s="2">
        <f t="shared" si="1498"/>
        <v>13.728799999999998</v>
      </c>
      <c r="H1470" s="2">
        <f t="shared" si="1499"/>
        <v>-2.0338168903078824E-2</v>
      </c>
      <c r="I1470" s="2">
        <f t="shared" ref="I1470:J1470" si="1557">LN(C1469)-LN(C1468)</f>
        <v>1.6124701155683652E-3</v>
      </c>
      <c r="J1470" s="2">
        <f t="shared" si="1557"/>
        <v>6.2259860516667431E-3</v>
      </c>
    </row>
    <row r="1471" spans="1:10" x14ac:dyDescent="0.45">
      <c r="A1471" s="1">
        <v>42318</v>
      </c>
      <c r="B1471">
        <v>44.21</v>
      </c>
      <c r="C1471">
        <v>1.4864999999999999</v>
      </c>
      <c r="D1471">
        <v>1.3617999999999999</v>
      </c>
      <c r="E1471" s="2">
        <f t="shared" si="1494"/>
        <v>14.731399999999999</v>
      </c>
      <c r="F1471" s="2">
        <f t="shared" si="1496"/>
        <v>15.187600000000003</v>
      </c>
      <c r="G1471" s="2">
        <f t="shared" si="1498"/>
        <v>14.910400000000001</v>
      </c>
      <c r="H1471" s="2">
        <f t="shared" si="1499"/>
        <v>-9.5282027569845162E-3</v>
      </c>
      <c r="I1471" s="2">
        <f t="shared" ref="I1471:J1471" si="1558">LN(C1470)-LN(C1469)</f>
        <v>-8.223841428165235E-3</v>
      </c>
      <c r="J1471" s="2">
        <f t="shared" si="1558"/>
        <v>7.2992703970770068E-4</v>
      </c>
    </row>
    <row r="1472" spans="1:10" x14ac:dyDescent="0.45">
      <c r="A1472" s="1">
        <v>42319</v>
      </c>
      <c r="B1472">
        <v>42.93</v>
      </c>
      <c r="C1472">
        <v>1.4477</v>
      </c>
      <c r="D1472">
        <v>1.3293999999999999</v>
      </c>
      <c r="E1472" s="2">
        <f t="shared" si="1494"/>
        <v>14.560999999999998</v>
      </c>
      <c r="F1472" s="2">
        <f t="shared" si="1496"/>
        <v>14.731399999999999</v>
      </c>
      <c r="G1472" s="2">
        <f t="shared" si="1498"/>
        <v>15.187600000000003</v>
      </c>
      <c r="H1472" s="2">
        <f t="shared" si="1499"/>
        <v>7.720292660029493E-3</v>
      </c>
      <c r="I1472" s="2">
        <f t="shared" ref="I1472:J1472" si="1559">LN(C1471)-LN(C1470)</f>
        <v>6.1405773435149191E-3</v>
      </c>
      <c r="J1472" s="2">
        <f t="shared" si="1559"/>
        <v>-6.3682826939743253E-3</v>
      </c>
    </row>
    <row r="1473" spans="1:10" x14ac:dyDescent="0.45">
      <c r="A1473" s="1">
        <v>42320</v>
      </c>
      <c r="B1473">
        <v>41.75</v>
      </c>
      <c r="C1473">
        <v>1.4066000000000001</v>
      </c>
      <c r="D1473">
        <v>1.2730999999999999</v>
      </c>
      <c r="E1473" s="2">
        <f t="shared" si="1494"/>
        <v>13.589200000000005</v>
      </c>
      <c r="F1473" s="2">
        <f t="shared" si="1496"/>
        <v>14.560999999999998</v>
      </c>
      <c r="G1473" s="2">
        <f t="shared" si="1498"/>
        <v>14.731399999999999</v>
      </c>
      <c r="H1473" s="2">
        <f t="shared" si="1499"/>
        <v>-2.9380125601682572E-2</v>
      </c>
      <c r="I1473" s="2">
        <f t="shared" ref="I1473:J1473" si="1560">LN(C1472)-LN(C1471)</f>
        <v>-2.6448273278154466E-2</v>
      </c>
      <c r="J1473" s="2">
        <f t="shared" si="1560"/>
        <v>-2.4079641441384803E-2</v>
      </c>
    </row>
    <row r="1474" spans="1:10" x14ac:dyDescent="0.45">
      <c r="A1474" s="1">
        <v>42321</v>
      </c>
      <c r="B1474">
        <v>40.74</v>
      </c>
      <c r="C1474">
        <v>1.3813</v>
      </c>
      <c r="D1474">
        <v>1.2388999999999999</v>
      </c>
      <c r="E1474" s="2">
        <f t="shared" si="1494"/>
        <v>13.2874</v>
      </c>
      <c r="F1474" s="2">
        <f t="shared" si="1496"/>
        <v>13.589200000000005</v>
      </c>
      <c r="G1474" s="2">
        <f t="shared" si="1498"/>
        <v>14.560999999999998</v>
      </c>
      <c r="H1474" s="2">
        <f t="shared" si="1499"/>
        <v>-2.7871430939604647E-2</v>
      </c>
      <c r="I1474" s="2">
        <f t="shared" ref="I1474:J1474" si="1561">LN(C1473)-LN(C1472)</f>
        <v>-2.8800645286079951E-2</v>
      </c>
      <c r="J1474" s="2">
        <f t="shared" si="1561"/>
        <v>-4.3272841539881785E-2</v>
      </c>
    </row>
    <row r="1475" spans="1:10" x14ac:dyDescent="0.45">
      <c r="A1475" s="1">
        <v>42324</v>
      </c>
      <c r="B1475">
        <v>41.74</v>
      </c>
      <c r="C1475">
        <v>1.3851</v>
      </c>
      <c r="D1475">
        <v>1.234</v>
      </c>
      <c r="E1475" s="2">
        <f t="shared" ref="E1475:E1538" si="1562">(2*D1475*42+1*C1475*42-3*B1475)/3</f>
        <v>12.203399999999997</v>
      </c>
      <c r="F1475" s="2">
        <f t="shared" si="1496"/>
        <v>13.2874</v>
      </c>
      <c r="G1475" s="2">
        <f t="shared" si="1498"/>
        <v>13.589200000000005</v>
      </c>
      <c r="H1475" s="2">
        <f t="shared" si="1499"/>
        <v>-2.4489040498204773E-2</v>
      </c>
      <c r="I1475" s="2">
        <f t="shared" ref="I1475:J1475" si="1563">LN(C1474)-LN(C1473)</f>
        <v>-1.815036016800381E-2</v>
      </c>
      <c r="J1475" s="2">
        <f t="shared" si="1563"/>
        <v>-2.7230981945906535E-2</v>
      </c>
    </row>
    <row r="1476" spans="1:10" x14ac:dyDescent="0.45">
      <c r="A1476" s="1">
        <v>42325</v>
      </c>
      <c r="B1476">
        <v>40.67</v>
      </c>
      <c r="C1476">
        <v>1.3681000000000001</v>
      </c>
      <c r="D1476">
        <v>1.2263999999999999</v>
      </c>
      <c r="E1476" s="2">
        <f t="shared" si="1562"/>
        <v>12.8226</v>
      </c>
      <c r="F1476" s="2">
        <f t="shared" ref="F1476:F1539" si="1564">E1475</f>
        <v>12.203399999999997</v>
      </c>
      <c r="G1476" s="2">
        <f t="shared" si="1498"/>
        <v>13.2874</v>
      </c>
      <c r="H1476" s="2">
        <f t="shared" si="1499"/>
        <v>2.4249490850394739E-2</v>
      </c>
      <c r="I1476" s="2">
        <f t="shared" ref="I1476:J1476" si="1565">LN(C1475)-LN(C1474)</f>
        <v>2.7472544751387939E-3</v>
      </c>
      <c r="J1476" s="2">
        <f t="shared" si="1565"/>
        <v>-3.9629636563599802E-3</v>
      </c>
    </row>
    <row r="1477" spans="1:10" x14ac:dyDescent="0.45">
      <c r="A1477" s="1">
        <v>42326</v>
      </c>
      <c r="B1477">
        <v>41.95</v>
      </c>
      <c r="C1477">
        <v>1.4014</v>
      </c>
      <c r="D1477">
        <v>1.2507999999999999</v>
      </c>
      <c r="E1477" s="2">
        <f t="shared" si="1562"/>
        <v>12.691999999999993</v>
      </c>
      <c r="F1477" s="2">
        <f t="shared" si="1564"/>
        <v>12.8226</v>
      </c>
      <c r="G1477" s="2">
        <f t="shared" ref="G1477:G1540" si="1566">E1475</f>
        <v>12.203399999999997</v>
      </c>
      <c r="H1477" s="2">
        <f t="shared" ref="H1477:H1540" si="1567">LN(B1476)-LN(B1475)</f>
        <v>-2.5969181729921242E-2</v>
      </c>
      <c r="I1477" s="2">
        <f t="shared" ref="I1477:J1477" si="1568">LN(C1476)-LN(C1475)</f>
        <v>-1.2349423254984448E-2</v>
      </c>
      <c r="J1477" s="2">
        <f t="shared" si="1568"/>
        <v>-6.1778769077287798E-3</v>
      </c>
    </row>
    <row r="1478" spans="1:10" x14ac:dyDescent="0.45">
      <c r="A1478" s="1">
        <v>42327</v>
      </c>
      <c r="B1478">
        <v>41.72</v>
      </c>
      <c r="C1478">
        <v>1.3956</v>
      </c>
      <c r="D1478">
        <v>1.2650999999999999</v>
      </c>
      <c r="E1478" s="2">
        <f t="shared" si="1562"/>
        <v>13.241200000000001</v>
      </c>
      <c r="F1478" s="2">
        <f t="shared" si="1564"/>
        <v>12.691999999999993</v>
      </c>
      <c r="G1478" s="2">
        <f t="shared" si="1566"/>
        <v>12.8226</v>
      </c>
      <c r="H1478" s="2">
        <f t="shared" si="1567"/>
        <v>3.0987712994082095E-2</v>
      </c>
      <c r="I1478" s="2">
        <f t="shared" ref="I1478:J1478" si="1569">LN(C1477)-LN(C1476)</f>
        <v>2.404882101036504E-2</v>
      </c>
      <c r="J1478" s="2">
        <f t="shared" si="1569"/>
        <v>1.9700298026081836E-2</v>
      </c>
    </row>
    <row r="1479" spans="1:10" x14ac:dyDescent="0.45">
      <c r="A1479" s="1">
        <v>42328</v>
      </c>
      <c r="B1479">
        <v>41.9</v>
      </c>
      <c r="C1479">
        <v>1.3969</v>
      </c>
      <c r="D1479">
        <v>1.2670999999999999</v>
      </c>
      <c r="E1479" s="2">
        <f t="shared" si="1562"/>
        <v>13.135400000000004</v>
      </c>
      <c r="F1479" s="2">
        <f t="shared" si="1564"/>
        <v>13.241200000000001</v>
      </c>
      <c r="G1479" s="2">
        <f t="shared" si="1566"/>
        <v>12.691999999999993</v>
      </c>
      <c r="H1479" s="2">
        <f t="shared" si="1567"/>
        <v>-5.4978027806438234E-3</v>
      </c>
      <c r="I1479" s="2">
        <f t="shared" ref="I1479:J1479" si="1570">LN(C1478)-LN(C1477)</f>
        <v>-4.1473066238144618E-3</v>
      </c>
      <c r="J1479" s="2">
        <f t="shared" si="1570"/>
        <v>1.1367823836937629E-2</v>
      </c>
    </row>
    <row r="1480" spans="1:10" x14ac:dyDescent="0.45">
      <c r="A1480" s="1">
        <v>42331</v>
      </c>
      <c r="B1480">
        <v>41.75</v>
      </c>
      <c r="C1480">
        <v>1.4005000000000001</v>
      </c>
      <c r="D1480">
        <v>1.2864</v>
      </c>
      <c r="E1480" s="2">
        <f t="shared" si="1562"/>
        <v>13.876200000000003</v>
      </c>
      <c r="F1480" s="2">
        <f t="shared" si="1564"/>
        <v>13.135400000000004</v>
      </c>
      <c r="G1480" s="2">
        <f t="shared" si="1566"/>
        <v>13.241200000000001</v>
      </c>
      <c r="H1480" s="2">
        <f t="shared" si="1567"/>
        <v>4.3051967955203274E-3</v>
      </c>
      <c r="I1480" s="2">
        <f t="shared" ref="I1480:J1480" si="1571">LN(C1479)-LN(C1478)</f>
        <v>9.3106542088622346E-4</v>
      </c>
      <c r="J1480" s="2">
        <f t="shared" si="1571"/>
        <v>1.5796543842387101E-3</v>
      </c>
    </row>
    <row r="1481" spans="1:10" x14ac:dyDescent="0.45">
      <c r="A1481" s="1">
        <v>42332</v>
      </c>
      <c r="B1481">
        <v>42.87</v>
      </c>
      <c r="C1481">
        <v>1.4266000000000001</v>
      </c>
      <c r="D1481">
        <v>1.3562000000000001</v>
      </c>
      <c r="E1481" s="2">
        <f t="shared" si="1562"/>
        <v>15.076000000000002</v>
      </c>
      <c r="F1481" s="2">
        <f t="shared" si="1564"/>
        <v>13.876200000000003</v>
      </c>
      <c r="G1481" s="2">
        <f t="shared" si="1566"/>
        <v>13.135400000000004</v>
      </c>
      <c r="H1481" s="2">
        <f t="shared" si="1567"/>
        <v>-3.5863756312273232E-3</v>
      </c>
      <c r="I1481" s="2">
        <f t="shared" ref="I1481:J1481" si="1572">LN(C1480)-LN(C1479)</f>
        <v>2.5738199666580086E-3</v>
      </c>
      <c r="J1481" s="2">
        <f t="shared" si="1572"/>
        <v>1.5116794619839391E-2</v>
      </c>
    </row>
    <row r="1482" spans="1:10" x14ac:dyDescent="0.45">
      <c r="A1482" s="1">
        <v>42333</v>
      </c>
      <c r="B1482">
        <v>43.04</v>
      </c>
      <c r="C1482">
        <v>1.4261999999999999</v>
      </c>
      <c r="D1482">
        <v>1.3535999999999999</v>
      </c>
      <c r="E1482" s="2">
        <f t="shared" si="1562"/>
        <v>14.827599999999999</v>
      </c>
      <c r="F1482" s="2">
        <f t="shared" si="1564"/>
        <v>15.076000000000002</v>
      </c>
      <c r="G1482" s="2">
        <f t="shared" si="1566"/>
        <v>13.876200000000003</v>
      </c>
      <c r="H1482" s="2">
        <f t="shared" si="1567"/>
        <v>2.6472829313020974E-2</v>
      </c>
      <c r="I1482" s="2">
        <f t="shared" ref="I1482:J1482" si="1573">LN(C1481)-LN(C1480)</f>
        <v>1.8464675143774534E-2</v>
      </c>
      <c r="J1482" s="2">
        <f t="shared" si="1573"/>
        <v>5.2839051825039896E-2</v>
      </c>
    </row>
    <row r="1483" spans="1:10" x14ac:dyDescent="0.45">
      <c r="A1483" s="1">
        <v>42335</v>
      </c>
      <c r="B1483">
        <v>41.71</v>
      </c>
      <c r="C1483">
        <v>1.3781000000000001</v>
      </c>
      <c r="D1483">
        <v>1.3367</v>
      </c>
      <c r="E1483" s="2">
        <f t="shared" si="1562"/>
        <v>15.011000000000005</v>
      </c>
      <c r="F1483" s="2">
        <f t="shared" si="1564"/>
        <v>14.827599999999999</v>
      </c>
      <c r="G1483" s="2">
        <f t="shared" si="1566"/>
        <v>15.076000000000002</v>
      </c>
      <c r="H1483" s="2">
        <f t="shared" si="1567"/>
        <v>3.9576352436432316E-3</v>
      </c>
      <c r="I1483" s="2">
        <f t="shared" ref="I1483:J1483" si="1574">LN(C1482)-LN(C1481)</f>
        <v>-2.8042624973462216E-4</v>
      </c>
      <c r="J1483" s="2">
        <f t="shared" si="1574"/>
        <v>-1.9189613977830255E-3</v>
      </c>
    </row>
    <row r="1484" spans="1:10" x14ac:dyDescent="0.45">
      <c r="A1484" s="1">
        <v>42338</v>
      </c>
      <c r="B1484">
        <v>41.65</v>
      </c>
      <c r="C1484">
        <v>1.3542000000000001</v>
      </c>
      <c r="D1484">
        <v>1.3069</v>
      </c>
      <c r="E1484" s="2">
        <f t="shared" si="1562"/>
        <v>13.902000000000006</v>
      </c>
      <c r="F1484" s="2">
        <f t="shared" si="1564"/>
        <v>15.011000000000005</v>
      </c>
      <c r="G1484" s="2">
        <f t="shared" si="1566"/>
        <v>14.827599999999999</v>
      </c>
      <c r="H1484" s="2">
        <f t="shared" si="1567"/>
        <v>-3.1389007644675004E-2</v>
      </c>
      <c r="I1484" s="2">
        <f t="shared" ref="I1484:J1484" si="1575">LN(C1483)-LN(C1482)</f>
        <v>-3.4307825713103923E-2</v>
      </c>
      <c r="J1484" s="2">
        <f t="shared" si="1575"/>
        <v>-1.2563819874531423E-2</v>
      </c>
    </row>
    <row r="1485" spans="1:10" x14ac:dyDescent="0.45">
      <c r="A1485" s="1">
        <v>42339</v>
      </c>
      <c r="B1485">
        <v>41.85</v>
      </c>
      <c r="C1485">
        <v>1.369</v>
      </c>
      <c r="D1485">
        <v>1.363</v>
      </c>
      <c r="E1485" s="2">
        <f t="shared" si="1562"/>
        <v>15.479999999999999</v>
      </c>
      <c r="F1485" s="2">
        <f t="shared" si="1564"/>
        <v>13.902000000000006</v>
      </c>
      <c r="G1485" s="2">
        <f t="shared" si="1566"/>
        <v>15.011000000000005</v>
      </c>
      <c r="H1485" s="2">
        <f t="shared" si="1567"/>
        <v>-1.4395395960020707E-3</v>
      </c>
      <c r="I1485" s="2">
        <f t="shared" ref="I1485:J1485" si="1576">LN(C1484)-LN(C1483)</f>
        <v>-1.7494864829554202E-2</v>
      </c>
      <c r="J1485" s="2">
        <f t="shared" si="1576"/>
        <v>-2.2545969374437147E-2</v>
      </c>
    </row>
    <row r="1486" spans="1:10" x14ac:dyDescent="0.45">
      <c r="A1486" s="1">
        <v>42340</v>
      </c>
      <c r="B1486">
        <v>39.94</v>
      </c>
      <c r="C1486">
        <v>1.3048999999999999</v>
      </c>
      <c r="D1486">
        <v>1.2930999999999999</v>
      </c>
      <c r="E1486" s="2">
        <f t="shared" si="1562"/>
        <v>14.535400000000001</v>
      </c>
      <c r="F1486" s="2">
        <f t="shared" si="1564"/>
        <v>15.479999999999999</v>
      </c>
      <c r="G1486" s="2">
        <f t="shared" si="1566"/>
        <v>13.902000000000006</v>
      </c>
      <c r="H1486" s="2">
        <f t="shared" si="1567"/>
        <v>4.7904283226327671E-3</v>
      </c>
      <c r="I1486" s="2">
        <f t="shared" ref="I1486:J1486" si="1577">LN(C1485)-LN(C1484)</f>
        <v>1.0869672236903827E-2</v>
      </c>
      <c r="J1486" s="2">
        <f t="shared" si="1577"/>
        <v>4.2030232093542397E-2</v>
      </c>
    </row>
    <row r="1487" spans="1:10" x14ac:dyDescent="0.45">
      <c r="A1487" s="1">
        <v>42341</v>
      </c>
      <c r="B1487">
        <v>41.08</v>
      </c>
      <c r="C1487">
        <v>1.3586</v>
      </c>
      <c r="D1487">
        <v>1.2963</v>
      </c>
      <c r="E1487" s="2">
        <f t="shared" si="1562"/>
        <v>14.236800000000002</v>
      </c>
      <c r="F1487" s="2">
        <f t="shared" si="1564"/>
        <v>14.535400000000001</v>
      </c>
      <c r="G1487" s="2">
        <f t="shared" si="1566"/>
        <v>15.479999999999999</v>
      </c>
      <c r="H1487" s="2">
        <f t="shared" si="1567"/>
        <v>-4.6713468947815251E-2</v>
      </c>
      <c r="I1487" s="2">
        <f t="shared" ref="I1487:J1487" si="1578">LN(C1486)-LN(C1485)</f>
        <v>-4.7954136820247739E-2</v>
      </c>
      <c r="J1487" s="2">
        <f t="shared" si="1578"/>
        <v>-5.2645716394726705E-2</v>
      </c>
    </row>
    <row r="1488" spans="1:10" x14ac:dyDescent="0.45">
      <c r="A1488" s="1">
        <v>42342</v>
      </c>
      <c r="B1488">
        <v>39.97</v>
      </c>
      <c r="C1488">
        <v>1.3424</v>
      </c>
      <c r="D1488">
        <v>1.2702</v>
      </c>
      <c r="E1488" s="2">
        <f t="shared" si="1562"/>
        <v>14.389199999999997</v>
      </c>
      <c r="F1488" s="2">
        <f t="shared" si="1564"/>
        <v>14.236800000000002</v>
      </c>
      <c r="G1488" s="2">
        <f t="shared" si="1566"/>
        <v>14.535400000000001</v>
      </c>
      <c r="H1488" s="2">
        <f t="shared" si="1567"/>
        <v>2.8143057072687938E-2</v>
      </c>
      <c r="I1488" s="2">
        <f t="shared" ref="I1488:J1488" si="1579">LN(C1487)-LN(C1486)</f>
        <v>4.0328348289000449E-2</v>
      </c>
      <c r="J1488" s="2">
        <f t="shared" si="1579"/>
        <v>2.4716163041912931E-3</v>
      </c>
    </row>
    <row r="1489" spans="1:10" x14ac:dyDescent="0.45">
      <c r="A1489" s="1">
        <v>42345</v>
      </c>
      <c r="B1489">
        <v>37.65</v>
      </c>
      <c r="C1489">
        <v>1.2796000000000001</v>
      </c>
      <c r="D1489">
        <v>1.2094</v>
      </c>
      <c r="E1489" s="2">
        <f t="shared" si="1562"/>
        <v>14.12760000000001</v>
      </c>
      <c r="F1489" s="2">
        <f t="shared" si="1564"/>
        <v>14.389199999999997</v>
      </c>
      <c r="G1489" s="2">
        <f t="shared" si="1566"/>
        <v>14.236800000000002</v>
      </c>
      <c r="H1489" s="2">
        <f t="shared" si="1567"/>
        <v>-2.7392212337125077E-2</v>
      </c>
      <c r="I1489" s="2">
        <f t="shared" ref="I1489:J1489" si="1580">LN(C1488)-LN(C1487)</f>
        <v>-1.1995701044259843E-2</v>
      </c>
      <c r="J1489" s="2">
        <f t="shared" si="1580"/>
        <v>-2.0339684237122707E-2</v>
      </c>
    </row>
    <row r="1490" spans="1:10" x14ac:dyDescent="0.45">
      <c r="A1490" s="1">
        <v>42346</v>
      </c>
      <c r="B1490">
        <v>37.51</v>
      </c>
      <c r="C1490">
        <v>1.2592000000000001</v>
      </c>
      <c r="D1490">
        <v>1.2036</v>
      </c>
      <c r="E1490" s="2">
        <f t="shared" si="1562"/>
        <v>13.819599999999999</v>
      </c>
      <c r="F1490" s="2">
        <f t="shared" si="1564"/>
        <v>14.12760000000001</v>
      </c>
      <c r="G1490" s="2">
        <f t="shared" si="1566"/>
        <v>14.389199999999997</v>
      </c>
      <c r="H1490" s="2">
        <f t="shared" si="1567"/>
        <v>-5.9796218477329521E-2</v>
      </c>
      <c r="I1490" s="2">
        <f t="shared" ref="I1490:J1490" si="1581">LN(C1489)-LN(C1488)</f>
        <v>-4.7911527637578749E-2</v>
      </c>
      <c r="J1490" s="2">
        <f t="shared" si="1581"/>
        <v>-4.9049999529761912E-2</v>
      </c>
    </row>
    <row r="1491" spans="1:10" x14ac:dyDescent="0.45">
      <c r="A1491" s="1">
        <v>42347</v>
      </c>
      <c r="B1491">
        <v>37.159999999999997</v>
      </c>
      <c r="C1491">
        <v>1.2388999999999999</v>
      </c>
      <c r="D1491">
        <v>1.2317</v>
      </c>
      <c r="E1491" s="2">
        <f t="shared" si="1562"/>
        <v>14.672200000000004</v>
      </c>
      <c r="F1491" s="2">
        <f t="shared" si="1564"/>
        <v>13.819599999999999</v>
      </c>
      <c r="G1491" s="2">
        <f t="shared" si="1566"/>
        <v>14.12760000000001</v>
      </c>
      <c r="H1491" s="2">
        <f t="shared" si="1567"/>
        <v>-3.7253901521068222E-3</v>
      </c>
      <c r="I1491" s="2">
        <f t="shared" ref="I1491:J1491" si="1582">LN(C1490)-LN(C1489)</f>
        <v>-1.6070930412224127E-2</v>
      </c>
      <c r="J1491" s="2">
        <f t="shared" si="1582"/>
        <v>-4.8073030832223862E-3</v>
      </c>
    </row>
    <row r="1492" spans="1:10" x14ac:dyDescent="0.45">
      <c r="A1492" s="1">
        <v>42348</v>
      </c>
      <c r="B1492">
        <v>36.76</v>
      </c>
      <c r="C1492">
        <v>1.2251000000000001</v>
      </c>
      <c r="D1492">
        <v>1.2802</v>
      </c>
      <c r="E1492" s="2">
        <f t="shared" si="1562"/>
        <v>16.236999999999995</v>
      </c>
      <c r="F1492" s="2">
        <f t="shared" si="1564"/>
        <v>14.672200000000004</v>
      </c>
      <c r="G1492" s="2">
        <f t="shared" si="1566"/>
        <v>13.819599999999999</v>
      </c>
      <c r="H1492" s="2">
        <f t="shared" si="1567"/>
        <v>-9.3746501481581923E-3</v>
      </c>
      <c r="I1492" s="2">
        <f t="shared" ref="I1492:J1492" si="1583">LN(C1491)-LN(C1490)</f>
        <v>-1.6252709541445781E-2</v>
      </c>
      <c r="J1492" s="2">
        <f t="shared" si="1583"/>
        <v>2.3078263191548432E-2</v>
      </c>
    </row>
    <row r="1493" spans="1:10" x14ac:dyDescent="0.45">
      <c r="A1493" s="1">
        <v>42349</v>
      </c>
      <c r="B1493">
        <v>35.619999999999997</v>
      </c>
      <c r="C1493">
        <v>1.1456</v>
      </c>
      <c r="D1493">
        <v>1.2815000000000001</v>
      </c>
      <c r="E1493" s="2">
        <f t="shared" si="1562"/>
        <v>16.300400000000007</v>
      </c>
      <c r="F1493" s="2">
        <f t="shared" si="1564"/>
        <v>16.236999999999995</v>
      </c>
      <c r="G1493" s="2">
        <f t="shared" si="1566"/>
        <v>14.672200000000004</v>
      </c>
      <c r="H1493" s="2">
        <f t="shared" si="1567"/>
        <v>-1.0822616458151302E-2</v>
      </c>
      <c r="I1493" s="2">
        <f t="shared" ref="I1493:J1493" si="1584">LN(C1492)-LN(C1491)</f>
        <v>-1.1201415821568139E-2</v>
      </c>
      <c r="J1493" s="2">
        <f t="shared" si="1584"/>
        <v>3.862098676046441E-2</v>
      </c>
    </row>
    <row r="1494" spans="1:10" x14ac:dyDescent="0.45">
      <c r="A1494" s="1">
        <v>42352</v>
      </c>
      <c r="B1494">
        <v>36.31</v>
      </c>
      <c r="C1494">
        <v>1.1276999999999999</v>
      </c>
      <c r="D1494">
        <v>1.2558</v>
      </c>
      <c r="E1494" s="2">
        <f t="shared" si="1562"/>
        <v>14.640199999999993</v>
      </c>
      <c r="F1494" s="2">
        <f t="shared" si="1564"/>
        <v>16.300400000000007</v>
      </c>
      <c r="G1494" s="2">
        <f t="shared" si="1566"/>
        <v>16.236999999999995</v>
      </c>
      <c r="H1494" s="2">
        <f t="shared" si="1567"/>
        <v>-3.1503019625970907E-2</v>
      </c>
      <c r="I1494" s="2">
        <f t="shared" ref="I1494:J1494" si="1585">LN(C1493)-LN(C1492)</f>
        <v>-6.7093956093743828E-2</v>
      </c>
      <c r="J1494" s="2">
        <f t="shared" si="1585"/>
        <v>1.0149510962228492E-3</v>
      </c>
    </row>
    <row r="1495" spans="1:10" x14ac:dyDescent="0.45">
      <c r="A1495" s="1">
        <v>42353</v>
      </c>
      <c r="B1495">
        <v>37.35</v>
      </c>
      <c r="C1495">
        <v>1.1467000000000001</v>
      </c>
      <c r="D1495">
        <v>1.2444</v>
      </c>
      <c r="E1495" s="2">
        <f t="shared" si="1562"/>
        <v>13.546999999999997</v>
      </c>
      <c r="F1495" s="2">
        <f t="shared" si="1564"/>
        <v>14.640199999999993</v>
      </c>
      <c r="G1495" s="2">
        <f t="shared" si="1566"/>
        <v>16.300400000000007</v>
      </c>
      <c r="H1495" s="2">
        <f t="shared" si="1567"/>
        <v>1.9185907564728932E-2</v>
      </c>
      <c r="I1495" s="2">
        <f t="shared" ref="I1495:J1495" si="1586">LN(C1494)-LN(C1493)</f>
        <v>-1.5748356968139185E-2</v>
      </c>
      <c r="J1495" s="2">
        <f t="shared" si="1586"/>
        <v>-2.0258447124116785E-2</v>
      </c>
    </row>
    <row r="1496" spans="1:10" x14ac:dyDescent="0.45">
      <c r="A1496" s="1">
        <v>42354</v>
      </c>
      <c r="B1496">
        <v>35.520000000000003</v>
      </c>
      <c r="C1496">
        <v>1.1122000000000001</v>
      </c>
      <c r="D1496">
        <v>1.2327999999999999</v>
      </c>
      <c r="E1496" s="2">
        <f t="shared" si="1562"/>
        <v>14.569199999999995</v>
      </c>
      <c r="F1496" s="2">
        <f t="shared" si="1564"/>
        <v>13.546999999999997</v>
      </c>
      <c r="G1496" s="2">
        <f t="shared" si="1566"/>
        <v>14.640199999999993</v>
      </c>
      <c r="H1496" s="2">
        <f t="shared" si="1567"/>
        <v>2.823972615258219E-2</v>
      </c>
      <c r="I1496" s="2">
        <f t="shared" ref="I1496:J1496" si="1587">LN(C1495)-LN(C1494)</f>
        <v>1.6708091806016803E-2</v>
      </c>
      <c r="J1496" s="2">
        <f t="shared" si="1587"/>
        <v>-9.1193336565271732E-3</v>
      </c>
    </row>
    <row r="1497" spans="1:10" x14ac:dyDescent="0.45">
      <c r="A1497" s="1">
        <v>42355</v>
      </c>
      <c r="B1497">
        <v>36.270000000000003</v>
      </c>
      <c r="C1497">
        <v>1.1052999999999999</v>
      </c>
      <c r="D1497">
        <v>1.2624</v>
      </c>
      <c r="E1497" s="2">
        <f t="shared" si="1562"/>
        <v>14.551400000000001</v>
      </c>
      <c r="F1497" s="2">
        <f t="shared" si="1564"/>
        <v>14.569199999999995</v>
      </c>
      <c r="G1497" s="2">
        <f t="shared" si="1566"/>
        <v>13.546999999999997</v>
      </c>
      <c r="H1497" s="2">
        <f t="shared" si="1567"/>
        <v>-5.0236993454856993E-2</v>
      </c>
      <c r="I1497" s="2">
        <f t="shared" ref="I1497:J1497" si="1588">LN(C1496)-LN(C1495)</f>
        <v>-3.0548216290795058E-2</v>
      </c>
      <c r="J1497" s="2">
        <f t="shared" si="1588"/>
        <v>-9.365481017576005E-3</v>
      </c>
    </row>
    <row r="1498" spans="1:10" x14ac:dyDescent="0.45">
      <c r="A1498" s="1">
        <v>42356</v>
      </c>
      <c r="B1498">
        <v>36.06</v>
      </c>
      <c r="C1498">
        <v>1.1383000000000001</v>
      </c>
      <c r="D1498">
        <v>1.27</v>
      </c>
      <c r="E1498" s="2">
        <f t="shared" si="1562"/>
        <v>15.436200000000005</v>
      </c>
      <c r="F1498" s="2">
        <f t="shared" si="1564"/>
        <v>14.551400000000001</v>
      </c>
      <c r="G1498" s="2">
        <f t="shared" si="1566"/>
        <v>14.569199999999995</v>
      </c>
      <c r="H1498" s="2">
        <f t="shared" si="1567"/>
        <v>2.089503517084168E-2</v>
      </c>
      <c r="I1498" s="2">
        <f t="shared" ref="I1498:J1498" si="1589">LN(C1497)-LN(C1496)</f>
        <v>-6.2232444365540179E-3</v>
      </c>
      <c r="J1498" s="2">
        <f t="shared" si="1589"/>
        <v>2.3726666085703868E-2</v>
      </c>
    </row>
    <row r="1499" spans="1:10" x14ac:dyDescent="0.45">
      <c r="A1499" s="1">
        <v>42359</v>
      </c>
      <c r="B1499">
        <v>35.81</v>
      </c>
      <c r="C1499">
        <v>1.1288</v>
      </c>
      <c r="D1499">
        <v>1.2173</v>
      </c>
      <c r="E1499" s="2">
        <f t="shared" si="1562"/>
        <v>14.077599999999999</v>
      </c>
      <c r="F1499" s="2">
        <f t="shared" si="1564"/>
        <v>15.436200000000005</v>
      </c>
      <c r="G1499" s="2">
        <f t="shared" si="1566"/>
        <v>14.551400000000001</v>
      </c>
      <c r="H1499" s="2">
        <f t="shared" si="1567"/>
        <v>-5.8067355196400605E-3</v>
      </c>
      <c r="I1499" s="2">
        <f t="shared" ref="I1499:J1499" si="1590">LN(C1498)-LN(C1497)</f>
        <v>2.9419130014261385E-2</v>
      </c>
      <c r="J1499" s="2">
        <f t="shared" si="1590"/>
        <v>6.0022293610272059E-3</v>
      </c>
    </row>
    <row r="1500" spans="1:10" x14ac:dyDescent="0.45">
      <c r="A1500" s="1">
        <v>42360</v>
      </c>
      <c r="B1500">
        <v>36.14</v>
      </c>
      <c r="C1500">
        <v>1.1201000000000001</v>
      </c>
      <c r="D1500">
        <v>1.1859</v>
      </c>
      <c r="E1500" s="2">
        <f t="shared" si="1562"/>
        <v>12.746600000000006</v>
      </c>
      <c r="F1500" s="2">
        <f t="shared" si="1564"/>
        <v>14.077599999999999</v>
      </c>
      <c r="G1500" s="2">
        <f t="shared" si="1566"/>
        <v>15.436200000000005</v>
      </c>
      <c r="H1500" s="2">
        <f t="shared" si="1567"/>
        <v>-6.957033764829923E-3</v>
      </c>
      <c r="I1500" s="2">
        <f t="shared" ref="I1500:J1500" si="1591">LN(C1499)-LN(C1498)</f>
        <v>-8.3807997925667704E-3</v>
      </c>
      <c r="J1500" s="2">
        <f t="shared" si="1591"/>
        <v>-4.2381609037086293E-2</v>
      </c>
    </row>
    <row r="1501" spans="1:10" x14ac:dyDescent="0.45">
      <c r="A1501" s="1">
        <v>42361</v>
      </c>
      <c r="B1501">
        <v>37.5</v>
      </c>
      <c r="C1501">
        <v>1.1504000000000001</v>
      </c>
      <c r="D1501">
        <v>1.252</v>
      </c>
      <c r="E1501" s="2">
        <f t="shared" si="1562"/>
        <v>13.661600000000002</v>
      </c>
      <c r="F1501" s="2">
        <f t="shared" si="1564"/>
        <v>12.746600000000006</v>
      </c>
      <c r="G1501" s="2">
        <f t="shared" si="1566"/>
        <v>14.077599999999999</v>
      </c>
      <c r="H1501" s="2">
        <f t="shared" si="1567"/>
        <v>9.1731011537410367E-3</v>
      </c>
      <c r="I1501" s="2">
        <f t="shared" ref="I1501:J1501" si="1592">LN(C1500)-LN(C1499)</f>
        <v>-7.7371545209103942E-3</v>
      </c>
      <c r="J1501" s="2">
        <f t="shared" si="1592"/>
        <v>-2.6133311444801188E-2</v>
      </c>
    </row>
    <row r="1502" spans="1:10" x14ac:dyDescent="0.45">
      <c r="A1502" s="1">
        <v>42362</v>
      </c>
      <c r="B1502">
        <v>38.1</v>
      </c>
      <c r="C1502">
        <v>1.1331</v>
      </c>
      <c r="D1502">
        <v>1.2758</v>
      </c>
      <c r="E1502" s="2">
        <f t="shared" si="1562"/>
        <v>13.485800000000003</v>
      </c>
      <c r="F1502" s="2">
        <f t="shared" si="1564"/>
        <v>13.661600000000002</v>
      </c>
      <c r="G1502" s="2">
        <f t="shared" si="1566"/>
        <v>12.746600000000006</v>
      </c>
      <c r="H1502" s="2">
        <f t="shared" si="1567"/>
        <v>3.6940647812282901E-2</v>
      </c>
      <c r="I1502" s="2">
        <f t="shared" ref="I1502:J1502" si="1593">LN(C1501)-LN(C1500)</f>
        <v>2.6691740949088424E-2</v>
      </c>
      <c r="J1502" s="2">
        <f t="shared" si="1593"/>
        <v>5.4240292689294339E-2</v>
      </c>
    </row>
    <row r="1503" spans="1:10" x14ac:dyDescent="0.45">
      <c r="A1503" s="1">
        <v>42366</v>
      </c>
      <c r="B1503">
        <v>36.81</v>
      </c>
      <c r="C1503">
        <v>1.1208</v>
      </c>
      <c r="D1503">
        <v>1.2430000000000001</v>
      </c>
      <c r="E1503" s="2">
        <f t="shared" si="1562"/>
        <v>13.6852</v>
      </c>
      <c r="F1503" s="2">
        <f t="shared" si="1564"/>
        <v>13.485800000000003</v>
      </c>
      <c r="G1503" s="2">
        <f t="shared" si="1566"/>
        <v>13.661600000000002</v>
      </c>
      <c r="H1503" s="2">
        <f t="shared" si="1567"/>
        <v>1.5873349156290129E-2</v>
      </c>
      <c r="I1503" s="2">
        <f t="shared" ref="I1503:J1503" si="1594">LN(C1502)-LN(C1501)</f>
        <v>-1.5152468580261438E-2</v>
      </c>
      <c r="J1503" s="2">
        <f t="shared" si="1594"/>
        <v>1.8831160147811138E-2</v>
      </c>
    </row>
    <row r="1504" spans="1:10" x14ac:dyDescent="0.45">
      <c r="A1504" s="1">
        <v>42367</v>
      </c>
      <c r="B1504">
        <v>37.869999999999997</v>
      </c>
      <c r="C1504">
        <v>1.1587000000000001</v>
      </c>
      <c r="D1504">
        <v>1.2853000000000001</v>
      </c>
      <c r="E1504" s="2">
        <f t="shared" si="1562"/>
        <v>14.34020000000001</v>
      </c>
      <c r="F1504" s="2">
        <f t="shared" si="1564"/>
        <v>13.6852</v>
      </c>
      <c r="G1504" s="2">
        <f t="shared" si="1566"/>
        <v>13.485800000000003</v>
      </c>
      <c r="H1504" s="2">
        <f t="shared" si="1567"/>
        <v>-3.444473474172538E-2</v>
      </c>
      <c r="I1504" s="2">
        <f t="shared" ref="I1504:J1504" si="1595">LN(C1503)-LN(C1502)</f>
        <v>-1.0914523363723602E-2</v>
      </c>
      <c r="J1504" s="2">
        <f t="shared" si="1595"/>
        <v>-2.6045620297143773E-2</v>
      </c>
    </row>
    <row r="1505" spans="1:10" x14ac:dyDescent="0.45">
      <c r="A1505" s="1">
        <v>42368</v>
      </c>
      <c r="B1505">
        <v>36.6</v>
      </c>
      <c r="C1505">
        <v>1.111</v>
      </c>
      <c r="D1505">
        <v>1.2436</v>
      </c>
      <c r="E1505" s="2">
        <f t="shared" si="1562"/>
        <v>13.774799999999999</v>
      </c>
      <c r="F1505" s="2">
        <f t="shared" si="1564"/>
        <v>14.34020000000001</v>
      </c>
      <c r="G1505" s="2">
        <f t="shared" si="1566"/>
        <v>13.6852</v>
      </c>
      <c r="H1505" s="2">
        <f t="shared" si="1567"/>
        <v>2.838969452277329E-2</v>
      </c>
      <c r="I1505" s="2">
        <f t="shared" ref="I1505:J1505" si="1596">LN(C1504)-LN(C1503)</f>
        <v>3.3255970980219429E-2</v>
      </c>
      <c r="J1505" s="2">
        <f t="shared" si="1596"/>
        <v>3.3464341605375064E-2</v>
      </c>
    </row>
    <row r="1506" spans="1:10" x14ac:dyDescent="0.45">
      <c r="A1506" s="1">
        <v>42369</v>
      </c>
      <c r="B1506">
        <v>37.04</v>
      </c>
      <c r="C1506">
        <v>1.1238999999999999</v>
      </c>
      <c r="D1506">
        <v>1.2709999999999999</v>
      </c>
      <c r="E1506" s="2">
        <f t="shared" si="1562"/>
        <v>14.282599999999993</v>
      </c>
      <c r="F1506" s="2">
        <f t="shared" si="1564"/>
        <v>13.774799999999999</v>
      </c>
      <c r="G1506" s="2">
        <f t="shared" si="1566"/>
        <v>14.34020000000001</v>
      </c>
      <c r="H1506" s="2">
        <f t="shared" si="1567"/>
        <v>-3.4111001506382799E-2</v>
      </c>
      <c r="I1506" s="2">
        <f t="shared" ref="I1506:J1506" si="1597">LN(C1505)-LN(C1504)</f>
        <v>-4.2038176363386706E-2</v>
      </c>
      <c r="J1506" s="2">
        <f t="shared" si="1597"/>
        <v>-3.2981754931487473E-2</v>
      </c>
    </row>
    <row r="1507" spans="1:10" x14ac:dyDescent="0.45">
      <c r="A1507" s="1">
        <v>42373</v>
      </c>
      <c r="B1507">
        <v>36.76</v>
      </c>
      <c r="C1507">
        <v>1.1264000000000001</v>
      </c>
      <c r="D1507">
        <v>1.2907</v>
      </c>
      <c r="E1507" s="2">
        <f t="shared" si="1562"/>
        <v>15.149199999999999</v>
      </c>
      <c r="F1507" s="2">
        <f t="shared" si="1564"/>
        <v>14.282599999999993</v>
      </c>
      <c r="G1507" s="2">
        <f t="shared" si="1566"/>
        <v>13.774799999999999</v>
      </c>
      <c r="H1507" s="2">
        <f t="shared" si="1567"/>
        <v>1.195016937065807E-2</v>
      </c>
      <c r="I1507" s="2">
        <f t="shared" ref="I1507:J1507" si="1598">LN(C1506)-LN(C1505)</f>
        <v>1.1544268884591327E-2</v>
      </c>
      <c r="J1507" s="2">
        <f t="shared" si="1598"/>
        <v>2.17935930048552E-2</v>
      </c>
    </row>
    <row r="1508" spans="1:10" x14ac:dyDescent="0.45">
      <c r="A1508" s="1">
        <v>42374</v>
      </c>
      <c r="B1508">
        <v>35.97</v>
      </c>
      <c r="C1508">
        <v>1.1253</v>
      </c>
      <c r="D1508">
        <v>1.2566999999999999</v>
      </c>
      <c r="E1508" s="2">
        <f t="shared" si="1562"/>
        <v>14.971800000000002</v>
      </c>
      <c r="F1508" s="2">
        <f t="shared" si="1564"/>
        <v>15.149199999999999</v>
      </c>
      <c r="G1508" s="2">
        <f t="shared" si="1566"/>
        <v>14.282599999999993</v>
      </c>
      <c r="H1508" s="2">
        <f t="shared" si="1567"/>
        <v>-7.5881122904921661E-3</v>
      </c>
      <c r="I1508" s="2">
        <f t="shared" ref="I1508:J1508" si="1599">LN(C1507)-LN(C1506)</f>
        <v>2.2219268795567043E-3</v>
      </c>
      <c r="J1508" s="2">
        <f t="shared" si="1599"/>
        <v>1.5380714651687971E-2</v>
      </c>
    </row>
    <row r="1509" spans="1:10" x14ac:dyDescent="0.45">
      <c r="A1509" s="1">
        <v>42375</v>
      </c>
      <c r="B1509">
        <v>33.97</v>
      </c>
      <c r="C1509">
        <v>1.0807</v>
      </c>
      <c r="D1509">
        <v>1.1617999999999999</v>
      </c>
      <c r="E1509" s="2">
        <f t="shared" si="1562"/>
        <v>13.690200000000004</v>
      </c>
      <c r="F1509" s="2">
        <f t="shared" si="1564"/>
        <v>14.971800000000002</v>
      </c>
      <c r="G1509" s="2">
        <f t="shared" si="1566"/>
        <v>15.149199999999999</v>
      </c>
      <c r="H1509" s="2">
        <f t="shared" si="1567"/>
        <v>-2.1725039779953992E-2</v>
      </c>
      <c r="I1509" s="2">
        <f t="shared" ref="I1509:J1509" si="1600">LN(C1508)-LN(C1507)</f>
        <v>-9.7703964782670794E-4</v>
      </c>
      <c r="J1509" s="2">
        <f t="shared" si="1600"/>
        <v>-2.669546922004315E-2</v>
      </c>
    </row>
    <row r="1510" spans="1:10" x14ac:dyDescent="0.45">
      <c r="A1510" s="1">
        <v>42376</v>
      </c>
      <c r="B1510">
        <v>33.270000000000003</v>
      </c>
      <c r="C1510">
        <v>1.0656000000000001</v>
      </c>
      <c r="D1510">
        <v>1.1459999999999999</v>
      </c>
      <c r="E1510" s="2">
        <f t="shared" si="1562"/>
        <v>13.736400000000003</v>
      </c>
      <c r="F1510" s="2">
        <f t="shared" si="1564"/>
        <v>13.690200000000004</v>
      </c>
      <c r="G1510" s="2">
        <f t="shared" si="1566"/>
        <v>14.971800000000002</v>
      </c>
      <c r="H1510" s="2">
        <f t="shared" si="1567"/>
        <v>-5.7207475535039798E-2</v>
      </c>
      <c r="I1510" s="2">
        <f t="shared" ref="I1510:J1510" si="1601">LN(C1509)-LN(C1508)</f>
        <v>-4.044068744683138E-2</v>
      </c>
      <c r="J1510" s="2">
        <f t="shared" si="1601"/>
        <v>-7.8518711062666724E-2</v>
      </c>
    </row>
    <row r="1511" spans="1:10" x14ac:dyDescent="0.45">
      <c r="A1511" s="1">
        <v>42377</v>
      </c>
      <c r="B1511">
        <v>33.159999999999997</v>
      </c>
      <c r="C1511">
        <v>1.0521</v>
      </c>
      <c r="D1511">
        <v>1.1276999999999999</v>
      </c>
      <c r="E1511" s="2">
        <f t="shared" si="1562"/>
        <v>13.145000000000001</v>
      </c>
      <c r="F1511" s="2">
        <f t="shared" si="1564"/>
        <v>13.736400000000003</v>
      </c>
      <c r="G1511" s="2">
        <f t="shared" si="1566"/>
        <v>13.690200000000004</v>
      </c>
      <c r="H1511" s="2">
        <f t="shared" si="1567"/>
        <v>-2.082169214210694E-2</v>
      </c>
      <c r="I1511" s="2">
        <f t="shared" ref="I1511:J1511" si="1602">LN(C1510)-LN(C1509)</f>
        <v>-1.4070958522995142E-2</v>
      </c>
      <c r="J1511" s="2">
        <f t="shared" si="1602"/>
        <v>-1.3692908283747279E-2</v>
      </c>
    </row>
    <row r="1512" spans="1:10" x14ac:dyDescent="0.45">
      <c r="A1512" s="1">
        <v>42380</v>
      </c>
      <c r="B1512">
        <v>31.41</v>
      </c>
      <c r="C1512">
        <v>1.0148999999999999</v>
      </c>
      <c r="D1512">
        <v>1.113</v>
      </c>
      <c r="E1512" s="2">
        <f t="shared" si="1562"/>
        <v>13.962599999999995</v>
      </c>
      <c r="F1512" s="2">
        <f t="shared" si="1564"/>
        <v>13.145000000000001</v>
      </c>
      <c r="G1512" s="2">
        <f t="shared" si="1566"/>
        <v>13.736400000000003</v>
      </c>
      <c r="H1512" s="2">
        <f t="shared" si="1567"/>
        <v>-3.3117597632914553E-3</v>
      </c>
      <c r="I1512" s="2">
        <f t="shared" ref="I1512:J1512" si="1603">LN(C1511)-LN(C1510)</f>
        <v>-1.2749853971882642E-2</v>
      </c>
      <c r="J1512" s="2">
        <f t="shared" si="1603"/>
        <v>-1.6097458036442872E-2</v>
      </c>
    </row>
    <row r="1513" spans="1:10" x14ac:dyDescent="0.45">
      <c r="A1513" s="1">
        <v>42381</v>
      </c>
      <c r="B1513">
        <v>30.44</v>
      </c>
      <c r="C1513">
        <v>0.99009999999999998</v>
      </c>
      <c r="D1513">
        <v>1.0848</v>
      </c>
      <c r="E1513" s="2">
        <f t="shared" si="1562"/>
        <v>13.7958</v>
      </c>
      <c r="F1513" s="2">
        <f t="shared" si="1564"/>
        <v>13.962599999999995</v>
      </c>
      <c r="G1513" s="2">
        <f t="shared" si="1566"/>
        <v>13.145000000000001</v>
      </c>
      <c r="H1513" s="2">
        <f t="shared" si="1567"/>
        <v>-5.4218016716538919E-2</v>
      </c>
      <c r="I1513" s="2">
        <f t="shared" ref="I1513:J1513" si="1604">LN(C1512)-LN(C1511)</f>
        <v>-3.5998081359469747E-2</v>
      </c>
      <c r="J1513" s="2">
        <f t="shared" si="1604"/>
        <v>-1.3121087962697106E-2</v>
      </c>
    </row>
    <row r="1514" spans="1:10" x14ac:dyDescent="0.45">
      <c r="A1514" s="1">
        <v>42382</v>
      </c>
      <c r="B1514">
        <v>30.48</v>
      </c>
      <c r="C1514">
        <v>0.96940000000000004</v>
      </c>
      <c r="D1514">
        <v>1.0528</v>
      </c>
      <c r="E1514" s="2">
        <f t="shared" si="1562"/>
        <v>12.570000000000002</v>
      </c>
      <c r="F1514" s="2">
        <f t="shared" si="1564"/>
        <v>13.7958</v>
      </c>
      <c r="G1514" s="2">
        <f t="shared" si="1566"/>
        <v>13.962599999999995</v>
      </c>
      <c r="H1514" s="2">
        <f t="shared" si="1567"/>
        <v>-3.1368780557070153E-2</v>
      </c>
      <c r="I1514" s="2">
        <f t="shared" ref="I1514:J1514" si="1605">LN(C1513)-LN(C1512)</f>
        <v>-2.473941632630345E-2</v>
      </c>
      <c r="J1514" s="2">
        <f t="shared" si="1605"/>
        <v>-2.5663434089413711E-2</v>
      </c>
    </row>
    <row r="1515" spans="1:10" x14ac:dyDescent="0.45">
      <c r="A1515" s="1">
        <v>42383</v>
      </c>
      <c r="B1515">
        <v>31.2</v>
      </c>
      <c r="C1515">
        <v>0.98080000000000001</v>
      </c>
      <c r="D1515">
        <v>1.0684</v>
      </c>
      <c r="E1515" s="2">
        <f t="shared" si="1562"/>
        <v>12.446400000000002</v>
      </c>
      <c r="F1515" s="2">
        <f t="shared" si="1564"/>
        <v>12.570000000000002</v>
      </c>
      <c r="G1515" s="2">
        <f t="shared" si="1566"/>
        <v>13.7958</v>
      </c>
      <c r="H1515" s="2">
        <f t="shared" si="1567"/>
        <v>1.3131978249605325E-3</v>
      </c>
      <c r="I1515" s="2">
        <f t="shared" ref="I1515:J1515" si="1606">LN(C1514)-LN(C1513)</f>
        <v>-2.1128624717193296E-2</v>
      </c>
      <c r="J1515" s="2">
        <f t="shared" si="1606"/>
        <v>-2.9942356615078401E-2</v>
      </c>
    </row>
    <row r="1516" spans="1:10" x14ac:dyDescent="0.45">
      <c r="A1516" s="1">
        <v>42384</v>
      </c>
      <c r="B1516">
        <v>30.39</v>
      </c>
      <c r="C1516">
        <v>0.93430000000000002</v>
      </c>
      <c r="D1516">
        <v>1.0212000000000001</v>
      </c>
      <c r="E1516" s="2">
        <f t="shared" si="1562"/>
        <v>11.283800000000005</v>
      </c>
      <c r="F1516" s="2">
        <f t="shared" si="1564"/>
        <v>12.446400000000002</v>
      </c>
      <c r="G1516" s="2">
        <f t="shared" si="1566"/>
        <v>12.570000000000002</v>
      </c>
      <c r="H1516" s="2">
        <f t="shared" si="1567"/>
        <v>2.3347363996991E-2</v>
      </c>
      <c r="I1516" s="2">
        <f t="shared" ref="I1516:J1516" si="1607">LN(C1515)-LN(C1514)</f>
        <v>1.1691241770671303E-2</v>
      </c>
      <c r="J1516" s="2">
        <f t="shared" si="1607"/>
        <v>1.4708920664753107E-2</v>
      </c>
    </row>
    <row r="1517" spans="1:10" x14ac:dyDescent="0.45">
      <c r="A1517" s="1">
        <v>42388</v>
      </c>
      <c r="B1517">
        <v>29.57</v>
      </c>
      <c r="C1517">
        <v>0.9224</v>
      </c>
      <c r="D1517">
        <v>1.0527</v>
      </c>
      <c r="E1517" s="2">
        <f t="shared" si="1562"/>
        <v>12.819199999999995</v>
      </c>
      <c r="F1517" s="2">
        <f t="shared" si="1564"/>
        <v>11.283800000000005</v>
      </c>
      <c r="G1517" s="2">
        <f t="shared" si="1566"/>
        <v>12.446400000000002</v>
      </c>
      <c r="H1517" s="2">
        <f t="shared" si="1567"/>
        <v>-2.6304487886734673E-2</v>
      </c>
      <c r="I1517" s="2">
        <f t="shared" ref="I1517:J1517" si="1608">LN(C1516)-LN(C1515)</f>
        <v>-4.8570979383036991E-2</v>
      </c>
      <c r="J1517" s="2">
        <f t="shared" si="1608"/>
        <v>-4.5183795868476956E-2</v>
      </c>
    </row>
    <row r="1518" spans="1:10" x14ac:dyDescent="0.45">
      <c r="A1518" s="1">
        <v>42389</v>
      </c>
      <c r="B1518">
        <v>28.35</v>
      </c>
      <c r="C1518">
        <v>0.87780000000000002</v>
      </c>
      <c r="D1518">
        <v>1.0427</v>
      </c>
      <c r="E1518" s="2">
        <f t="shared" si="1562"/>
        <v>13.134799999999993</v>
      </c>
      <c r="F1518" s="2">
        <f t="shared" si="1564"/>
        <v>12.819199999999995</v>
      </c>
      <c r="G1518" s="2">
        <f t="shared" si="1566"/>
        <v>11.283800000000005</v>
      </c>
      <c r="H1518" s="2">
        <f t="shared" si="1567"/>
        <v>-2.735327306431623E-2</v>
      </c>
      <c r="I1518" s="2">
        <f t="shared" ref="I1518:J1518" si="1609">LN(C1517)-LN(C1516)</f>
        <v>-1.2818616844060701E-2</v>
      </c>
      <c r="J1518" s="2">
        <f t="shared" si="1609"/>
        <v>3.0379885889950227E-2</v>
      </c>
    </row>
    <row r="1519" spans="1:10" x14ac:dyDescent="0.45">
      <c r="A1519" s="1">
        <v>42390</v>
      </c>
      <c r="B1519">
        <v>29.53</v>
      </c>
      <c r="C1519">
        <v>0.91110000000000002</v>
      </c>
      <c r="D1519">
        <v>1.0548999999999999</v>
      </c>
      <c r="E1519" s="2">
        <f t="shared" si="1562"/>
        <v>12.762599999999997</v>
      </c>
      <c r="F1519" s="2">
        <f t="shared" si="1564"/>
        <v>13.134799999999993</v>
      </c>
      <c r="G1519" s="2">
        <f t="shared" si="1566"/>
        <v>12.819199999999995</v>
      </c>
      <c r="H1519" s="2">
        <f t="shared" si="1567"/>
        <v>-4.2133303690624402E-2</v>
      </c>
      <c r="I1519" s="2">
        <f t="shared" ref="I1519:J1519" si="1610">LN(C1518)-LN(C1517)</f>
        <v>-4.9560191700715614E-2</v>
      </c>
      <c r="J1519" s="2">
        <f t="shared" si="1610"/>
        <v>-9.5447894617316925E-3</v>
      </c>
    </row>
    <row r="1520" spans="1:10" x14ac:dyDescent="0.45">
      <c r="A1520" s="1">
        <v>42391</v>
      </c>
      <c r="B1520">
        <v>32.19</v>
      </c>
      <c r="C1520">
        <v>1.0076000000000001</v>
      </c>
      <c r="D1520">
        <v>1.1081000000000001</v>
      </c>
      <c r="E1520" s="2">
        <f t="shared" si="1562"/>
        <v>12.94320000000001</v>
      </c>
      <c r="F1520" s="2">
        <f t="shared" si="1564"/>
        <v>12.762599999999997</v>
      </c>
      <c r="G1520" s="2">
        <f t="shared" si="1566"/>
        <v>13.134799999999993</v>
      </c>
      <c r="H1520" s="2">
        <f t="shared" si="1567"/>
        <v>4.0779665582070024E-2</v>
      </c>
      <c r="I1520" s="2">
        <f t="shared" ref="I1520:J1520" si="1611">LN(C1519)-LN(C1518)</f>
        <v>3.7233883465679143E-2</v>
      </c>
      <c r="J1520" s="2">
        <f t="shared" si="1611"/>
        <v>1.1632472892215633E-2</v>
      </c>
    </row>
    <row r="1521" spans="1:10" x14ac:dyDescent="0.45">
      <c r="A1521" s="1">
        <v>42394</v>
      </c>
      <c r="B1521">
        <v>30.34</v>
      </c>
      <c r="C1521">
        <v>0.95009999999999994</v>
      </c>
      <c r="D1521">
        <v>1.0525</v>
      </c>
      <c r="E1521" s="2">
        <f t="shared" si="1562"/>
        <v>12.431400000000002</v>
      </c>
      <c r="F1521" s="2">
        <f t="shared" si="1564"/>
        <v>12.94320000000001</v>
      </c>
      <c r="G1521" s="2">
        <f t="shared" si="1566"/>
        <v>12.762599999999997</v>
      </c>
      <c r="H1521" s="2">
        <f t="shared" si="1567"/>
        <v>8.6249149554885385E-2</v>
      </c>
      <c r="I1521" s="2">
        <f t="shared" ref="I1521:J1521" si="1612">LN(C1520)-LN(C1519)</f>
        <v>0.10067388375864239</v>
      </c>
      <c r="J1521" s="2">
        <f t="shared" si="1612"/>
        <v>4.9200861254516809E-2</v>
      </c>
    </row>
    <row r="1522" spans="1:10" x14ac:dyDescent="0.45">
      <c r="A1522" s="1">
        <v>42395</v>
      </c>
      <c r="B1522">
        <v>31.45</v>
      </c>
      <c r="C1522">
        <v>0.98129999999999995</v>
      </c>
      <c r="D1522">
        <v>1.0685</v>
      </c>
      <c r="E1522" s="2">
        <f t="shared" si="1562"/>
        <v>12.206200000000004</v>
      </c>
      <c r="F1522" s="2">
        <f t="shared" si="1564"/>
        <v>12.431400000000002</v>
      </c>
      <c r="G1522" s="2">
        <f t="shared" si="1566"/>
        <v>12.94320000000001</v>
      </c>
      <c r="H1522" s="2">
        <f t="shared" si="1567"/>
        <v>-5.9188871390330355E-2</v>
      </c>
      <c r="I1522" s="2">
        <f t="shared" ref="I1522:J1522" si="1613">LN(C1521)-LN(C1520)</f>
        <v>-5.8759302265751434E-2</v>
      </c>
      <c r="J1522" s="2">
        <f t="shared" si="1613"/>
        <v>-5.1478550385743366E-2</v>
      </c>
    </row>
    <row r="1523" spans="1:10" x14ac:dyDescent="0.45">
      <c r="A1523" s="1">
        <v>42396</v>
      </c>
      <c r="B1523">
        <v>32.299999999999997</v>
      </c>
      <c r="C1523">
        <v>1.0369999999999999</v>
      </c>
      <c r="D1523">
        <v>1.0669999999999999</v>
      </c>
      <c r="E1523" s="2">
        <f t="shared" si="1562"/>
        <v>12.093999999999999</v>
      </c>
      <c r="F1523" s="2">
        <f t="shared" si="1564"/>
        <v>12.206200000000004</v>
      </c>
      <c r="G1523" s="2">
        <f t="shared" si="1566"/>
        <v>12.431400000000002</v>
      </c>
      <c r="H1523" s="2">
        <f t="shared" si="1567"/>
        <v>3.5932009226063322E-2</v>
      </c>
      <c r="I1523" s="2">
        <f t="shared" ref="I1523:J1523" si="1614">LN(C1522)-LN(C1521)</f>
        <v>3.2310980999744124E-2</v>
      </c>
      <c r="J1523" s="2">
        <f t="shared" si="1614"/>
        <v>1.5087509202665841E-2</v>
      </c>
    </row>
    <row r="1524" spans="1:10" x14ac:dyDescent="0.45">
      <c r="A1524" s="1">
        <v>42397</v>
      </c>
      <c r="B1524">
        <v>33.22</v>
      </c>
      <c r="C1524">
        <v>1.0447</v>
      </c>
      <c r="D1524">
        <v>1.1003000000000001</v>
      </c>
      <c r="E1524" s="2">
        <f t="shared" si="1562"/>
        <v>12.214200000000005</v>
      </c>
      <c r="F1524" s="2">
        <f t="shared" si="1564"/>
        <v>12.093999999999999</v>
      </c>
      <c r="G1524" s="2">
        <f t="shared" si="1566"/>
        <v>12.206200000000004</v>
      </c>
      <c r="H1524" s="2">
        <f t="shared" si="1567"/>
        <v>2.6668247082161312E-2</v>
      </c>
      <c r="I1524" s="2">
        <f t="shared" ref="I1524:J1524" si="1615">LN(C1523)-LN(C1522)</f>
        <v>5.5208985017079389E-2</v>
      </c>
      <c r="J1524" s="2">
        <f t="shared" si="1615"/>
        <v>-1.4048234574489948E-3</v>
      </c>
    </row>
    <row r="1525" spans="1:10" x14ac:dyDescent="0.45">
      <c r="A1525" s="1">
        <v>42398</v>
      </c>
      <c r="B1525">
        <v>33.619999999999997</v>
      </c>
      <c r="C1525">
        <v>1.0787</v>
      </c>
      <c r="D1525">
        <v>1.1323000000000001</v>
      </c>
      <c r="E1525" s="2">
        <f t="shared" si="1562"/>
        <v>13.186200000000005</v>
      </c>
      <c r="F1525" s="2">
        <f t="shared" si="1564"/>
        <v>12.214200000000005</v>
      </c>
      <c r="G1525" s="2">
        <f t="shared" si="1566"/>
        <v>12.093999999999999</v>
      </c>
      <c r="H1525" s="2">
        <f t="shared" si="1567"/>
        <v>2.8084873956538026E-2</v>
      </c>
      <c r="I1525" s="2">
        <f t="shared" ref="I1525:J1525" si="1616">LN(C1524)-LN(C1523)</f>
        <v>7.3978336139349926E-3</v>
      </c>
      <c r="J1525" s="2">
        <f t="shared" si="1616"/>
        <v>3.0731897574113723E-2</v>
      </c>
    </row>
    <row r="1526" spans="1:10" x14ac:dyDescent="0.45">
      <c r="A1526" s="1">
        <v>42401</v>
      </c>
      <c r="B1526">
        <v>31.62</v>
      </c>
      <c r="C1526">
        <v>1.0365</v>
      </c>
      <c r="D1526">
        <v>1.083</v>
      </c>
      <c r="E1526" s="2">
        <f t="shared" si="1562"/>
        <v>13.214999999999998</v>
      </c>
      <c r="F1526" s="2">
        <f t="shared" si="1564"/>
        <v>13.186200000000005</v>
      </c>
      <c r="G1526" s="2">
        <f t="shared" si="1566"/>
        <v>12.214200000000005</v>
      </c>
      <c r="H1526" s="2">
        <f t="shared" si="1567"/>
        <v>1.1969023795320499E-2</v>
      </c>
      <c r="I1526" s="2">
        <f t="shared" ref="I1526:J1526" si="1617">LN(C1525)-LN(C1524)</f>
        <v>3.202684953792112E-2</v>
      </c>
      <c r="J1526" s="2">
        <f t="shared" si="1617"/>
        <v>2.866809244412688E-2</v>
      </c>
    </row>
    <row r="1527" spans="1:10" x14ac:dyDescent="0.45">
      <c r="A1527" s="1">
        <v>42402</v>
      </c>
      <c r="B1527">
        <v>29.88</v>
      </c>
      <c r="C1527">
        <v>1.0108999999999999</v>
      </c>
      <c r="D1527">
        <v>1.0007999999999999</v>
      </c>
      <c r="E1527" s="2">
        <f t="shared" si="1562"/>
        <v>12.294999999999993</v>
      </c>
      <c r="F1527" s="2">
        <f t="shared" si="1564"/>
        <v>13.214999999999998</v>
      </c>
      <c r="G1527" s="2">
        <f t="shared" si="1566"/>
        <v>13.186200000000005</v>
      </c>
      <c r="H1527" s="2">
        <f t="shared" si="1567"/>
        <v>-6.1331296199143459E-2</v>
      </c>
      <c r="I1527" s="2">
        <f t="shared" ref="I1527:J1527" si="1618">LN(C1526)-LN(C1525)</f>
        <v>-3.9906959505549115E-2</v>
      </c>
      <c r="J1527" s="2">
        <f t="shared" si="1618"/>
        <v>-4.4515994319003355E-2</v>
      </c>
    </row>
    <row r="1528" spans="1:10" x14ac:dyDescent="0.45">
      <c r="A1528" s="1">
        <v>42403</v>
      </c>
      <c r="B1528">
        <v>32.28</v>
      </c>
      <c r="C1528">
        <v>1.0786</v>
      </c>
      <c r="D1528">
        <v>1.0137</v>
      </c>
      <c r="E1528" s="2">
        <f t="shared" si="1562"/>
        <v>11.203999999999999</v>
      </c>
      <c r="F1528" s="2">
        <f t="shared" si="1564"/>
        <v>12.294999999999993</v>
      </c>
      <c r="G1528" s="2">
        <f t="shared" si="1566"/>
        <v>13.214999999999998</v>
      </c>
      <c r="H1528" s="2">
        <f t="shared" si="1567"/>
        <v>-5.6600471516709661E-2</v>
      </c>
      <c r="I1528" s="2">
        <f t="shared" ref="I1528:J1528" si="1619">LN(C1527)-LN(C1526)</f>
        <v>-2.5008629715822434E-2</v>
      </c>
      <c r="J1528" s="2">
        <f t="shared" si="1619"/>
        <v>-7.8935287848289279E-2</v>
      </c>
    </row>
    <row r="1529" spans="1:10" x14ac:dyDescent="0.45">
      <c r="A1529" s="1">
        <v>42404</v>
      </c>
      <c r="B1529">
        <v>31.72</v>
      </c>
      <c r="C1529">
        <v>1.0805</v>
      </c>
      <c r="D1529">
        <v>1.0284</v>
      </c>
      <c r="E1529" s="2">
        <f t="shared" si="1562"/>
        <v>12.202199999999996</v>
      </c>
      <c r="F1529" s="2">
        <f t="shared" si="1564"/>
        <v>11.203999999999999</v>
      </c>
      <c r="G1529" s="2">
        <f t="shared" si="1566"/>
        <v>12.294999999999993</v>
      </c>
      <c r="H1529" s="2">
        <f t="shared" si="1567"/>
        <v>7.7258483137131684E-2</v>
      </c>
      <c r="I1529" s="2">
        <f t="shared" ref="I1529:J1529" si="1620">LN(C1528)-LN(C1527)</f>
        <v>6.4822880743114819E-2</v>
      </c>
      <c r="J1529" s="2">
        <f t="shared" si="1620"/>
        <v>1.2807323235652703E-2</v>
      </c>
    </row>
    <row r="1530" spans="1:10" x14ac:dyDescent="0.45">
      <c r="A1530" s="1">
        <v>42405</v>
      </c>
      <c r="B1530">
        <v>30.89</v>
      </c>
      <c r="C1530">
        <v>1.0589999999999999</v>
      </c>
      <c r="D1530">
        <v>0.99270000000000003</v>
      </c>
      <c r="E1530" s="2">
        <f t="shared" si="1562"/>
        <v>11.7316</v>
      </c>
      <c r="F1530" s="2">
        <f t="shared" si="1564"/>
        <v>12.202199999999996</v>
      </c>
      <c r="G1530" s="2">
        <f t="shared" si="1566"/>
        <v>11.203999999999999</v>
      </c>
      <c r="H1530" s="2">
        <f t="shared" si="1567"/>
        <v>-1.7500446635100975E-2</v>
      </c>
      <c r="I1530" s="2">
        <f t="shared" ref="I1530:J1530" si="1621">LN(C1529)-LN(C1528)</f>
        <v>1.7599930438140371E-3</v>
      </c>
      <c r="J1530" s="2">
        <f t="shared" si="1621"/>
        <v>1.4397193003380397E-2</v>
      </c>
    </row>
    <row r="1531" spans="1:10" x14ac:dyDescent="0.45">
      <c r="A1531" s="1">
        <v>42408</v>
      </c>
      <c r="B1531">
        <v>29.69</v>
      </c>
      <c r="C1531">
        <v>1.0464</v>
      </c>
      <c r="D1531">
        <v>0.95609999999999995</v>
      </c>
      <c r="E1531" s="2">
        <f t="shared" si="1562"/>
        <v>11.730399999999998</v>
      </c>
      <c r="F1531" s="2">
        <f t="shared" si="1564"/>
        <v>11.7316</v>
      </c>
      <c r="G1531" s="2">
        <f t="shared" si="1566"/>
        <v>12.202199999999996</v>
      </c>
      <c r="H1531" s="2">
        <f t="shared" si="1567"/>
        <v>-2.6514889836156907E-2</v>
      </c>
      <c r="I1531" s="2">
        <f t="shared" ref="I1531:J1531" si="1622">LN(C1530)-LN(C1529)</f>
        <v>-2.009883034553428E-2</v>
      </c>
      <c r="J1531" s="2">
        <f t="shared" si="1622"/>
        <v>-3.5330971796058201E-2</v>
      </c>
    </row>
    <row r="1532" spans="1:10" x14ac:dyDescent="0.45">
      <c r="A1532" s="1">
        <v>42409</v>
      </c>
      <c r="B1532">
        <v>27.94</v>
      </c>
      <c r="C1532">
        <v>0.97489999999999999</v>
      </c>
      <c r="D1532">
        <v>0.89890000000000003</v>
      </c>
      <c r="E1532" s="2">
        <f t="shared" si="1562"/>
        <v>10.877799999999993</v>
      </c>
      <c r="F1532" s="2">
        <f t="shared" si="1564"/>
        <v>11.730399999999998</v>
      </c>
      <c r="G1532" s="2">
        <f t="shared" si="1566"/>
        <v>11.7316</v>
      </c>
      <c r="H1532" s="2">
        <f t="shared" si="1567"/>
        <v>-3.9622218154821809E-2</v>
      </c>
      <c r="I1532" s="2">
        <f t="shared" ref="I1532:J1532" si="1623">LN(C1531)-LN(C1530)</f>
        <v>-1.1969364898472154E-2</v>
      </c>
      <c r="J1532" s="2">
        <f t="shared" si="1623"/>
        <v>-3.7565993504275828E-2</v>
      </c>
    </row>
    <row r="1533" spans="1:10" x14ac:dyDescent="0.45">
      <c r="A1533" s="1">
        <v>42410</v>
      </c>
      <c r="B1533">
        <v>27.45</v>
      </c>
      <c r="C1533">
        <v>0.97489999999999999</v>
      </c>
      <c r="D1533">
        <v>0.9425</v>
      </c>
      <c r="E1533" s="2">
        <f t="shared" si="1562"/>
        <v>12.588600000000005</v>
      </c>
      <c r="F1533" s="2">
        <f t="shared" si="1564"/>
        <v>10.877799999999993</v>
      </c>
      <c r="G1533" s="2">
        <f t="shared" si="1566"/>
        <v>11.730399999999998</v>
      </c>
      <c r="H1533" s="2">
        <f t="shared" si="1567"/>
        <v>-6.0750934946852464E-2</v>
      </c>
      <c r="I1533" s="2">
        <f t="shared" ref="I1533:J1533" si="1624">LN(C1532)-LN(C1531)</f>
        <v>-7.0776079067708414E-2</v>
      </c>
      <c r="J1533" s="2">
        <f t="shared" si="1624"/>
        <v>-6.1690716512046724E-2</v>
      </c>
    </row>
    <row r="1534" spans="1:10" x14ac:dyDescent="0.45">
      <c r="A1534" s="1">
        <v>42411</v>
      </c>
      <c r="B1534">
        <v>26.21</v>
      </c>
      <c r="C1534">
        <v>0.97909999999999997</v>
      </c>
      <c r="D1534">
        <v>0.94169999999999998</v>
      </c>
      <c r="E1534" s="2">
        <f t="shared" si="1562"/>
        <v>13.865</v>
      </c>
      <c r="F1534" s="2">
        <f t="shared" si="1564"/>
        <v>12.588600000000005</v>
      </c>
      <c r="G1534" s="2">
        <f t="shared" si="1566"/>
        <v>10.877799999999993</v>
      </c>
      <c r="H1534" s="2">
        <f t="shared" si="1567"/>
        <v>-1.7693185873276285E-2</v>
      </c>
      <c r="I1534" s="2">
        <f t="shared" ref="I1534:J1534" si="1625">LN(C1533)-LN(C1532)</f>
        <v>0</v>
      </c>
      <c r="J1534" s="2">
        <f t="shared" si="1625"/>
        <v>4.7364125742812194E-2</v>
      </c>
    </row>
    <row r="1535" spans="1:10" x14ac:dyDescent="0.45">
      <c r="A1535" s="1">
        <v>42412</v>
      </c>
      <c r="B1535">
        <v>29.44</v>
      </c>
      <c r="C1535">
        <v>1.0692999999999999</v>
      </c>
      <c r="D1535">
        <v>1.0431999999999999</v>
      </c>
      <c r="E1535" s="2">
        <f t="shared" si="1562"/>
        <v>14.739799999999997</v>
      </c>
      <c r="F1535" s="2">
        <f t="shared" si="1564"/>
        <v>13.865</v>
      </c>
      <c r="G1535" s="2">
        <f t="shared" si="1566"/>
        <v>12.588600000000005</v>
      </c>
      <c r="H1535" s="2">
        <f t="shared" si="1567"/>
        <v>-4.6225150620224476E-2</v>
      </c>
      <c r="I1535" s="2">
        <f t="shared" ref="I1535:J1535" si="1626">LN(C1534)-LN(C1533)</f>
        <v>4.298880724799805E-3</v>
      </c>
      <c r="J1535" s="2">
        <f t="shared" si="1626"/>
        <v>-8.4916680614829931E-4</v>
      </c>
    </row>
    <row r="1536" spans="1:10" x14ac:dyDescent="0.45">
      <c r="A1536" s="1">
        <v>42416</v>
      </c>
      <c r="B1536">
        <v>29.04</v>
      </c>
      <c r="C1536">
        <v>1.0269999999999999</v>
      </c>
      <c r="D1536">
        <v>0.97089999999999999</v>
      </c>
      <c r="E1536" s="2">
        <f t="shared" si="1562"/>
        <v>12.523199999999994</v>
      </c>
      <c r="F1536" s="2">
        <f t="shared" si="1564"/>
        <v>14.739799999999997</v>
      </c>
      <c r="G1536" s="2">
        <f t="shared" si="1566"/>
        <v>13.865</v>
      </c>
      <c r="H1536" s="2">
        <f t="shared" si="1567"/>
        <v>0.11621327652536051</v>
      </c>
      <c r="I1536" s="2">
        <f t="shared" ref="I1536:J1536" si="1627">LN(C1535)-LN(C1534)</f>
        <v>8.8125725402585217E-2</v>
      </c>
      <c r="J1536" s="2">
        <f t="shared" si="1627"/>
        <v>0.10236143865637087</v>
      </c>
    </row>
    <row r="1537" spans="1:10" x14ac:dyDescent="0.45">
      <c r="A1537" s="1">
        <v>42417</v>
      </c>
      <c r="B1537">
        <v>30.66</v>
      </c>
      <c r="C1537">
        <v>1.101</v>
      </c>
      <c r="D1537">
        <v>1.0034000000000001</v>
      </c>
      <c r="E1537" s="2">
        <f t="shared" si="1562"/>
        <v>12.849200000000002</v>
      </c>
      <c r="F1537" s="2">
        <f t="shared" si="1564"/>
        <v>12.523199999999994</v>
      </c>
      <c r="G1537" s="2">
        <f t="shared" si="1566"/>
        <v>14.739799999999997</v>
      </c>
      <c r="H1537" s="2">
        <f t="shared" si="1567"/>
        <v>-1.3680103904080365E-2</v>
      </c>
      <c r="I1537" s="2">
        <f t="shared" ref="I1537:J1537" si="1628">LN(C1536)-LN(C1535)</f>
        <v>-4.0362297834052707E-2</v>
      </c>
      <c r="J1537" s="2">
        <f t="shared" si="1628"/>
        <v>-7.1824714796289227E-2</v>
      </c>
    </row>
    <row r="1538" spans="1:10" x14ac:dyDescent="0.45">
      <c r="A1538" s="1">
        <v>42418</v>
      </c>
      <c r="B1538">
        <v>32.93</v>
      </c>
      <c r="C1538">
        <v>1.0935999999999999</v>
      </c>
      <c r="D1538">
        <v>1.2272000000000001</v>
      </c>
      <c r="E1538" s="2">
        <f t="shared" si="1562"/>
        <v>16.742000000000001</v>
      </c>
      <c r="F1538" s="2">
        <f t="shared" si="1564"/>
        <v>12.849200000000002</v>
      </c>
      <c r="G1538" s="2">
        <f t="shared" si="1566"/>
        <v>12.523199999999994</v>
      </c>
      <c r="H1538" s="2">
        <f t="shared" si="1567"/>
        <v>5.4284683487072716E-2</v>
      </c>
      <c r="I1538" s="2">
        <f t="shared" ref="I1538:J1538" si="1629">LN(C1537)-LN(C1536)</f>
        <v>6.9576926794121807E-2</v>
      </c>
      <c r="J1538" s="2">
        <f t="shared" si="1629"/>
        <v>3.2926035674053472E-2</v>
      </c>
    </row>
    <row r="1539" spans="1:10" x14ac:dyDescent="0.45">
      <c r="A1539" s="1">
        <v>42419</v>
      </c>
      <c r="B1539">
        <v>31.75</v>
      </c>
      <c r="C1539">
        <v>1.0408999999999999</v>
      </c>
      <c r="D1539">
        <v>1.2069000000000001</v>
      </c>
      <c r="E1539" s="2">
        <f t="shared" ref="E1539:E1602" si="1630">(2*D1539*42+1*C1539*42-3*B1539)/3</f>
        <v>16.615799999999997</v>
      </c>
      <c r="F1539" s="2">
        <f t="shared" si="1564"/>
        <v>16.742000000000001</v>
      </c>
      <c r="G1539" s="2">
        <f t="shared" si="1566"/>
        <v>12.849200000000002</v>
      </c>
      <c r="H1539" s="2">
        <f t="shared" si="1567"/>
        <v>7.1425222944605071E-2</v>
      </c>
      <c r="I1539" s="2">
        <f t="shared" ref="I1539:J1539" si="1631">LN(C1538)-LN(C1537)</f>
        <v>-6.7438513129402244E-3</v>
      </c>
      <c r="J1539" s="2">
        <f t="shared" si="1631"/>
        <v>0.20134091856283912</v>
      </c>
    </row>
    <row r="1540" spans="1:10" x14ac:dyDescent="0.45">
      <c r="A1540" s="1">
        <v>42422</v>
      </c>
      <c r="B1540">
        <v>33.39</v>
      </c>
      <c r="C1540">
        <v>1.0718000000000001</v>
      </c>
      <c r="D1540">
        <v>1.252</v>
      </c>
      <c r="E1540" s="2">
        <f t="shared" si="1630"/>
        <v>16.671200000000002</v>
      </c>
      <c r="F1540" s="2">
        <f t="shared" ref="F1540:F1603" si="1632">E1539</f>
        <v>16.615799999999997</v>
      </c>
      <c r="G1540" s="2">
        <f t="shared" si="1566"/>
        <v>16.742000000000001</v>
      </c>
      <c r="H1540" s="2">
        <f t="shared" si="1567"/>
        <v>-3.649137104957223E-2</v>
      </c>
      <c r="I1540" s="2">
        <f t="shared" ref="I1540:J1540" si="1633">LN(C1539)-LN(C1538)</f>
        <v>-4.9389282888317093E-2</v>
      </c>
      <c r="J1540" s="2">
        <f t="shared" si="1633"/>
        <v>-1.6680062989139488E-2</v>
      </c>
    </row>
    <row r="1541" spans="1:10" x14ac:dyDescent="0.45">
      <c r="A1541" s="1">
        <v>42423</v>
      </c>
      <c r="B1541">
        <v>31.87</v>
      </c>
      <c r="C1541">
        <v>1.0389999999999999</v>
      </c>
      <c r="D1541">
        <v>1.2197</v>
      </c>
      <c r="E1541" s="2">
        <f t="shared" si="1630"/>
        <v>16.827600000000004</v>
      </c>
      <c r="F1541" s="2">
        <f t="shared" si="1632"/>
        <v>16.671200000000002</v>
      </c>
      <c r="G1541" s="2">
        <f t="shared" ref="G1541:G1604" si="1634">E1539</f>
        <v>16.615799999999997</v>
      </c>
      <c r="H1541" s="2">
        <f t="shared" ref="H1541:H1604" si="1635">LN(B1540)-LN(B1539)</f>
        <v>5.0363728616862335E-2</v>
      </c>
      <c r="I1541" s="2">
        <f t="shared" ref="I1541:J1541" si="1636">LN(C1540)-LN(C1539)</f>
        <v>2.9253754539327326E-2</v>
      </c>
      <c r="J1541" s="2">
        <f t="shared" si="1636"/>
        <v>3.6687184036191534E-2</v>
      </c>
    </row>
    <row r="1542" spans="1:10" x14ac:dyDescent="0.45">
      <c r="A1542" s="1">
        <v>42424</v>
      </c>
      <c r="B1542">
        <v>32.15</v>
      </c>
      <c r="C1542">
        <v>1.0741000000000001</v>
      </c>
      <c r="D1542">
        <v>1.2758</v>
      </c>
      <c r="E1542" s="2">
        <f t="shared" si="1630"/>
        <v>18.609800000000007</v>
      </c>
      <c r="F1542" s="2">
        <f t="shared" si="1632"/>
        <v>16.827600000000004</v>
      </c>
      <c r="G1542" s="2">
        <f t="shared" si="1634"/>
        <v>16.671200000000002</v>
      </c>
      <c r="H1542" s="2">
        <f t="shared" si="1635"/>
        <v>-4.6591325526318172E-2</v>
      </c>
      <c r="I1542" s="2">
        <f t="shared" ref="I1542:J1542" si="1637">LN(C1541)-LN(C1540)</f>
        <v>-3.1080765961522636E-2</v>
      </c>
      <c r="J1542" s="2">
        <f t="shared" si="1637"/>
        <v>-2.6137345810851226E-2</v>
      </c>
    </row>
    <row r="1543" spans="1:10" x14ac:dyDescent="0.45">
      <c r="A1543" s="1">
        <v>42425</v>
      </c>
      <c r="B1543">
        <v>33.07</v>
      </c>
      <c r="C1543">
        <v>1.0848</v>
      </c>
      <c r="D1543">
        <v>1.3122</v>
      </c>
      <c r="E1543" s="2">
        <f t="shared" si="1630"/>
        <v>18.858800000000002</v>
      </c>
      <c r="F1543" s="2">
        <f t="shared" si="1632"/>
        <v>18.609800000000007</v>
      </c>
      <c r="G1543" s="2">
        <f t="shared" si="1634"/>
        <v>16.827600000000004</v>
      </c>
      <c r="H1543" s="2">
        <f t="shared" si="1635"/>
        <v>8.7473222543832385E-3</v>
      </c>
      <c r="I1543" s="2">
        <f t="shared" ref="I1543:J1543" si="1638">LN(C1542)-LN(C1541)</f>
        <v>3.3224389504774049E-2</v>
      </c>
      <c r="J1543" s="2">
        <f t="shared" si="1638"/>
        <v>4.4968505958662364E-2</v>
      </c>
    </row>
    <row r="1544" spans="1:10" x14ac:dyDescent="0.45">
      <c r="A1544" s="1">
        <v>42426</v>
      </c>
      <c r="B1544">
        <v>32.78</v>
      </c>
      <c r="C1544">
        <v>1.0668</v>
      </c>
      <c r="D1544">
        <v>1.2950999999999999</v>
      </c>
      <c r="E1544" s="2">
        <f t="shared" si="1630"/>
        <v>18.417999999999996</v>
      </c>
      <c r="F1544" s="2">
        <f t="shared" si="1632"/>
        <v>18.858800000000002</v>
      </c>
      <c r="G1544" s="2">
        <f t="shared" si="1634"/>
        <v>18.609800000000007</v>
      </c>
      <c r="H1544" s="2">
        <f t="shared" si="1635"/>
        <v>2.8214076310073111E-2</v>
      </c>
      <c r="I1544" s="2">
        <f t="shared" ref="I1544:J1544" si="1639">LN(C1543)-LN(C1542)</f>
        <v>9.9125365821297468E-3</v>
      </c>
      <c r="J1544" s="2">
        <f t="shared" si="1639"/>
        <v>2.8131685102922188E-2</v>
      </c>
    </row>
    <row r="1545" spans="1:10" x14ac:dyDescent="0.45">
      <c r="A1545" s="1">
        <v>42429</v>
      </c>
      <c r="B1545">
        <v>33.75</v>
      </c>
      <c r="C1545">
        <v>1.0936999999999999</v>
      </c>
      <c r="D1545">
        <v>1.3207</v>
      </c>
      <c r="E1545" s="2">
        <f t="shared" si="1630"/>
        <v>18.541399999999999</v>
      </c>
      <c r="F1545" s="2">
        <f t="shared" si="1632"/>
        <v>18.417999999999996</v>
      </c>
      <c r="G1545" s="2">
        <f t="shared" si="1634"/>
        <v>18.858800000000002</v>
      </c>
      <c r="H1545" s="2">
        <f t="shared" si="1635"/>
        <v>-8.8079536780178991E-3</v>
      </c>
      <c r="I1545" s="2">
        <f t="shared" ref="I1545:J1545" si="1640">LN(C1544)-LN(C1543)</f>
        <v>-1.6732124878271942E-2</v>
      </c>
      <c r="J1545" s="2">
        <f t="shared" si="1640"/>
        <v>-1.31172056812357E-2</v>
      </c>
    </row>
    <row r="1546" spans="1:10" x14ac:dyDescent="0.45">
      <c r="A1546" s="1">
        <v>42430</v>
      </c>
      <c r="B1546">
        <v>34.4</v>
      </c>
      <c r="C1546">
        <v>1.0994999999999999</v>
      </c>
      <c r="D1546">
        <v>1.3035000000000001</v>
      </c>
      <c r="E1546" s="2">
        <f t="shared" si="1630"/>
        <v>17.491000000000003</v>
      </c>
      <c r="F1546" s="2">
        <f t="shared" si="1632"/>
        <v>18.541399999999999</v>
      </c>
      <c r="G1546" s="2">
        <f t="shared" si="1634"/>
        <v>18.417999999999996</v>
      </c>
      <c r="H1546" s="2">
        <f t="shared" si="1635"/>
        <v>2.9161844002855375E-2</v>
      </c>
      <c r="I1546" s="2">
        <f t="shared" ref="I1546:J1546" si="1641">LN(C1545)-LN(C1544)</f>
        <v>2.4902930033320822E-2</v>
      </c>
      <c r="J1546" s="2">
        <f t="shared" si="1641"/>
        <v>1.9573986820217215E-2</v>
      </c>
    </row>
    <row r="1547" spans="1:10" x14ac:dyDescent="0.45">
      <c r="A1547" s="1">
        <v>42431</v>
      </c>
      <c r="B1547">
        <v>34.659999999999997</v>
      </c>
      <c r="C1547">
        <v>1.1065</v>
      </c>
      <c r="D1547">
        <v>1.3107</v>
      </c>
      <c r="E1547" s="2">
        <f t="shared" si="1630"/>
        <v>17.530600000000003</v>
      </c>
      <c r="F1547" s="2">
        <f t="shared" si="1632"/>
        <v>17.491000000000003</v>
      </c>
      <c r="G1547" s="2">
        <f t="shared" si="1634"/>
        <v>18.541399999999999</v>
      </c>
      <c r="H1547" s="2">
        <f t="shared" si="1635"/>
        <v>1.9076147060813842E-2</v>
      </c>
      <c r="I1547" s="2">
        <f t="shared" ref="I1547:J1547" si="1642">LN(C1546)-LN(C1545)</f>
        <v>5.28908765363581E-3</v>
      </c>
      <c r="J1547" s="2">
        <f t="shared" si="1642"/>
        <v>-1.3108944676202161E-2</v>
      </c>
    </row>
    <row r="1548" spans="1:10" x14ac:dyDescent="0.45">
      <c r="A1548" s="1">
        <v>42432</v>
      </c>
      <c r="B1548">
        <v>34.57</v>
      </c>
      <c r="C1548">
        <v>1.1202000000000001</v>
      </c>
      <c r="D1548">
        <v>1.2988</v>
      </c>
      <c r="E1548" s="2">
        <f t="shared" si="1630"/>
        <v>17.479200000000002</v>
      </c>
      <c r="F1548" s="2">
        <f t="shared" si="1632"/>
        <v>17.530600000000003</v>
      </c>
      <c r="G1548" s="2">
        <f t="shared" si="1634"/>
        <v>17.491000000000003</v>
      </c>
      <c r="H1548" s="2">
        <f t="shared" si="1635"/>
        <v>7.5297199081072463E-3</v>
      </c>
      <c r="I1548" s="2">
        <f t="shared" ref="I1548:J1548" si="1643">LN(C1547)-LN(C1546)</f>
        <v>6.3463494962885808E-3</v>
      </c>
      <c r="J1548" s="2">
        <f t="shared" si="1643"/>
        <v>5.5083912519433564E-3</v>
      </c>
    </row>
    <row r="1549" spans="1:10" x14ac:dyDescent="0.45">
      <c r="A1549" s="1">
        <v>42433</v>
      </c>
      <c r="B1549">
        <v>35.92</v>
      </c>
      <c r="C1549">
        <v>1.1613</v>
      </c>
      <c r="D1549">
        <v>1.3321000000000001</v>
      </c>
      <c r="E1549" s="2">
        <f t="shared" si="1630"/>
        <v>17.636999999999997</v>
      </c>
      <c r="F1549" s="2">
        <f t="shared" si="1632"/>
        <v>17.479200000000002</v>
      </c>
      <c r="G1549" s="2">
        <f t="shared" si="1634"/>
        <v>17.530600000000003</v>
      </c>
      <c r="H1549" s="2">
        <f t="shared" si="1635"/>
        <v>-2.6000303539266412E-3</v>
      </c>
      <c r="I1549" s="2">
        <f t="shared" ref="I1549:J1549" si="1644">LN(C1548)-LN(C1547)</f>
        <v>1.2305360284627614E-2</v>
      </c>
      <c r="J1549" s="2">
        <f t="shared" si="1644"/>
        <v>-9.1205843968090172E-3</v>
      </c>
    </row>
    <row r="1550" spans="1:10" x14ac:dyDescent="0.45">
      <c r="A1550" s="1">
        <v>42436</v>
      </c>
      <c r="B1550">
        <v>37.9</v>
      </c>
      <c r="C1550">
        <v>1.2224999999999999</v>
      </c>
      <c r="D1550">
        <v>1.3927</v>
      </c>
      <c r="E1550" s="2">
        <f t="shared" si="1630"/>
        <v>18.210599999999999</v>
      </c>
      <c r="F1550" s="2">
        <f t="shared" si="1632"/>
        <v>17.636999999999997</v>
      </c>
      <c r="G1550" s="2">
        <f t="shared" si="1634"/>
        <v>17.479200000000002</v>
      </c>
      <c r="H1550" s="2">
        <f t="shared" si="1635"/>
        <v>3.8307989500465656E-2</v>
      </c>
      <c r="I1550" s="2">
        <f t="shared" ref="I1550:J1550" si="1645">LN(C1549)-LN(C1548)</f>
        <v>3.6032826475980106E-2</v>
      </c>
      <c r="J1550" s="2">
        <f t="shared" si="1645"/>
        <v>2.5315883128726291E-2</v>
      </c>
    </row>
    <row r="1551" spans="1:10" x14ac:dyDescent="0.45">
      <c r="A1551" s="1">
        <v>42437</v>
      </c>
      <c r="B1551">
        <v>36.5</v>
      </c>
      <c r="C1551">
        <v>1.2</v>
      </c>
      <c r="D1551">
        <v>1.3877999999999999</v>
      </c>
      <c r="E1551" s="2">
        <f t="shared" si="1630"/>
        <v>19.1584</v>
      </c>
      <c r="F1551" s="2">
        <f t="shared" si="1632"/>
        <v>18.210599999999999</v>
      </c>
      <c r="G1551" s="2">
        <f t="shared" si="1634"/>
        <v>17.636999999999997</v>
      </c>
      <c r="H1551" s="2">
        <f t="shared" si="1635"/>
        <v>5.3656868654381906E-2</v>
      </c>
      <c r="I1551" s="2">
        <f t="shared" ref="I1551:J1551" si="1646">LN(C1550)-LN(C1549)</f>
        <v>5.1357875097314931E-2</v>
      </c>
      <c r="J1551" s="2">
        <f t="shared" si="1646"/>
        <v>4.4487664701629182E-2</v>
      </c>
    </row>
    <row r="1552" spans="1:10" x14ac:dyDescent="0.45">
      <c r="A1552" s="1">
        <v>42438</v>
      </c>
      <c r="B1552">
        <v>38.29</v>
      </c>
      <c r="C1552">
        <v>1.2326999999999999</v>
      </c>
      <c r="D1552">
        <v>1.4704999999999999</v>
      </c>
      <c r="E1552" s="2">
        <f t="shared" si="1630"/>
        <v>20.141799999999989</v>
      </c>
      <c r="F1552" s="2">
        <f t="shared" si="1632"/>
        <v>19.1584</v>
      </c>
      <c r="G1552" s="2">
        <f t="shared" si="1634"/>
        <v>18.210599999999999</v>
      </c>
      <c r="H1552" s="2">
        <f t="shared" si="1635"/>
        <v>-3.7638851499934844E-2</v>
      </c>
      <c r="I1552" s="2">
        <f t="shared" ref="I1552:J1552" si="1647">LN(C1551)-LN(C1550)</f>
        <v>-1.8576385572935394E-2</v>
      </c>
      <c r="J1552" s="2">
        <f t="shared" si="1647"/>
        <v>-3.524549593597881E-3</v>
      </c>
    </row>
    <row r="1553" spans="1:10" x14ac:dyDescent="0.45">
      <c r="A1553" s="1">
        <v>42439</v>
      </c>
      <c r="B1553">
        <v>37.840000000000003</v>
      </c>
      <c r="C1553">
        <v>1.2161</v>
      </c>
      <c r="D1553">
        <v>1.4390000000000001</v>
      </c>
      <c r="E1553" s="2">
        <f t="shared" si="1630"/>
        <v>19.477399999999999</v>
      </c>
      <c r="F1553" s="2">
        <f t="shared" si="1632"/>
        <v>20.141799999999989</v>
      </c>
      <c r="G1553" s="2">
        <f t="shared" si="1634"/>
        <v>19.1584</v>
      </c>
      <c r="H1553" s="2">
        <f t="shared" si="1635"/>
        <v>4.7876504900757233E-2</v>
      </c>
      <c r="I1553" s="2">
        <f t="shared" ref="I1553:J1553" si="1648">LN(C1552)-LN(C1551)</f>
        <v>2.6885328781382029E-2</v>
      </c>
      <c r="J1553" s="2">
        <f t="shared" si="1648"/>
        <v>5.7882719528601245E-2</v>
      </c>
    </row>
    <row r="1554" spans="1:10" x14ac:dyDescent="0.45">
      <c r="A1554" s="1">
        <v>42440</v>
      </c>
      <c r="B1554">
        <v>38.5</v>
      </c>
      <c r="C1554">
        <v>1.218</v>
      </c>
      <c r="D1554">
        <v>1.4442999999999999</v>
      </c>
      <c r="E1554" s="2">
        <f t="shared" si="1630"/>
        <v>18.992399999999993</v>
      </c>
      <c r="F1554" s="2">
        <f t="shared" si="1632"/>
        <v>19.477399999999999</v>
      </c>
      <c r="G1554" s="2">
        <f t="shared" si="1634"/>
        <v>20.141799999999989</v>
      </c>
      <c r="H1554" s="2">
        <f t="shared" si="1635"/>
        <v>-1.1822021305525787E-2</v>
      </c>
      <c r="I1554" s="2">
        <f t="shared" ref="I1554:J1554" si="1649">LN(C1553)-LN(C1552)</f>
        <v>-1.3557868570519854E-2</v>
      </c>
      <c r="J1554" s="2">
        <f t="shared" si="1649"/>
        <v>-2.1654051106681838E-2</v>
      </c>
    </row>
    <row r="1555" spans="1:10" x14ac:dyDescent="0.45">
      <c r="A1555" s="1">
        <v>42443</v>
      </c>
      <c r="B1555">
        <v>37.18</v>
      </c>
      <c r="C1555">
        <v>1.1964999999999999</v>
      </c>
      <c r="D1555">
        <v>1.4226000000000001</v>
      </c>
      <c r="E1555" s="2">
        <f t="shared" si="1630"/>
        <v>19.4038</v>
      </c>
      <c r="F1555" s="2">
        <f t="shared" si="1632"/>
        <v>18.992399999999993</v>
      </c>
      <c r="G1555" s="2">
        <f t="shared" si="1634"/>
        <v>19.477399999999999</v>
      </c>
      <c r="H1555" s="2">
        <f t="shared" si="1635"/>
        <v>1.7291497110061282E-2</v>
      </c>
      <c r="I1555" s="2">
        <f t="shared" ref="I1555:J1555" si="1650">LN(C1554)-LN(C1553)</f>
        <v>1.5611522828885005E-3</v>
      </c>
      <c r="J1555" s="2">
        <f t="shared" si="1650"/>
        <v>3.6763472197531288E-3</v>
      </c>
    </row>
    <row r="1556" spans="1:10" x14ac:dyDescent="0.45">
      <c r="A1556" s="1">
        <v>42444</v>
      </c>
      <c r="B1556">
        <v>36.340000000000003</v>
      </c>
      <c r="C1556">
        <v>1.1777</v>
      </c>
      <c r="D1556">
        <v>1.4081999999999999</v>
      </c>
      <c r="E1556" s="2">
        <f t="shared" si="1630"/>
        <v>19.577399999999994</v>
      </c>
      <c r="F1556" s="2">
        <f t="shared" si="1632"/>
        <v>19.4038</v>
      </c>
      <c r="G1556" s="2">
        <f t="shared" si="1634"/>
        <v>18.992399999999993</v>
      </c>
      <c r="H1556" s="2">
        <f t="shared" si="1635"/>
        <v>-3.4887259000440984E-2</v>
      </c>
      <c r="I1556" s="2">
        <f t="shared" ref="I1556:J1556" si="1651">LN(C1555)-LN(C1554)</f>
        <v>-1.7809540921414402E-2</v>
      </c>
      <c r="J1556" s="2">
        <f t="shared" si="1651"/>
        <v>-1.5138591807706103E-2</v>
      </c>
    </row>
    <row r="1557" spans="1:10" x14ac:dyDescent="0.45">
      <c r="A1557" s="1">
        <v>42445</v>
      </c>
      <c r="B1557">
        <v>38.46</v>
      </c>
      <c r="C1557">
        <v>1.2312000000000001</v>
      </c>
      <c r="D1557">
        <v>1.4514</v>
      </c>
      <c r="E1557" s="2">
        <f t="shared" si="1630"/>
        <v>19.416000000000007</v>
      </c>
      <c r="F1557" s="2">
        <f t="shared" si="1632"/>
        <v>19.577399999999994</v>
      </c>
      <c r="G1557" s="2">
        <f t="shared" si="1634"/>
        <v>19.4038</v>
      </c>
      <c r="H1557" s="2">
        <f t="shared" si="1635"/>
        <v>-2.2851919325272529E-2</v>
      </c>
      <c r="I1557" s="2">
        <f t="shared" ref="I1557:J1557" si="1652">LN(C1556)-LN(C1555)</f>
        <v>-1.5837244500925163E-2</v>
      </c>
      <c r="J1557" s="2">
        <f t="shared" si="1652"/>
        <v>-1.0173890214382142E-2</v>
      </c>
    </row>
    <row r="1558" spans="1:10" x14ac:dyDescent="0.45">
      <c r="A1558" s="1">
        <v>42446</v>
      </c>
      <c r="B1558">
        <v>41.66</v>
      </c>
      <c r="C1558">
        <v>1.2544999999999999</v>
      </c>
      <c r="D1558">
        <v>1.4732000000000001</v>
      </c>
      <c r="E1558" s="2">
        <f t="shared" si="1630"/>
        <v>17.152600000000007</v>
      </c>
      <c r="F1558" s="2">
        <f t="shared" si="1632"/>
        <v>19.416000000000007</v>
      </c>
      <c r="G1558" s="2">
        <f t="shared" si="1634"/>
        <v>19.577399999999994</v>
      </c>
      <c r="H1558" s="2">
        <f t="shared" si="1635"/>
        <v>5.6699677192608267E-2</v>
      </c>
      <c r="I1558" s="2">
        <f t="shared" ref="I1558:J1558" si="1653">LN(C1557)-LN(C1556)</f>
        <v>4.4425919677166775E-2</v>
      </c>
      <c r="J1558" s="2">
        <f t="shared" si="1653"/>
        <v>3.0216314759003826E-2</v>
      </c>
    </row>
    <row r="1559" spans="1:10" x14ac:dyDescent="0.45">
      <c r="A1559" s="1">
        <v>42447</v>
      </c>
      <c r="B1559">
        <v>41.14</v>
      </c>
      <c r="C1559">
        <v>1.2391000000000001</v>
      </c>
      <c r="D1559">
        <v>1.4609000000000001</v>
      </c>
      <c r="E1559" s="2">
        <f t="shared" si="1630"/>
        <v>17.1126</v>
      </c>
      <c r="F1559" s="2">
        <f t="shared" si="1632"/>
        <v>17.152600000000007</v>
      </c>
      <c r="G1559" s="2">
        <f t="shared" si="1634"/>
        <v>19.416000000000007</v>
      </c>
      <c r="H1559" s="2">
        <f t="shared" si="1635"/>
        <v>7.9922695672192567E-2</v>
      </c>
      <c r="I1559" s="2">
        <f t="shared" ref="I1559:J1559" si="1654">LN(C1558)-LN(C1557)</f>
        <v>1.8747783281807401E-2</v>
      </c>
      <c r="J1559" s="2">
        <f t="shared" si="1654"/>
        <v>1.4908297726873743E-2</v>
      </c>
    </row>
    <row r="1560" spans="1:10" x14ac:dyDescent="0.45">
      <c r="A1560" s="1">
        <v>42450</v>
      </c>
      <c r="B1560">
        <v>41.52</v>
      </c>
      <c r="C1560">
        <v>1.2494000000000001</v>
      </c>
      <c r="D1560">
        <v>1.4912000000000001</v>
      </c>
      <c r="E1560" s="2">
        <f t="shared" si="1630"/>
        <v>17.725200000000001</v>
      </c>
      <c r="F1560" s="2">
        <f t="shared" si="1632"/>
        <v>17.1126</v>
      </c>
      <c r="G1560" s="2">
        <f t="shared" si="1634"/>
        <v>17.152600000000007</v>
      </c>
      <c r="H1560" s="2">
        <f t="shared" si="1635"/>
        <v>-1.2560551608014947E-2</v>
      </c>
      <c r="I1560" s="2">
        <f t="shared" ref="I1560:J1560" si="1655">LN(C1559)-LN(C1558)</f>
        <v>-1.2351777184029633E-2</v>
      </c>
      <c r="J1560" s="2">
        <f t="shared" si="1655"/>
        <v>-8.3842214324418851E-3</v>
      </c>
    </row>
    <row r="1561" spans="1:10" x14ac:dyDescent="0.45">
      <c r="A1561" s="1">
        <v>42451</v>
      </c>
      <c r="B1561">
        <v>41.45</v>
      </c>
      <c r="C1561">
        <v>1.2625999999999999</v>
      </c>
      <c r="D1561">
        <v>1.526</v>
      </c>
      <c r="E1561" s="2">
        <f t="shared" si="1630"/>
        <v>18.954399999999996</v>
      </c>
      <c r="F1561" s="2">
        <f t="shared" si="1632"/>
        <v>17.725200000000001</v>
      </c>
      <c r="G1561" s="2">
        <f t="shared" si="1634"/>
        <v>17.1126</v>
      </c>
      <c r="H1561" s="2">
        <f t="shared" si="1635"/>
        <v>9.1943546328221437E-3</v>
      </c>
      <c r="I1561" s="2">
        <f t="shared" ref="I1561:J1561" si="1656">LN(C1560)-LN(C1559)</f>
        <v>8.2781264370222762E-3</v>
      </c>
      <c r="J1561" s="2">
        <f t="shared" si="1656"/>
        <v>2.052848079285835E-2</v>
      </c>
    </row>
    <row r="1562" spans="1:10" x14ac:dyDescent="0.45">
      <c r="A1562" s="1">
        <v>42452</v>
      </c>
      <c r="B1562">
        <v>39.79</v>
      </c>
      <c r="C1562">
        <v>1.2155</v>
      </c>
      <c r="D1562">
        <v>1.4832000000000001</v>
      </c>
      <c r="E1562" s="2">
        <f t="shared" si="1630"/>
        <v>18.756600000000002</v>
      </c>
      <c r="F1562" s="2">
        <f t="shared" si="1632"/>
        <v>18.954399999999996</v>
      </c>
      <c r="G1562" s="2">
        <f t="shared" si="1634"/>
        <v>17.725200000000001</v>
      </c>
      <c r="H1562" s="2">
        <f t="shared" si="1635"/>
        <v>-1.6873572763294042E-3</v>
      </c>
      <c r="I1562" s="2">
        <f t="shared" ref="I1562:J1562" si="1657">LN(C1561)-LN(C1560)</f>
        <v>1.0509650874055643E-2</v>
      </c>
      <c r="J1562" s="2">
        <f t="shared" si="1657"/>
        <v>2.306876791307555E-2</v>
      </c>
    </row>
    <row r="1563" spans="1:10" x14ac:dyDescent="0.45">
      <c r="A1563" s="1">
        <v>42453</v>
      </c>
      <c r="B1563">
        <v>39.46</v>
      </c>
      <c r="C1563">
        <v>1.21</v>
      </c>
      <c r="D1563">
        <v>1.4945999999999999</v>
      </c>
      <c r="E1563" s="2">
        <f t="shared" si="1630"/>
        <v>19.328800000000001</v>
      </c>
      <c r="F1563" s="2">
        <f t="shared" si="1632"/>
        <v>18.756600000000002</v>
      </c>
      <c r="G1563" s="2">
        <f t="shared" si="1634"/>
        <v>18.954399999999996</v>
      </c>
      <c r="H1563" s="2">
        <f t="shared" si="1635"/>
        <v>-4.0872257142466673E-2</v>
      </c>
      <c r="I1563" s="2">
        <f t="shared" ref="I1563:J1563" si="1658">LN(C1562)-LN(C1561)</f>
        <v>-3.8017572177347136E-2</v>
      </c>
      <c r="J1563" s="2">
        <f t="shared" si="1658"/>
        <v>-2.8448017032811579E-2</v>
      </c>
    </row>
    <row r="1564" spans="1:10" x14ac:dyDescent="0.45">
      <c r="A1564" s="1">
        <v>42457</v>
      </c>
      <c r="B1564">
        <v>39.39</v>
      </c>
      <c r="C1564">
        <v>1.1923999999999999</v>
      </c>
      <c r="D1564">
        <v>1.4956</v>
      </c>
      <c r="E1564" s="2">
        <f t="shared" si="1630"/>
        <v>19.180400000000006</v>
      </c>
      <c r="F1564" s="2">
        <f t="shared" si="1632"/>
        <v>19.328800000000001</v>
      </c>
      <c r="G1564" s="2">
        <f t="shared" si="1634"/>
        <v>18.756600000000002</v>
      </c>
      <c r="H1564" s="2">
        <f t="shared" si="1635"/>
        <v>-8.328123844367763E-3</v>
      </c>
      <c r="I1564" s="2">
        <f t="shared" ref="I1564:J1564" si="1659">LN(C1563)-LN(C1562)</f>
        <v>-4.5351551653913247E-3</v>
      </c>
      <c r="J1564" s="2">
        <f t="shared" si="1659"/>
        <v>7.6566966845989515E-3</v>
      </c>
    </row>
    <row r="1565" spans="1:10" x14ac:dyDescent="0.45">
      <c r="A1565" s="1">
        <v>42458</v>
      </c>
      <c r="B1565">
        <v>38.28</v>
      </c>
      <c r="C1565">
        <v>1.1673</v>
      </c>
      <c r="D1565">
        <v>1.4807999999999999</v>
      </c>
      <c r="E1565" s="2">
        <f t="shared" si="1630"/>
        <v>19.524599999999992</v>
      </c>
      <c r="F1565" s="2">
        <f t="shared" si="1632"/>
        <v>19.180400000000006</v>
      </c>
      <c r="G1565" s="2">
        <f t="shared" si="1634"/>
        <v>19.328800000000001</v>
      </c>
      <c r="H1565" s="2">
        <f t="shared" si="1635"/>
        <v>-1.7755236116547835E-3</v>
      </c>
      <c r="I1565" s="2">
        <f t="shared" ref="I1565:J1565" si="1660">LN(C1564)-LN(C1563)</f>
        <v>-1.465227678687045E-2</v>
      </c>
      <c r="J1565" s="2">
        <f t="shared" si="1660"/>
        <v>6.6885160676899424E-4</v>
      </c>
    </row>
    <row r="1566" spans="1:10" x14ac:dyDescent="0.45">
      <c r="A1566" s="1">
        <v>42459</v>
      </c>
      <c r="B1566">
        <v>38.32</v>
      </c>
      <c r="C1566">
        <v>1.1720999999999999</v>
      </c>
      <c r="D1566">
        <v>1.4661</v>
      </c>
      <c r="E1566" s="2">
        <f t="shared" si="1630"/>
        <v>19.140199999999993</v>
      </c>
      <c r="F1566" s="2">
        <f t="shared" si="1632"/>
        <v>19.524599999999992</v>
      </c>
      <c r="G1566" s="2">
        <f t="shared" si="1634"/>
        <v>19.180400000000006</v>
      </c>
      <c r="H1566" s="2">
        <f t="shared" si="1635"/>
        <v>-2.8584410398061255E-2</v>
      </c>
      <c r="I1566" s="2">
        <f t="shared" ref="I1566:J1566" si="1661">LN(C1565)-LN(C1564)</f>
        <v>-2.1274693145298729E-2</v>
      </c>
      <c r="J1566" s="2">
        <f t="shared" si="1661"/>
        <v>-9.9449818436709858E-3</v>
      </c>
    </row>
    <row r="1567" spans="1:10" x14ac:dyDescent="0.45">
      <c r="A1567" s="1">
        <v>42460</v>
      </c>
      <c r="B1567">
        <v>38.340000000000003</v>
      </c>
      <c r="C1567">
        <v>1.1855</v>
      </c>
      <c r="D1567">
        <v>1.4467000000000001</v>
      </c>
      <c r="E1567" s="2">
        <f t="shared" si="1630"/>
        <v>18.764600000000002</v>
      </c>
      <c r="F1567" s="2">
        <f t="shared" si="1632"/>
        <v>19.140199999999993</v>
      </c>
      <c r="G1567" s="2">
        <f t="shared" si="1634"/>
        <v>19.524599999999992</v>
      </c>
      <c r="H1567" s="2">
        <f t="shared" si="1635"/>
        <v>1.0443865179063927E-3</v>
      </c>
      <c r="I1567" s="2">
        <f t="shared" ref="I1567:J1567" si="1662">LN(C1566)-LN(C1565)</f>
        <v>4.1036220705169546E-3</v>
      </c>
      <c r="J1567" s="2">
        <f t="shared" si="1662"/>
        <v>-9.9766683150688817E-3</v>
      </c>
    </row>
    <row r="1568" spans="1:10" x14ac:dyDescent="0.45">
      <c r="A1568" s="1">
        <v>42461</v>
      </c>
      <c r="B1568">
        <v>36.79</v>
      </c>
      <c r="C1568">
        <v>1.1316999999999999</v>
      </c>
      <c r="D1568">
        <v>1.4016</v>
      </c>
      <c r="E1568" s="2">
        <f t="shared" si="1630"/>
        <v>18.298599999999993</v>
      </c>
      <c r="F1568" s="2">
        <f t="shared" si="1632"/>
        <v>18.764600000000002</v>
      </c>
      <c r="G1568" s="2">
        <f t="shared" si="1634"/>
        <v>19.140199999999993</v>
      </c>
      <c r="H1568" s="2">
        <f t="shared" si="1635"/>
        <v>5.2178451483886334E-4</v>
      </c>
      <c r="I1568" s="2">
        <f t="shared" ref="I1568:J1568" si="1663">LN(C1567)-LN(C1566)</f>
        <v>1.1367614776325641E-2</v>
      </c>
      <c r="J1568" s="2">
        <f t="shared" si="1663"/>
        <v>-1.3320713308674237E-2</v>
      </c>
    </row>
    <row r="1569" spans="1:10" x14ac:dyDescent="0.45">
      <c r="A1569" s="1">
        <v>42464</v>
      </c>
      <c r="B1569">
        <v>35.700000000000003</v>
      </c>
      <c r="C1569">
        <v>1.0889</v>
      </c>
      <c r="D1569">
        <v>1.377</v>
      </c>
      <c r="E1569" s="2">
        <f t="shared" si="1630"/>
        <v>18.1006</v>
      </c>
      <c r="F1569" s="2">
        <f t="shared" si="1632"/>
        <v>18.298599999999993</v>
      </c>
      <c r="G1569" s="2">
        <f t="shared" si="1634"/>
        <v>18.764600000000002</v>
      </c>
      <c r="H1569" s="2">
        <f t="shared" si="1635"/>
        <v>-4.1267668500815535E-2</v>
      </c>
      <c r="I1569" s="2">
        <f t="shared" ref="I1569:J1569" si="1664">LN(C1568)-LN(C1567)</f>
        <v>-4.6443699533564337E-2</v>
      </c>
      <c r="J1569" s="2">
        <f t="shared" si="1664"/>
        <v>-3.1670659453417627E-2</v>
      </c>
    </row>
    <row r="1570" spans="1:10" x14ac:dyDescent="0.45">
      <c r="A1570" s="1">
        <v>42465</v>
      </c>
      <c r="B1570">
        <v>35.89</v>
      </c>
      <c r="C1570">
        <v>1.0746</v>
      </c>
      <c r="D1570">
        <v>1.3777999999999999</v>
      </c>
      <c r="E1570" s="2">
        <f t="shared" si="1630"/>
        <v>17.732800000000001</v>
      </c>
      <c r="F1570" s="2">
        <f t="shared" si="1632"/>
        <v>18.1006</v>
      </c>
      <c r="G1570" s="2">
        <f t="shared" si="1634"/>
        <v>18.298599999999993</v>
      </c>
      <c r="H1570" s="2">
        <f t="shared" si="1635"/>
        <v>-3.0075380331089807E-2</v>
      </c>
      <c r="I1570" s="2">
        <f t="shared" ref="I1570:J1570" si="1665">LN(C1569)-LN(C1568)</f>
        <v>-3.8552914619880585E-2</v>
      </c>
      <c r="J1570" s="2">
        <f t="shared" si="1665"/>
        <v>-1.7707221453472088E-2</v>
      </c>
    </row>
    <row r="1571" spans="1:10" x14ac:dyDescent="0.45">
      <c r="A1571" s="1">
        <v>42466</v>
      </c>
      <c r="B1571">
        <v>37.75</v>
      </c>
      <c r="C1571">
        <v>1.1403000000000001</v>
      </c>
      <c r="D1571">
        <v>1.3947000000000001</v>
      </c>
      <c r="E1571" s="2">
        <f t="shared" si="1630"/>
        <v>17.265800000000002</v>
      </c>
      <c r="F1571" s="2">
        <f t="shared" si="1632"/>
        <v>17.732800000000001</v>
      </c>
      <c r="G1571" s="2">
        <f t="shared" si="1634"/>
        <v>18.1006</v>
      </c>
      <c r="H1571" s="2">
        <f t="shared" si="1635"/>
        <v>5.3080163739225306E-3</v>
      </c>
      <c r="I1571" s="2">
        <f t="shared" ref="I1571:J1571" si="1666">LN(C1570)-LN(C1569)</f>
        <v>-1.3219513057294158E-2</v>
      </c>
      <c r="J1571" s="2">
        <f t="shared" si="1666"/>
        <v>5.808044304405624E-4</v>
      </c>
    </row>
    <row r="1572" spans="1:10" x14ac:dyDescent="0.45">
      <c r="A1572" s="1">
        <v>42467</v>
      </c>
      <c r="B1572">
        <v>37.26</v>
      </c>
      <c r="C1572">
        <v>1.1256999999999999</v>
      </c>
      <c r="D1572">
        <v>1.3812</v>
      </c>
      <c r="E1572" s="2">
        <f t="shared" si="1630"/>
        <v>17.173399999999997</v>
      </c>
      <c r="F1572" s="2">
        <f t="shared" si="1632"/>
        <v>17.265800000000002</v>
      </c>
      <c r="G1572" s="2">
        <f t="shared" si="1634"/>
        <v>17.732800000000001</v>
      </c>
      <c r="H1572" s="2">
        <f t="shared" si="1635"/>
        <v>5.0526770535517684E-2</v>
      </c>
      <c r="I1572" s="2">
        <f t="shared" ref="I1572:J1572" si="1667">LN(C1571)-LN(C1570)</f>
        <v>5.9342886368591724E-2</v>
      </c>
      <c r="J1572" s="2">
        <f t="shared" si="1667"/>
        <v>1.2191314205553361E-2</v>
      </c>
    </row>
    <row r="1573" spans="1:10" x14ac:dyDescent="0.45">
      <c r="A1573" s="1">
        <v>42468</v>
      </c>
      <c r="B1573">
        <v>39.72</v>
      </c>
      <c r="C1573">
        <v>1.2003999999999999</v>
      </c>
      <c r="D1573">
        <v>1.4637</v>
      </c>
      <c r="E1573" s="2">
        <f t="shared" si="1630"/>
        <v>18.069199999999995</v>
      </c>
      <c r="F1573" s="2">
        <f t="shared" si="1632"/>
        <v>17.173399999999997</v>
      </c>
      <c r="G1573" s="2">
        <f t="shared" si="1634"/>
        <v>17.265800000000002</v>
      </c>
      <c r="H1573" s="2">
        <f t="shared" si="1635"/>
        <v>-1.3065110521591095E-2</v>
      </c>
      <c r="I1573" s="2">
        <f t="shared" ref="I1573:J1573" si="1668">LN(C1572)-LN(C1571)</f>
        <v>-1.2886321302554571E-2</v>
      </c>
      <c r="J1573" s="2">
        <f t="shared" si="1668"/>
        <v>-9.7266518488115516E-3</v>
      </c>
    </row>
    <row r="1574" spans="1:10" x14ac:dyDescent="0.45">
      <c r="A1574" s="1">
        <v>42471</v>
      </c>
      <c r="B1574">
        <v>40.36</v>
      </c>
      <c r="C1574">
        <v>1.2146999999999999</v>
      </c>
      <c r="D1574">
        <v>1.5077</v>
      </c>
      <c r="E1574" s="2">
        <f t="shared" si="1630"/>
        <v>18.8614</v>
      </c>
      <c r="F1574" s="2">
        <f t="shared" si="1632"/>
        <v>18.069199999999995</v>
      </c>
      <c r="G1574" s="2">
        <f t="shared" si="1634"/>
        <v>17.173399999999997</v>
      </c>
      <c r="H1574" s="2">
        <f t="shared" si="1635"/>
        <v>6.3934474003529473E-2</v>
      </c>
      <c r="I1574" s="2">
        <f t="shared" ref="I1574:J1574" si="1669">LN(C1573)-LN(C1572)</f>
        <v>6.4249770205453721E-2</v>
      </c>
      <c r="J1574" s="2">
        <f t="shared" si="1669"/>
        <v>5.8014789974063952E-2</v>
      </c>
    </row>
    <row r="1575" spans="1:10" x14ac:dyDescent="0.45">
      <c r="A1575" s="1">
        <v>42472</v>
      </c>
      <c r="B1575">
        <v>42.17</v>
      </c>
      <c r="C1575">
        <v>1.2759</v>
      </c>
      <c r="D1575">
        <v>1.5343</v>
      </c>
      <c r="E1575" s="2">
        <f t="shared" si="1630"/>
        <v>18.652999999999995</v>
      </c>
      <c r="F1575" s="2">
        <f t="shared" si="1632"/>
        <v>18.8614</v>
      </c>
      <c r="G1575" s="2">
        <f t="shared" si="1634"/>
        <v>18.069199999999995</v>
      </c>
      <c r="H1575" s="2">
        <f t="shared" si="1635"/>
        <v>1.5984356308436531E-2</v>
      </c>
      <c r="I1575" s="2">
        <f t="shared" ref="I1575:J1575" si="1670">LN(C1574)-LN(C1573)</f>
        <v>1.1842298140013086E-2</v>
      </c>
      <c r="J1575" s="2">
        <f t="shared" si="1670"/>
        <v>2.9617834294971668E-2</v>
      </c>
    </row>
    <row r="1576" spans="1:10" x14ac:dyDescent="0.45">
      <c r="A1576" s="1">
        <v>42473</v>
      </c>
      <c r="B1576">
        <v>41.76</v>
      </c>
      <c r="C1576">
        <v>1.2656000000000001</v>
      </c>
      <c r="D1576">
        <v>1.5429999999999999</v>
      </c>
      <c r="E1576" s="2">
        <f t="shared" si="1630"/>
        <v>19.162400000000002</v>
      </c>
      <c r="F1576" s="2">
        <f t="shared" si="1632"/>
        <v>18.652999999999995</v>
      </c>
      <c r="G1576" s="2">
        <f t="shared" si="1634"/>
        <v>18.8614</v>
      </c>
      <c r="H1576" s="2">
        <f t="shared" si="1635"/>
        <v>4.386987227305994E-2</v>
      </c>
      <c r="I1576" s="2">
        <f t="shared" ref="I1576:J1576" si="1671">LN(C1575)-LN(C1574)</f>
        <v>4.9154679221472514E-2</v>
      </c>
      <c r="J1576" s="2">
        <f t="shared" si="1671"/>
        <v>1.7488940166287159E-2</v>
      </c>
    </row>
    <row r="1577" spans="1:10" x14ac:dyDescent="0.45">
      <c r="A1577" s="1">
        <v>42474</v>
      </c>
      <c r="B1577">
        <v>41.5</v>
      </c>
      <c r="C1577">
        <v>1.2543</v>
      </c>
      <c r="D1577">
        <v>1.5212000000000001</v>
      </c>
      <c r="E1577" s="2">
        <f t="shared" si="1630"/>
        <v>18.653800000000007</v>
      </c>
      <c r="F1577" s="2">
        <f t="shared" si="1632"/>
        <v>19.162400000000002</v>
      </c>
      <c r="G1577" s="2">
        <f t="shared" si="1634"/>
        <v>18.652999999999995</v>
      </c>
      <c r="H1577" s="2">
        <f t="shared" si="1635"/>
        <v>-9.7701241840852937E-3</v>
      </c>
      <c r="I1577" s="2">
        <f t="shared" ref="I1577:J1577" si="1672">LN(C1576)-LN(C1575)</f>
        <v>-8.1054939143080929E-3</v>
      </c>
      <c r="J1577" s="2">
        <f t="shared" si="1672"/>
        <v>5.6543224120007562E-3</v>
      </c>
    </row>
    <row r="1578" spans="1:10" x14ac:dyDescent="0.45">
      <c r="A1578" s="1">
        <v>42475</v>
      </c>
      <c r="B1578">
        <v>40.36</v>
      </c>
      <c r="C1578">
        <v>1.2322</v>
      </c>
      <c r="D1578">
        <v>1.4782999999999999</v>
      </c>
      <c r="E1578" s="2">
        <f t="shared" si="1630"/>
        <v>18.283199999999997</v>
      </c>
      <c r="F1578" s="2">
        <f t="shared" si="1632"/>
        <v>18.653800000000007</v>
      </c>
      <c r="G1578" s="2">
        <f t="shared" si="1634"/>
        <v>19.162400000000002</v>
      </c>
      <c r="H1578" s="2">
        <f t="shared" si="1635"/>
        <v>-6.2455163377306278E-3</v>
      </c>
      <c r="I1578" s="2">
        <f t="shared" ref="I1578:J1578" si="1673">LN(C1577)-LN(C1576)</f>
        <v>-8.9686699827604688E-3</v>
      </c>
      <c r="J1578" s="2">
        <f t="shared" si="1673"/>
        <v>-1.4229076309056121E-2</v>
      </c>
    </row>
    <row r="1579" spans="1:10" x14ac:dyDescent="0.45">
      <c r="A1579" s="1">
        <v>42478</v>
      </c>
      <c r="B1579">
        <v>41.19</v>
      </c>
      <c r="C1579">
        <v>1.2359</v>
      </c>
      <c r="D1579">
        <v>1.4365000000000001</v>
      </c>
      <c r="E1579" s="2">
        <f t="shared" si="1630"/>
        <v>16.334600000000005</v>
      </c>
      <c r="F1579" s="2">
        <f t="shared" si="1632"/>
        <v>18.283199999999997</v>
      </c>
      <c r="G1579" s="2">
        <f t="shared" si="1634"/>
        <v>18.653800000000007</v>
      </c>
      <c r="H1579" s="2">
        <f t="shared" si="1635"/>
        <v>-2.7854231751244019E-2</v>
      </c>
      <c r="I1579" s="2">
        <f t="shared" ref="I1579:J1579" si="1674">LN(C1578)-LN(C1577)</f>
        <v>-1.7776458450158711E-2</v>
      </c>
      <c r="J1579" s="2">
        <f t="shared" si="1674"/>
        <v>-2.8606718147060506E-2</v>
      </c>
    </row>
    <row r="1580" spans="1:10" x14ac:dyDescent="0.45">
      <c r="A1580" s="1">
        <v>42479</v>
      </c>
      <c r="B1580">
        <v>42.47</v>
      </c>
      <c r="C1580">
        <v>1.2710999999999999</v>
      </c>
      <c r="D1580">
        <v>1.4981</v>
      </c>
      <c r="E1580" s="2">
        <f t="shared" si="1630"/>
        <v>17.272199999999998</v>
      </c>
      <c r="F1580" s="2">
        <f t="shared" si="1632"/>
        <v>16.334600000000005</v>
      </c>
      <c r="G1580" s="2">
        <f t="shared" si="1634"/>
        <v>18.283199999999997</v>
      </c>
      <c r="H1580" s="2">
        <f t="shared" si="1635"/>
        <v>2.035631296258078E-2</v>
      </c>
      <c r="I1580" s="2">
        <f t="shared" ref="I1580:J1580" si="1675">LN(C1579)-LN(C1578)</f>
        <v>2.9982600152194672E-3</v>
      </c>
      <c r="J1580" s="2">
        <f t="shared" si="1675"/>
        <v>-2.8683179487699828E-2</v>
      </c>
    </row>
    <row r="1581" spans="1:10" x14ac:dyDescent="0.45">
      <c r="A1581" s="1">
        <v>42480</v>
      </c>
      <c r="B1581">
        <v>44.18</v>
      </c>
      <c r="C1581">
        <v>1.3383</v>
      </c>
      <c r="D1581">
        <v>1.5267999999999999</v>
      </c>
      <c r="E1581" s="2">
        <f t="shared" si="1630"/>
        <v>17.306599999999992</v>
      </c>
      <c r="F1581" s="2">
        <f t="shared" si="1632"/>
        <v>17.272199999999998</v>
      </c>
      <c r="G1581" s="2">
        <f t="shared" si="1634"/>
        <v>16.334600000000005</v>
      </c>
      <c r="H1581" s="2">
        <f t="shared" si="1635"/>
        <v>3.0602435877190803E-2</v>
      </c>
      <c r="I1581" s="2">
        <f t="shared" ref="I1581:J1581" si="1676">LN(C1580)-LN(C1579)</f>
        <v>2.8083217704933383E-2</v>
      </c>
      <c r="J1581" s="2">
        <f t="shared" si="1676"/>
        <v>4.1988039103991903E-2</v>
      </c>
    </row>
    <row r="1582" spans="1:10" x14ac:dyDescent="0.45">
      <c r="A1582" s="1">
        <v>42481</v>
      </c>
      <c r="B1582">
        <v>43.18</v>
      </c>
      <c r="C1582">
        <v>1.3071999999999999</v>
      </c>
      <c r="D1582">
        <v>1.5322</v>
      </c>
      <c r="E1582" s="2">
        <f t="shared" si="1630"/>
        <v>18.022400000000005</v>
      </c>
      <c r="F1582" s="2">
        <f t="shared" si="1632"/>
        <v>17.306599999999992</v>
      </c>
      <c r="G1582" s="2">
        <f t="shared" si="1634"/>
        <v>17.272199999999998</v>
      </c>
      <c r="H1582" s="2">
        <f t="shared" si="1635"/>
        <v>3.9474253666790915E-2</v>
      </c>
      <c r="I1582" s="2">
        <f t="shared" ref="I1582:J1582" si="1677">LN(C1581)-LN(C1580)</f>
        <v>5.1517484501705652E-2</v>
      </c>
      <c r="J1582" s="2">
        <f t="shared" si="1677"/>
        <v>1.8976403347738424E-2</v>
      </c>
    </row>
    <row r="1583" spans="1:10" x14ac:dyDescent="0.45">
      <c r="A1583" s="1">
        <v>42482</v>
      </c>
      <c r="B1583">
        <v>43.73</v>
      </c>
      <c r="C1583">
        <v>1.3173999999999999</v>
      </c>
      <c r="D1583">
        <v>1.5484</v>
      </c>
      <c r="E1583" s="2">
        <f t="shared" si="1630"/>
        <v>18.068799999999992</v>
      </c>
      <c r="F1583" s="2">
        <f t="shared" si="1632"/>
        <v>18.022400000000005</v>
      </c>
      <c r="G1583" s="2">
        <f t="shared" si="1634"/>
        <v>17.306599999999992</v>
      </c>
      <c r="H1583" s="2">
        <f t="shared" si="1635"/>
        <v>-2.2894772905309502E-2</v>
      </c>
      <c r="I1583" s="2">
        <f t="shared" ref="I1583:J1583" si="1678">LN(C1582)-LN(C1581)</f>
        <v>-2.3512706696590446E-2</v>
      </c>
      <c r="J1583" s="2">
        <f t="shared" si="1678"/>
        <v>3.5305692116459064E-3</v>
      </c>
    </row>
    <row r="1584" spans="1:10" x14ac:dyDescent="0.45">
      <c r="A1584" s="1">
        <v>42485</v>
      </c>
      <c r="B1584">
        <v>42.64</v>
      </c>
      <c r="C1584">
        <v>1.2990999999999999</v>
      </c>
      <c r="D1584">
        <v>1.5314000000000001</v>
      </c>
      <c r="E1584" s="2">
        <f t="shared" si="1630"/>
        <v>18.426600000000004</v>
      </c>
      <c r="F1584" s="2">
        <f t="shared" si="1632"/>
        <v>18.068799999999992</v>
      </c>
      <c r="G1584" s="2">
        <f t="shared" si="1634"/>
        <v>18.022400000000005</v>
      </c>
      <c r="H1584" s="2">
        <f t="shared" si="1635"/>
        <v>1.2656940338167555E-2</v>
      </c>
      <c r="I1584" s="2">
        <f t="shared" ref="I1584:J1584" si="1679">LN(C1583)-LN(C1582)</f>
        <v>7.7726521008541494E-3</v>
      </c>
      <c r="J1584" s="2">
        <f t="shared" si="1679"/>
        <v>1.0517528620772487E-2</v>
      </c>
    </row>
    <row r="1585" spans="1:10" x14ac:dyDescent="0.45">
      <c r="A1585" s="1">
        <v>42486</v>
      </c>
      <c r="B1585">
        <v>44.04</v>
      </c>
      <c r="C1585">
        <v>1.3387</v>
      </c>
      <c r="D1585">
        <v>1.5793999999999999</v>
      </c>
      <c r="E1585" s="2">
        <f t="shared" si="1630"/>
        <v>18.925000000000001</v>
      </c>
      <c r="F1585" s="2">
        <f t="shared" si="1632"/>
        <v>18.426600000000004</v>
      </c>
      <c r="G1585" s="2">
        <f t="shared" si="1634"/>
        <v>18.068799999999992</v>
      </c>
      <c r="H1585" s="2">
        <f t="shared" si="1635"/>
        <v>-2.5241585567239877E-2</v>
      </c>
      <c r="I1585" s="2">
        <f t="shared" ref="I1585:J1585" si="1680">LN(C1584)-LN(C1583)</f>
        <v>-1.3988380204905393E-2</v>
      </c>
      <c r="J1585" s="2">
        <f t="shared" si="1680"/>
        <v>-1.103979002446992E-2</v>
      </c>
    </row>
    <row r="1586" spans="1:10" x14ac:dyDescent="0.45">
      <c r="A1586" s="1">
        <v>42487</v>
      </c>
      <c r="B1586">
        <v>45.33</v>
      </c>
      <c r="C1586">
        <v>1.3834</v>
      </c>
      <c r="D1586">
        <v>1.5947</v>
      </c>
      <c r="E1586" s="2">
        <f t="shared" si="1630"/>
        <v>18.6892</v>
      </c>
      <c r="F1586" s="2">
        <f t="shared" si="1632"/>
        <v>18.925000000000001</v>
      </c>
      <c r="G1586" s="2">
        <f t="shared" si="1634"/>
        <v>18.426600000000004</v>
      </c>
      <c r="H1586" s="2">
        <f t="shared" si="1635"/>
        <v>3.2305531996890124E-2</v>
      </c>
      <c r="I1586" s="2">
        <f t="shared" ref="I1586:J1586" si="1681">LN(C1585)-LN(C1584)</f>
        <v>3.0027276790164925E-2</v>
      </c>
      <c r="J1586" s="2">
        <f t="shared" si="1681"/>
        <v>3.0862678384457443E-2</v>
      </c>
    </row>
    <row r="1587" spans="1:10" x14ac:dyDescent="0.45">
      <c r="A1587" s="1">
        <v>42488</v>
      </c>
      <c r="B1587">
        <v>46.03</v>
      </c>
      <c r="C1587">
        <v>1.4077</v>
      </c>
      <c r="D1587">
        <v>1.6107</v>
      </c>
      <c r="E1587" s="2">
        <f t="shared" si="1630"/>
        <v>18.7774</v>
      </c>
      <c r="F1587" s="2">
        <f t="shared" si="1632"/>
        <v>18.6892</v>
      </c>
      <c r="G1587" s="2">
        <f t="shared" si="1634"/>
        <v>18.925000000000001</v>
      </c>
      <c r="H1587" s="2">
        <f t="shared" si="1635"/>
        <v>2.8870753098278801E-2</v>
      </c>
      <c r="I1587" s="2">
        <f t="shared" ref="I1587:J1587" si="1682">LN(C1586)-LN(C1585)</f>
        <v>3.2845243374632294E-2</v>
      </c>
      <c r="J1587" s="2">
        <f t="shared" si="1682"/>
        <v>9.6406026904459763E-3</v>
      </c>
    </row>
    <row r="1588" spans="1:10" x14ac:dyDescent="0.45">
      <c r="A1588" s="1">
        <v>42489</v>
      </c>
      <c r="B1588">
        <v>45.92</v>
      </c>
      <c r="C1588">
        <v>1.3859999999999999</v>
      </c>
      <c r="D1588">
        <v>1.6044</v>
      </c>
      <c r="E1588" s="2">
        <f t="shared" si="1630"/>
        <v>18.4072</v>
      </c>
      <c r="F1588" s="2">
        <f t="shared" si="1632"/>
        <v>18.7774</v>
      </c>
      <c r="G1588" s="2">
        <f t="shared" si="1634"/>
        <v>18.6892</v>
      </c>
      <c r="H1588" s="2">
        <f t="shared" si="1635"/>
        <v>1.5324292876392143E-2</v>
      </c>
      <c r="I1588" s="2">
        <f t="shared" ref="I1588:J1588" si="1683">LN(C1587)-LN(C1586)</f>
        <v>1.7412929667435295E-2</v>
      </c>
      <c r="J1588" s="2">
        <f t="shared" si="1683"/>
        <v>9.9832363427069803E-3</v>
      </c>
    </row>
    <row r="1589" spans="1:10" x14ac:dyDescent="0.45">
      <c r="A1589" s="1">
        <v>42492</v>
      </c>
      <c r="B1589">
        <v>44.78</v>
      </c>
      <c r="C1589">
        <v>1.3554999999999999</v>
      </c>
      <c r="D1589">
        <v>1.5628</v>
      </c>
      <c r="E1589" s="2">
        <f t="shared" si="1630"/>
        <v>17.955399999999987</v>
      </c>
      <c r="F1589" s="2">
        <f t="shared" si="1632"/>
        <v>18.4072</v>
      </c>
      <c r="G1589" s="2">
        <f t="shared" si="1634"/>
        <v>18.7774</v>
      </c>
      <c r="H1589" s="2">
        <f t="shared" si="1635"/>
        <v>-2.3926058178389553E-3</v>
      </c>
      <c r="I1589" s="2">
        <f t="shared" ref="I1589:J1589" si="1684">LN(C1588)-LN(C1587)</f>
        <v>-1.5535266084071131E-2</v>
      </c>
      <c r="J1589" s="2">
        <f t="shared" si="1684"/>
        <v>-3.9190122007357053E-3</v>
      </c>
    </row>
    <row r="1590" spans="1:10" x14ac:dyDescent="0.45">
      <c r="A1590" s="1">
        <v>42493</v>
      </c>
      <c r="B1590">
        <v>43.65</v>
      </c>
      <c r="C1590">
        <v>1.3333999999999999</v>
      </c>
      <c r="D1590">
        <v>1.51</v>
      </c>
      <c r="E1590" s="2">
        <f t="shared" si="1630"/>
        <v>17.297600000000006</v>
      </c>
      <c r="F1590" s="2">
        <f t="shared" si="1632"/>
        <v>17.955399999999987</v>
      </c>
      <c r="G1590" s="2">
        <f t="shared" si="1634"/>
        <v>18.4072</v>
      </c>
      <c r="H1590" s="2">
        <f t="shared" si="1635"/>
        <v>-2.5139140840702456E-2</v>
      </c>
      <c r="I1590" s="2">
        <f t="shared" ref="I1590:J1590" si="1685">LN(C1589)-LN(C1588)</f>
        <v>-2.2251510811128306E-2</v>
      </c>
      <c r="J1590" s="2">
        <f t="shared" si="1685"/>
        <v>-2.6270770714982294E-2</v>
      </c>
    </row>
    <row r="1591" spans="1:10" x14ac:dyDescent="0.45">
      <c r="A1591" s="1">
        <v>42494</v>
      </c>
      <c r="B1591">
        <v>43.78</v>
      </c>
      <c r="C1591">
        <v>1.3282</v>
      </c>
      <c r="D1591">
        <v>1.4865999999999999</v>
      </c>
      <c r="E1591" s="2">
        <f t="shared" si="1630"/>
        <v>16.439599999999995</v>
      </c>
      <c r="F1591" s="2">
        <f t="shared" si="1632"/>
        <v>17.297600000000006</v>
      </c>
      <c r="G1591" s="2">
        <f t="shared" si="1634"/>
        <v>17.955399999999987</v>
      </c>
      <c r="H1591" s="2">
        <f t="shared" si="1635"/>
        <v>-2.555832888499765E-2</v>
      </c>
      <c r="I1591" s="2">
        <f t="shared" ref="I1591:J1591" si="1686">LN(C1590)-LN(C1589)</f>
        <v>-1.6438318754760595E-2</v>
      </c>
      <c r="J1591" s="2">
        <f t="shared" si="1686"/>
        <v>-3.4369433371945479E-2</v>
      </c>
    </row>
    <row r="1592" spans="1:10" x14ac:dyDescent="0.45">
      <c r="A1592" s="1">
        <v>42495</v>
      </c>
      <c r="B1592">
        <v>44.32</v>
      </c>
      <c r="C1592">
        <v>1.3287</v>
      </c>
      <c r="D1592">
        <v>1.4914000000000001</v>
      </c>
      <c r="E1592" s="2">
        <f t="shared" si="1630"/>
        <v>16.040999999999997</v>
      </c>
      <c r="F1592" s="2">
        <f t="shared" si="1632"/>
        <v>16.439599999999995</v>
      </c>
      <c r="G1592" s="2">
        <f t="shared" si="1634"/>
        <v>17.297600000000006</v>
      </c>
      <c r="H1592" s="2">
        <f t="shared" si="1635"/>
        <v>2.9738098091058873E-3</v>
      </c>
      <c r="I1592" s="2">
        <f t="shared" ref="I1592:J1592" si="1687">LN(C1591)-LN(C1590)</f>
        <v>-3.9074290773462583E-3</v>
      </c>
      <c r="J1592" s="2">
        <f t="shared" si="1687"/>
        <v>-1.5618017517776972E-2</v>
      </c>
    </row>
    <row r="1593" spans="1:10" x14ac:dyDescent="0.45">
      <c r="A1593" s="1">
        <v>42496</v>
      </c>
      <c r="B1593">
        <v>44.66</v>
      </c>
      <c r="C1593">
        <v>1.3372999999999999</v>
      </c>
      <c r="D1593">
        <v>1.4962</v>
      </c>
      <c r="E1593" s="2">
        <f t="shared" si="1630"/>
        <v>15.955800000000002</v>
      </c>
      <c r="F1593" s="2">
        <f t="shared" si="1632"/>
        <v>16.040999999999997</v>
      </c>
      <c r="G1593" s="2">
        <f t="shared" si="1634"/>
        <v>16.439599999999995</v>
      </c>
      <c r="H1593" s="2">
        <f t="shared" si="1635"/>
        <v>1.2258950344311348E-2</v>
      </c>
      <c r="I1593" s="2">
        <f t="shared" ref="I1593:J1593" si="1688">LN(C1592)-LN(C1591)</f>
        <v>3.7637849064886542E-4</v>
      </c>
      <c r="J1593" s="2">
        <f t="shared" si="1688"/>
        <v>3.2236428185014043E-3</v>
      </c>
    </row>
    <row r="1594" spans="1:10" x14ac:dyDescent="0.45">
      <c r="A1594" s="1">
        <v>42499</v>
      </c>
      <c r="B1594">
        <v>43.44</v>
      </c>
      <c r="C1594">
        <v>1.2863</v>
      </c>
      <c r="D1594">
        <v>1.4427000000000001</v>
      </c>
      <c r="E1594" s="2">
        <f t="shared" si="1630"/>
        <v>14.963800000000001</v>
      </c>
      <c r="F1594" s="2">
        <f t="shared" si="1632"/>
        <v>15.955800000000002</v>
      </c>
      <c r="G1594" s="2">
        <f t="shared" si="1634"/>
        <v>16.040999999999997</v>
      </c>
      <c r="H1594" s="2">
        <f t="shared" si="1635"/>
        <v>7.6422039729835411E-3</v>
      </c>
      <c r="I1594" s="2">
        <f t="shared" ref="I1594:J1594" si="1689">LN(C1593)-LN(C1592)</f>
        <v>6.4516352814886213E-3</v>
      </c>
      <c r="J1594" s="2">
        <f t="shared" si="1689"/>
        <v>3.2132843286100665E-3</v>
      </c>
    </row>
    <row r="1595" spans="1:10" x14ac:dyDescent="0.45">
      <c r="A1595" s="1">
        <v>42500</v>
      </c>
      <c r="B1595">
        <v>44.66</v>
      </c>
      <c r="C1595">
        <v>1.3374999999999999</v>
      </c>
      <c r="D1595">
        <v>1.4857</v>
      </c>
      <c r="E1595" s="2">
        <f t="shared" si="1630"/>
        <v>15.664599999999998</v>
      </c>
      <c r="F1595" s="2">
        <f t="shared" si="1632"/>
        <v>14.963800000000001</v>
      </c>
      <c r="G1595" s="2">
        <f t="shared" si="1634"/>
        <v>15.955800000000002</v>
      </c>
      <c r="H1595" s="2">
        <f t="shared" si="1635"/>
        <v>-2.7697570786331838E-2</v>
      </c>
      <c r="I1595" s="2">
        <f t="shared" ref="I1595:J1595" si="1690">LN(C1594)-LN(C1593)</f>
        <v>-3.8882775794081059E-2</v>
      </c>
      <c r="J1595" s="2">
        <f t="shared" si="1690"/>
        <v>-3.6412202486577838E-2</v>
      </c>
    </row>
    <row r="1596" spans="1:10" x14ac:dyDescent="0.45">
      <c r="A1596" s="1">
        <v>42501</v>
      </c>
      <c r="B1596">
        <v>46.23</v>
      </c>
      <c r="C1596">
        <v>1.3967000000000001</v>
      </c>
      <c r="D1596">
        <v>1.5814999999999999</v>
      </c>
      <c r="E1596" s="2">
        <f t="shared" si="1630"/>
        <v>17.605800000000006</v>
      </c>
      <c r="F1596" s="2">
        <f t="shared" si="1632"/>
        <v>15.664599999999998</v>
      </c>
      <c r="G1596" s="2">
        <f t="shared" si="1634"/>
        <v>14.963800000000001</v>
      </c>
      <c r="H1596" s="2">
        <f t="shared" si="1635"/>
        <v>2.7697570786331838E-2</v>
      </c>
      <c r="I1596" s="2">
        <f t="shared" ref="I1596:J1596" si="1691">LN(C1595)-LN(C1594)</f>
        <v>3.9032319685491812E-2</v>
      </c>
      <c r="J1596" s="2">
        <f t="shared" si="1691"/>
        <v>2.936968369158055E-2</v>
      </c>
    </row>
    <row r="1597" spans="1:10" x14ac:dyDescent="0.45">
      <c r="A1597" s="1">
        <v>42502</v>
      </c>
      <c r="B1597">
        <v>46.7</v>
      </c>
      <c r="C1597">
        <v>1.3939999999999999</v>
      </c>
      <c r="D1597">
        <v>1.5832999999999999</v>
      </c>
      <c r="E1597" s="2">
        <f t="shared" si="1630"/>
        <v>17.148399999999992</v>
      </c>
      <c r="F1597" s="2">
        <f t="shared" si="1632"/>
        <v>17.605800000000006</v>
      </c>
      <c r="G1597" s="2">
        <f t="shared" si="1634"/>
        <v>15.664599999999998</v>
      </c>
      <c r="H1597" s="2">
        <f t="shared" si="1635"/>
        <v>3.4550691588122184E-2</v>
      </c>
      <c r="I1597" s="2">
        <f t="shared" ref="I1597:J1597" si="1692">LN(C1596)-LN(C1595)</f>
        <v>4.3310111541564111E-2</v>
      </c>
      <c r="J1597" s="2">
        <f t="shared" si="1692"/>
        <v>6.2487722102396226E-2</v>
      </c>
    </row>
    <row r="1598" spans="1:10" x14ac:dyDescent="0.45">
      <c r="A1598" s="1">
        <v>42503</v>
      </c>
      <c r="B1598">
        <v>46.21</v>
      </c>
      <c r="C1598">
        <v>1.4031</v>
      </c>
      <c r="D1598">
        <v>1.5882000000000001</v>
      </c>
      <c r="E1598" s="2">
        <f t="shared" si="1630"/>
        <v>17.903000000000002</v>
      </c>
      <c r="F1598" s="2">
        <f t="shared" si="1632"/>
        <v>17.148399999999992</v>
      </c>
      <c r="G1598" s="2">
        <f t="shared" si="1634"/>
        <v>17.605800000000006</v>
      </c>
      <c r="H1598" s="2">
        <f t="shared" si="1635"/>
        <v>1.0115226674717537E-2</v>
      </c>
      <c r="I1598" s="2">
        <f t="shared" ref="I1598:J1598" si="1693">LN(C1597)-LN(C1596)</f>
        <v>-1.9349989912565424E-3</v>
      </c>
      <c r="J1598" s="2">
        <f t="shared" si="1693"/>
        <v>1.137512761685E-3</v>
      </c>
    </row>
    <row r="1599" spans="1:10" x14ac:dyDescent="0.45">
      <c r="A1599" s="1">
        <v>42506</v>
      </c>
      <c r="B1599">
        <v>47.72</v>
      </c>
      <c r="C1599">
        <v>1.4400999999999999</v>
      </c>
      <c r="D1599">
        <v>1.6063000000000001</v>
      </c>
      <c r="E1599" s="2">
        <f t="shared" si="1630"/>
        <v>17.4178</v>
      </c>
      <c r="F1599" s="2">
        <f t="shared" si="1632"/>
        <v>17.903000000000002</v>
      </c>
      <c r="G1599" s="2">
        <f t="shared" si="1634"/>
        <v>17.148399999999992</v>
      </c>
      <c r="H1599" s="2">
        <f t="shared" si="1635"/>
        <v>-1.0547939792676431E-2</v>
      </c>
      <c r="I1599" s="2">
        <f t="shared" ref="I1599:J1599" si="1694">LN(C1598)-LN(C1597)</f>
        <v>6.5067620794810876E-3</v>
      </c>
      <c r="J1599" s="2">
        <f t="shared" si="1694"/>
        <v>3.0900229537221269E-3</v>
      </c>
    </row>
    <row r="1600" spans="1:10" x14ac:dyDescent="0.45">
      <c r="A1600" s="1">
        <v>42507</v>
      </c>
      <c r="B1600">
        <v>48.31</v>
      </c>
      <c r="C1600">
        <v>1.4674</v>
      </c>
      <c r="D1600">
        <v>1.6393</v>
      </c>
      <c r="E1600" s="2">
        <f t="shared" si="1630"/>
        <v>18.133999999999997</v>
      </c>
      <c r="F1600" s="2">
        <f t="shared" si="1632"/>
        <v>17.4178</v>
      </c>
      <c r="G1600" s="2">
        <f t="shared" si="1634"/>
        <v>17.903000000000002</v>
      </c>
      <c r="H1600" s="2">
        <f t="shared" si="1635"/>
        <v>3.215437234754015E-2</v>
      </c>
      <c r="I1600" s="2">
        <f t="shared" ref="I1600:J1600" si="1695">LN(C1599)-LN(C1598)</f>
        <v>2.6028481203386689E-2</v>
      </c>
      <c r="J1600" s="2">
        <f t="shared" si="1695"/>
        <v>1.1332098102609878E-2</v>
      </c>
    </row>
    <row r="1601" spans="1:10" x14ac:dyDescent="0.45">
      <c r="A1601" s="1">
        <v>42508</v>
      </c>
      <c r="B1601">
        <v>48.78</v>
      </c>
      <c r="C1601">
        <v>1.4831000000000001</v>
      </c>
      <c r="D1601">
        <v>1.6536</v>
      </c>
      <c r="E1601" s="2">
        <f t="shared" si="1630"/>
        <v>18.284199999999998</v>
      </c>
      <c r="F1601" s="2">
        <f t="shared" si="1632"/>
        <v>18.133999999999997</v>
      </c>
      <c r="G1601" s="2">
        <f t="shared" si="1634"/>
        <v>17.4178</v>
      </c>
      <c r="H1601" s="2">
        <f t="shared" si="1635"/>
        <v>1.228798133660014E-2</v>
      </c>
      <c r="I1601" s="2">
        <f t="shared" ref="I1601:J1601" si="1696">LN(C1600)-LN(C1599)</f>
        <v>1.8779571676556972E-2</v>
      </c>
      <c r="J1601" s="2">
        <f t="shared" si="1696"/>
        <v>2.0335923868690098E-2</v>
      </c>
    </row>
    <row r="1602" spans="1:10" x14ac:dyDescent="0.45">
      <c r="A1602" s="1">
        <v>42509</v>
      </c>
      <c r="B1602">
        <v>48.67</v>
      </c>
      <c r="C1602">
        <v>1.4839</v>
      </c>
      <c r="D1602">
        <v>1.6398999999999999</v>
      </c>
      <c r="E1602" s="2">
        <f t="shared" si="1630"/>
        <v>18.021800000000002</v>
      </c>
      <c r="F1602" s="2">
        <f t="shared" si="1632"/>
        <v>18.284199999999998</v>
      </c>
      <c r="G1602" s="2">
        <f t="shared" si="1634"/>
        <v>18.133999999999997</v>
      </c>
      <c r="H1602" s="2">
        <f t="shared" si="1635"/>
        <v>9.681814221458751E-3</v>
      </c>
      <c r="I1602" s="2">
        <f t="shared" ref="I1602:J1602" si="1697">LN(C1601)-LN(C1600)</f>
        <v>1.0642364468023024E-2</v>
      </c>
      <c r="J1602" s="2">
        <f t="shared" si="1697"/>
        <v>8.6854079351478819E-3</v>
      </c>
    </row>
    <row r="1603" spans="1:10" x14ac:dyDescent="0.45">
      <c r="A1603" s="1">
        <v>42510</v>
      </c>
      <c r="B1603">
        <v>48.41</v>
      </c>
      <c r="C1603">
        <v>1.4921</v>
      </c>
      <c r="D1603">
        <v>1.6412</v>
      </c>
      <c r="E1603" s="2">
        <f t="shared" ref="E1603:E1666" si="1698">(2*D1603*42+1*C1603*42-3*B1603)/3</f>
        <v>18.433000000000003</v>
      </c>
      <c r="F1603" s="2">
        <f t="shared" si="1632"/>
        <v>18.021800000000002</v>
      </c>
      <c r="G1603" s="2">
        <f t="shared" si="1634"/>
        <v>18.284199999999998</v>
      </c>
      <c r="H1603" s="2">
        <f t="shared" si="1635"/>
        <v>-2.2575689424111367E-3</v>
      </c>
      <c r="I1603" s="2">
        <f t="shared" ref="I1603:J1603" si="1699">LN(C1602)-LN(C1601)</f>
        <v>5.3926526416381293E-4</v>
      </c>
      <c r="J1603" s="2">
        <f t="shared" si="1699"/>
        <v>-8.3194650181585561E-3</v>
      </c>
    </row>
    <row r="1604" spans="1:10" x14ac:dyDescent="0.45">
      <c r="A1604" s="1">
        <v>42513</v>
      </c>
      <c r="B1604">
        <v>48.08</v>
      </c>
      <c r="C1604">
        <v>1.482</v>
      </c>
      <c r="D1604">
        <v>1.6488</v>
      </c>
      <c r="E1604" s="2">
        <f t="shared" si="1698"/>
        <v>18.834399999999999</v>
      </c>
      <c r="F1604" s="2">
        <f t="shared" ref="F1604:F1667" si="1700">E1603</f>
        <v>18.433000000000003</v>
      </c>
      <c r="G1604" s="2">
        <f t="shared" si="1634"/>
        <v>18.021800000000002</v>
      </c>
      <c r="H1604" s="2">
        <f t="shared" si="1635"/>
        <v>-5.3564198937601226E-3</v>
      </c>
      <c r="I1604" s="2">
        <f t="shared" ref="I1604:J1604" si="1701">LN(C1603)-LN(C1602)</f>
        <v>5.5107666342951722E-3</v>
      </c>
      <c r="J1604" s="2">
        <f t="shared" si="1701"/>
        <v>7.9241721863110293E-4</v>
      </c>
    </row>
    <row r="1605" spans="1:10" x14ac:dyDescent="0.45">
      <c r="A1605" s="1">
        <v>42514</v>
      </c>
      <c r="B1605">
        <v>48.62</v>
      </c>
      <c r="C1605">
        <v>1.4930000000000001</v>
      </c>
      <c r="D1605">
        <v>1.6572</v>
      </c>
      <c r="E1605" s="2">
        <f t="shared" si="1698"/>
        <v>18.683600000000002</v>
      </c>
      <c r="F1605" s="2">
        <f t="shared" si="1700"/>
        <v>18.834399999999999</v>
      </c>
      <c r="G1605" s="2">
        <f t="shared" ref="G1605:G1668" si="1702">E1603</f>
        <v>18.433000000000003</v>
      </c>
      <c r="H1605" s="2">
        <f t="shared" ref="H1605:H1668" si="1703">LN(B1604)-LN(B1603)</f>
        <v>-6.8401137246509869E-3</v>
      </c>
      <c r="I1605" s="2">
        <f t="shared" ref="I1605:J1605" si="1704">LN(C1604)-LN(C1603)</f>
        <v>-6.7919967903437017E-3</v>
      </c>
      <c r="J1605" s="2">
        <f t="shared" si="1704"/>
        <v>4.6200690082182638E-3</v>
      </c>
    </row>
    <row r="1606" spans="1:10" x14ac:dyDescent="0.45">
      <c r="A1606" s="1">
        <v>42515</v>
      </c>
      <c r="B1606">
        <v>49.56</v>
      </c>
      <c r="C1606">
        <v>1.5168999999999999</v>
      </c>
      <c r="D1606">
        <v>1.6486000000000001</v>
      </c>
      <c r="E1606" s="2">
        <f t="shared" si="1698"/>
        <v>17.837400000000002</v>
      </c>
      <c r="F1606" s="2">
        <f t="shared" si="1700"/>
        <v>18.683600000000002</v>
      </c>
      <c r="G1606" s="2">
        <f t="shared" si="1702"/>
        <v>18.834399999999999</v>
      </c>
      <c r="H1606" s="2">
        <f t="shared" si="1703"/>
        <v>1.1168678661025222E-2</v>
      </c>
      <c r="I1606" s="2">
        <f t="shared" ref="I1606:J1606" si="1705">LN(C1605)-LN(C1604)</f>
        <v>7.3949916831582696E-3</v>
      </c>
      <c r="J1606" s="2">
        <f t="shared" si="1705"/>
        <v>5.0816806269974313E-3</v>
      </c>
    </row>
    <row r="1607" spans="1:10" x14ac:dyDescent="0.45">
      <c r="A1607" s="1">
        <v>42516</v>
      </c>
      <c r="B1607">
        <v>49.48</v>
      </c>
      <c r="C1607">
        <v>1.5062</v>
      </c>
      <c r="D1607">
        <v>1.6267</v>
      </c>
      <c r="E1607" s="2">
        <f t="shared" si="1698"/>
        <v>17.154399999999999</v>
      </c>
      <c r="F1607" s="2">
        <f t="shared" si="1700"/>
        <v>17.837400000000002</v>
      </c>
      <c r="G1607" s="2">
        <f t="shared" si="1702"/>
        <v>18.683600000000002</v>
      </c>
      <c r="H1607" s="2">
        <f t="shared" si="1703"/>
        <v>1.9149087872964543E-2</v>
      </c>
      <c r="I1607" s="2">
        <f t="shared" ref="I1607:J1607" si="1706">LN(C1606)-LN(C1605)</f>
        <v>1.5881260058436153E-2</v>
      </c>
      <c r="J1607" s="2">
        <f t="shared" si="1706"/>
        <v>-5.2029883241195285E-3</v>
      </c>
    </row>
    <row r="1608" spans="1:10" x14ac:dyDescent="0.45">
      <c r="A1608" s="1">
        <v>42517</v>
      </c>
      <c r="B1608">
        <v>49.33</v>
      </c>
      <c r="C1608">
        <v>1.5015000000000001</v>
      </c>
      <c r="D1608">
        <v>1.6377999999999999</v>
      </c>
      <c r="E1608" s="2">
        <f t="shared" si="1698"/>
        <v>17.549399999999991</v>
      </c>
      <c r="F1608" s="2">
        <f t="shared" si="1700"/>
        <v>17.154399999999999</v>
      </c>
      <c r="G1608" s="2">
        <f t="shared" si="1702"/>
        <v>17.837400000000002</v>
      </c>
      <c r="H1608" s="2">
        <f t="shared" si="1703"/>
        <v>-1.6155092366547663E-3</v>
      </c>
      <c r="I1608" s="2">
        <f t="shared" ref="I1608:J1608" si="1707">LN(C1607)-LN(C1606)</f>
        <v>-7.0788559303752718E-3</v>
      </c>
      <c r="J1608" s="2">
        <f t="shared" si="1707"/>
        <v>-1.3373020106719424E-2</v>
      </c>
    </row>
    <row r="1609" spans="1:10" x14ac:dyDescent="0.45">
      <c r="A1609" s="1">
        <v>42521</v>
      </c>
      <c r="B1609">
        <v>49.1</v>
      </c>
      <c r="C1609">
        <v>1.4971000000000001</v>
      </c>
      <c r="D1609">
        <v>1.6133999999999999</v>
      </c>
      <c r="E1609" s="2">
        <f t="shared" si="1698"/>
        <v>17.034599999999994</v>
      </c>
      <c r="F1609" s="2">
        <f t="shared" si="1700"/>
        <v>17.549399999999991</v>
      </c>
      <c r="G1609" s="2">
        <f t="shared" si="1702"/>
        <v>17.154399999999999</v>
      </c>
      <c r="H1609" s="2">
        <f t="shared" si="1703"/>
        <v>-3.0361322786403022E-3</v>
      </c>
      <c r="I1609" s="2">
        <f t="shared" ref="I1609:J1609" si="1708">LN(C1608)-LN(C1607)</f>
        <v>-3.1253142438663617E-3</v>
      </c>
      <c r="J1609" s="2">
        <f t="shared" si="1708"/>
        <v>6.8004550636800998E-3</v>
      </c>
    </row>
    <row r="1610" spans="1:10" x14ac:dyDescent="0.45">
      <c r="A1610" s="1">
        <v>42522</v>
      </c>
      <c r="B1610">
        <v>49.01</v>
      </c>
      <c r="C1610">
        <v>1.4988999999999999</v>
      </c>
      <c r="D1610">
        <v>1.6153</v>
      </c>
      <c r="E1610" s="2">
        <f t="shared" si="1698"/>
        <v>17.203000000000003</v>
      </c>
      <c r="F1610" s="2">
        <f t="shared" si="1700"/>
        <v>17.034599999999994</v>
      </c>
      <c r="G1610" s="2">
        <f t="shared" si="1702"/>
        <v>17.549399999999991</v>
      </c>
      <c r="H1610" s="2">
        <f t="shared" si="1703"/>
        <v>-4.6733804451717376E-3</v>
      </c>
      <c r="I1610" s="2">
        <f t="shared" ref="I1610:J1610" si="1709">LN(C1609)-LN(C1608)</f>
        <v>-2.9347049675939596E-3</v>
      </c>
      <c r="J1610" s="2">
        <f t="shared" si="1709"/>
        <v>-1.5010124333213914E-2</v>
      </c>
    </row>
    <row r="1611" spans="1:10" x14ac:dyDescent="0.45">
      <c r="A1611" s="1">
        <v>42523</v>
      </c>
      <c r="B1611">
        <v>49.17</v>
      </c>
      <c r="C1611">
        <v>1.5087999999999999</v>
      </c>
      <c r="D1611">
        <v>1.6346000000000001</v>
      </c>
      <c r="E1611" s="2">
        <f t="shared" si="1698"/>
        <v>17.721999999999998</v>
      </c>
      <c r="F1611" s="2">
        <f t="shared" si="1700"/>
        <v>17.203000000000003</v>
      </c>
      <c r="G1611" s="2">
        <f t="shared" si="1702"/>
        <v>17.034599999999994</v>
      </c>
      <c r="H1611" s="2">
        <f t="shared" si="1703"/>
        <v>-1.8346758790186435E-3</v>
      </c>
      <c r="I1611" s="2">
        <f t="shared" ref="I1611:J1611" si="1710">LN(C1610)-LN(C1609)</f>
        <v>1.2016022807589954E-3</v>
      </c>
      <c r="J1611" s="2">
        <f t="shared" si="1710"/>
        <v>1.1769444168384102E-3</v>
      </c>
    </row>
    <row r="1612" spans="1:10" x14ac:dyDescent="0.45">
      <c r="A1612" s="1">
        <v>42524</v>
      </c>
      <c r="B1612">
        <v>48.62</v>
      </c>
      <c r="C1612">
        <v>1.4881</v>
      </c>
      <c r="D1612">
        <v>1.6074999999999999</v>
      </c>
      <c r="E1612" s="2">
        <f t="shared" si="1698"/>
        <v>17.223400000000009</v>
      </c>
      <c r="F1612" s="2">
        <f t="shared" si="1700"/>
        <v>17.721999999999998</v>
      </c>
      <c r="G1612" s="2">
        <f t="shared" si="1702"/>
        <v>17.203000000000003</v>
      </c>
      <c r="H1612" s="2">
        <f t="shared" si="1703"/>
        <v>3.2593225023918038E-3</v>
      </c>
      <c r="I1612" s="2">
        <f t="shared" ref="I1612:J1612" si="1711">LN(C1611)-LN(C1610)</f>
        <v>6.5831271426429749E-3</v>
      </c>
      <c r="J1612" s="2">
        <f t="shared" si="1711"/>
        <v>1.1877428162317016E-2</v>
      </c>
    </row>
    <row r="1613" spans="1:10" x14ac:dyDescent="0.45">
      <c r="A1613" s="1">
        <v>42527</v>
      </c>
      <c r="B1613">
        <v>49.69</v>
      </c>
      <c r="C1613">
        <v>1.5031000000000001</v>
      </c>
      <c r="D1613">
        <v>1.5887</v>
      </c>
      <c r="E1613" s="2">
        <f t="shared" si="1698"/>
        <v>15.836999999999998</v>
      </c>
      <c r="F1613" s="2">
        <f t="shared" si="1700"/>
        <v>17.223400000000009</v>
      </c>
      <c r="G1613" s="2">
        <f t="shared" si="1702"/>
        <v>17.721999999999998</v>
      </c>
      <c r="H1613" s="2">
        <f t="shared" si="1703"/>
        <v>-1.1248712535870897E-2</v>
      </c>
      <c r="I1613" s="2">
        <f t="shared" ref="I1613:J1613" si="1712">LN(C1612)-LN(C1611)</f>
        <v>-1.3814494443188441E-2</v>
      </c>
      <c r="J1613" s="2">
        <f t="shared" si="1712"/>
        <v>-1.671794897025497E-2</v>
      </c>
    </row>
    <row r="1614" spans="1:10" x14ac:dyDescent="0.45">
      <c r="A1614" s="1">
        <v>42528</v>
      </c>
      <c r="B1614">
        <v>50.36</v>
      </c>
      <c r="C1614">
        <v>1.5415000000000001</v>
      </c>
      <c r="D1614">
        <v>1.5871</v>
      </c>
      <c r="E1614" s="2">
        <f t="shared" si="1698"/>
        <v>15.659799999999999</v>
      </c>
      <c r="F1614" s="2">
        <f t="shared" si="1700"/>
        <v>15.836999999999998</v>
      </c>
      <c r="G1614" s="2">
        <f t="shared" si="1702"/>
        <v>17.223400000000009</v>
      </c>
      <c r="H1614" s="2">
        <f t="shared" si="1703"/>
        <v>2.1768736726251792E-2</v>
      </c>
      <c r="I1614" s="2">
        <f t="shared" ref="I1614:J1614" si="1713">LN(C1613)-LN(C1612)</f>
        <v>1.0029503703175957E-2</v>
      </c>
      <c r="J1614" s="2">
        <f t="shared" si="1713"/>
        <v>-1.1764105385796531E-2</v>
      </c>
    </row>
    <row r="1615" spans="1:10" x14ac:dyDescent="0.45">
      <c r="A1615" s="1">
        <v>42529</v>
      </c>
      <c r="B1615">
        <v>51.23</v>
      </c>
      <c r="C1615">
        <v>1.5705</v>
      </c>
      <c r="D1615">
        <v>1.6197999999999999</v>
      </c>
      <c r="E1615" s="2">
        <f t="shared" si="1698"/>
        <v>16.111400000000003</v>
      </c>
      <c r="F1615" s="2">
        <f t="shared" si="1700"/>
        <v>15.659799999999999</v>
      </c>
      <c r="G1615" s="2">
        <f t="shared" si="1702"/>
        <v>15.836999999999998</v>
      </c>
      <c r="H1615" s="2">
        <f t="shared" si="1703"/>
        <v>1.3393503561917264E-2</v>
      </c>
      <c r="I1615" s="2">
        <f t="shared" ref="I1615:J1615" si="1714">LN(C1614)-LN(C1613)</f>
        <v>2.5226326187024584E-2</v>
      </c>
      <c r="J1615" s="2">
        <f t="shared" si="1714"/>
        <v>-1.0076202124650324E-3</v>
      </c>
    </row>
    <row r="1616" spans="1:10" x14ac:dyDescent="0.45">
      <c r="A1616" s="1">
        <v>42530</v>
      </c>
      <c r="B1616">
        <v>50.56</v>
      </c>
      <c r="C1616">
        <v>1.5511999999999999</v>
      </c>
      <c r="D1616">
        <v>1.6186</v>
      </c>
      <c r="E1616" s="2">
        <f t="shared" si="1698"/>
        <v>16.477599999999995</v>
      </c>
      <c r="F1616" s="2">
        <f t="shared" si="1700"/>
        <v>16.111400000000003</v>
      </c>
      <c r="G1616" s="2">
        <f t="shared" si="1702"/>
        <v>15.659799999999999</v>
      </c>
      <c r="H1616" s="2">
        <f t="shared" si="1703"/>
        <v>1.7128088774964745E-2</v>
      </c>
      <c r="I1616" s="2">
        <f t="shared" ref="I1616:J1616" si="1715">LN(C1615)-LN(C1614)</f>
        <v>1.8638071652496147E-2</v>
      </c>
      <c r="J1616" s="2">
        <f t="shared" si="1715"/>
        <v>2.039423330137663E-2</v>
      </c>
    </row>
    <row r="1617" spans="1:10" x14ac:dyDescent="0.45">
      <c r="A1617" s="1">
        <v>42531</v>
      </c>
      <c r="B1617">
        <v>49.07</v>
      </c>
      <c r="C1617">
        <v>1.516</v>
      </c>
      <c r="D1617">
        <v>1.5596000000000001</v>
      </c>
      <c r="E1617" s="2">
        <f t="shared" si="1698"/>
        <v>15.822800000000001</v>
      </c>
      <c r="F1617" s="2">
        <f t="shared" si="1700"/>
        <v>16.477599999999995</v>
      </c>
      <c r="G1617" s="2">
        <f t="shared" si="1702"/>
        <v>16.111400000000003</v>
      </c>
      <c r="H1617" s="2">
        <f t="shared" si="1703"/>
        <v>-1.3164548112508889E-2</v>
      </c>
      <c r="I1617" s="2">
        <f t="shared" ref="I1617:J1617" si="1716">LN(C1616)-LN(C1615)</f>
        <v>-1.2365215050259226E-2</v>
      </c>
      <c r="J1617" s="2">
        <f t="shared" si="1716"/>
        <v>-7.4110675328792341E-4</v>
      </c>
    </row>
    <row r="1618" spans="1:10" x14ac:dyDescent="0.45">
      <c r="A1618" s="1">
        <v>42534</v>
      </c>
      <c r="B1618">
        <v>48.88</v>
      </c>
      <c r="C1618">
        <v>1.5145</v>
      </c>
      <c r="D1618">
        <v>1.5362</v>
      </c>
      <c r="E1618" s="2">
        <f t="shared" si="1698"/>
        <v>15.336599999999985</v>
      </c>
      <c r="F1618" s="2">
        <f t="shared" si="1700"/>
        <v>15.822800000000001</v>
      </c>
      <c r="G1618" s="2">
        <f t="shared" si="1702"/>
        <v>16.477599999999995</v>
      </c>
      <c r="H1618" s="2">
        <f t="shared" si="1703"/>
        <v>-2.99128997367899E-2</v>
      </c>
      <c r="I1618" s="2">
        <f t="shared" ref="I1618:J1618" si="1717">LN(C1617)-LN(C1616)</f>
        <v>-2.2953537726125017E-2</v>
      </c>
      <c r="J1618" s="2">
        <f t="shared" si="1717"/>
        <v>-3.7132199953159195E-2</v>
      </c>
    </row>
    <row r="1619" spans="1:10" x14ac:dyDescent="0.45">
      <c r="A1619" s="1">
        <v>42535</v>
      </c>
      <c r="B1619">
        <v>48.49</v>
      </c>
      <c r="C1619">
        <v>1.502</v>
      </c>
      <c r="D1619">
        <v>1.5213000000000001</v>
      </c>
      <c r="E1619" s="2">
        <f t="shared" si="1698"/>
        <v>15.134399999999999</v>
      </c>
      <c r="F1619" s="2">
        <f t="shared" si="1700"/>
        <v>15.336599999999985</v>
      </c>
      <c r="G1619" s="2">
        <f t="shared" si="1702"/>
        <v>15.822800000000001</v>
      </c>
      <c r="H1619" s="2">
        <f t="shared" si="1703"/>
        <v>-3.879535238472176E-3</v>
      </c>
      <c r="I1619" s="2">
        <f t="shared" ref="I1619:J1619" si="1718">LN(C1618)-LN(C1617)</f>
        <v>-9.8993573502503818E-4</v>
      </c>
      <c r="J1619" s="2">
        <f t="shared" si="1718"/>
        <v>-1.5117543543860745E-2</v>
      </c>
    </row>
    <row r="1620" spans="1:10" x14ac:dyDescent="0.45">
      <c r="A1620" s="1">
        <v>42536</v>
      </c>
      <c r="B1620">
        <v>48.01</v>
      </c>
      <c r="C1620">
        <v>1.4778</v>
      </c>
      <c r="D1620">
        <v>1.5152000000000001</v>
      </c>
      <c r="E1620" s="2">
        <f t="shared" si="1698"/>
        <v>15.104800000000003</v>
      </c>
      <c r="F1620" s="2">
        <f t="shared" si="1700"/>
        <v>15.134399999999999</v>
      </c>
      <c r="G1620" s="2">
        <f t="shared" si="1702"/>
        <v>15.336599999999985</v>
      </c>
      <c r="H1620" s="2">
        <f t="shared" si="1703"/>
        <v>-8.0107237460791403E-3</v>
      </c>
      <c r="I1620" s="2">
        <f t="shared" ref="I1620:J1620" si="1719">LN(C1619)-LN(C1618)</f>
        <v>-8.2877981432118997E-3</v>
      </c>
      <c r="J1620" s="2">
        <f t="shared" si="1719"/>
        <v>-9.7466020954984356E-3</v>
      </c>
    </row>
    <row r="1621" spans="1:10" x14ac:dyDescent="0.45">
      <c r="A1621" s="1">
        <v>42537</v>
      </c>
      <c r="B1621">
        <v>46.21</v>
      </c>
      <c r="C1621">
        <v>1.4229000000000001</v>
      </c>
      <c r="D1621">
        <v>1.4784999999999999</v>
      </c>
      <c r="E1621" s="2">
        <f t="shared" si="1698"/>
        <v>15.108599999999996</v>
      </c>
      <c r="F1621" s="2">
        <f t="shared" si="1700"/>
        <v>15.104800000000003</v>
      </c>
      <c r="G1621" s="2">
        <f t="shared" si="1702"/>
        <v>15.134399999999999</v>
      </c>
      <c r="H1621" s="2">
        <f t="shared" si="1703"/>
        <v>-9.9482685744121113E-3</v>
      </c>
      <c r="I1621" s="2">
        <f t="shared" ref="I1621:J1621" si="1720">LN(C1620)-LN(C1619)</f>
        <v>-1.6243057969532848E-2</v>
      </c>
      <c r="J1621" s="2">
        <f t="shared" si="1720"/>
        <v>-4.0177890372692926E-3</v>
      </c>
    </row>
    <row r="1622" spans="1:10" x14ac:dyDescent="0.45">
      <c r="A1622" s="1">
        <v>42538</v>
      </c>
      <c r="B1622">
        <v>48.56</v>
      </c>
      <c r="C1622">
        <v>1.4817</v>
      </c>
      <c r="D1622">
        <v>1.5053000000000001</v>
      </c>
      <c r="E1622" s="2">
        <f t="shared" si="1698"/>
        <v>14.3322</v>
      </c>
      <c r="F1622" s="2">
        <f t="shared" si="1700"/>
        <v>15.108599999999996</v>
      </c>
      <c r="G1622" s="2">
        <f t="shared" si="1702"/>
        <v>15.104800000000003</v>
      </c>
      <c r="H1622" s="2">
        <f t="shared" si="1703"/>
        <v>-3.8213097660673601E-2</v>
      </c>
      <c r="I1622" s="2">
        <f t="shared" ref="I1622:J1622" si="1721">LN(C1621)-LN(C1620)</f>
        <v>-3.7857452802901481E-2</v>
      </c>
      <c r="J1622" s="2">
        <f t="shared" si="1721"/>
        <v>-2.4519383139281981E-2</v>
      </c>
    </row>
    <row r="1623" spans="1:10" x14ac:dyDescent="0.45">
      <c r="A1623" s="1">
        <v>42541</v>
      </c>
      <c r="B1623">
        <v>49.96</v>
      </c>
      <c r="C1623">
        <v>1.5274000000000001</v>
      </c>
      <c r="D1623">
        <v>1.5953999999999999</v>
      </c>
      <c r="E1623" s="2">
        <f t="shared" si="1698"/>
        <v>16.094800000000003</v>
      </c>
      <c r="F1623" s="2">
        <f t="shared" si="1700"/>
        <v>14.3322</v>
      </c>
      <c r="G1623" s="2">
        <f t="shared" si="1702"/>
        <v>15.108599999999996</v>
      </c>
      <c r="H1623" s="2">
        <f t="shared" si="1703"/>
        <v>4.9603921869067591E-2</v>
      </c>
      <c r="I1623" s="2">
        <f t="shared" ref="I1623:J1623" si="1722">LN(C1622)-LN(C1621)</f>
        <v>4.0493034663043104E-2</v>
      </c>
      <c r="J1623" s="2">
        <f t="shared" si="1722"/>
        <v>1.7964153573926445E-2</v>
      </c>
    </row>
    <row r="1624" spans="1:10" x14ac:dyDescent="0.45">
      <c r="A1624" s="1">
        <v>42542</v>
      </c>
      <c r="B1624">
        <v>49.85</v>
      </c>
      <c r="C1624">
        <v>1.5263</v>
      </c>
      <c r="D1624">
        <v>1.6033999999999999</v>
      </c>
      <c r="E1624" s="2">
        <f t="shared" si="1698"/>
        <v>16.413399999999996</v>
      </c>
      <c r="F1624" s="2">
        <f t="shared" si="1700"/>
        <v>16.094800000000003</v>
      </c>
      <c r="G1624" s="2">
        <f t="shared" si="1702"/>
        <v>14.3322</v>
      </c>
      <c r="H1624" s="2">
        <f t="shared" si="1703"/>
        <v>2.8422538506134298E-2</v>
      </c>
      <c r="I1624" s="2">
        <f t="shared" ref="I1624:J1624" si="1723">LN(C1623)-LN(C1622)</f>
        <v>3.0376866239594957E-2</v>
      </c>
      <c r="J1624" s="2">
        <f t="shared" si="1723"/>
        <v>5.8132274610570744E-2</v>
      </c>
    </row>
    <row r="1625" spans="1:10" x14ac:dyDescent="0.45">
      <c r="A1625" s="1">
        <v>42543</v>
      </c>
      <c r="B1625">
        <v>49.13</v>
      </c>
      <c r="C1625">
        <v>1.5153000000000001</v>
      </c>
      <c r="D1625">
        <v>1.5948</v>
      </c>
      <c r="E1625" s="2">
        <f t="shared" si="1698"/>
        <v>16.738599999999991</v>
      </c>
      <c r="F1625" s="2">
        <f t="shared" si="1700"/>
        <v>16.413399999999996</v>
      </c>
      <c r="G1625" s="2">
        <f t="shared" si="1702"/>
        <v>16.094800000000003</v>
      </c>
      <c r="H1625" s="2">
        <f t="shared" si="1703"/>
        <v>-2.2041888495296647E-3</v>
      </c>
      <c r="I1625" s="2">
        <f t="shared" ref="I1625:J1625" si="1724">LN(C1624)-LN(C1623)</f>
        <v>-7.2043753320749637E-4</v>
      </c>
      <c r="J1625" s="2">
        <f t="shared" si="1724"/>
        <v>5.0018861318221197E-3</v>
      </c>
    </row>
    <row r="1626" spans="1:10" x14ac:dyDescent="0.45">
      <c r="A1626" s="1">
        <v>42544</v>
      </c>
      <c r="B1626">
        <v>50.11</v>
      </c>
      <c r="C1626">
        <v>1.5317000000000001</v>
      </c>
      <c r="D1626">
        <v>1.6115999999999999</v>
      </c>
      <c r="E1626" s="2">
        <f t="shared" si="1698"/>
        <v>16.458600000000001</v>
      </c>
      <c r="F1626" s="2">
        <f t="shared" si="1700"/>
        <v>16.738599999999991</v>
      </c>
      <c r="G1626" s="2">
        <f t="shared" si="1702"/>
        <v>16.413399999999996</v>
      </c>
      <c r="H1626" s="2">
        <f t="shared" si="1703"/>
        <v>-1.4548650227290238E-2</v>
      </c>
      <c r="I1626" s="2">
        <f t="shared" ref="I1626:J1626" si="1725">LN(C1625)-LN(C1624)</f>
        <v>-7.2330667789596292E-3</v>
      </c>
      <c r="J1626" s="2">
        <f t="shared" si="1725"/>
        <v>-5.3780381016512169E-3</v>
      </c>
    </row>
    <row r="1627" spans="1:10" x14ac:dyDescent="0.45">
      <c r="A1627" s="1">
        <v>42545</v>
      </c>
      <c r="B1627">
        <v>47.64</v>
      </c>
      <c r="C1627">
        <v>1.4684999999999999</v>
      </c>
      <c r="D1627">
        <v>1.5338000000000001</v>
      </c>
      <c r="E1627" s="2">
        <f t="shared" si="1698"/>
        <v>15.865399999999994</v>
      </c>
      <c r="F1627" s="2">
        <f t="shared" si="1700"/>
        <v>16.458600000000001</v>
      </c>
      <c r="G1627" s="2">
        <f t="shared" si="1702"/>
        <v>16.738599999999991</v>
      </c>
      <c r="H1627" s="2">
        <f t="shared" si="1703"/>
        <v>1.9750742791075915E-2</v>
      </c>
      <c r="I1627" s="2">
        <f t="shared" ref="I1627:J1627" si="1726">LN(C1626)-LN(C1625)</f>
        <v>1.0764790528391688E-2</v>
      </c>
      <c r="J1627" s="2">
        <f t="shared" si="1726"/>
        <v>1.0479137809992156E-2</v>
      </c>
    </row>
    <row r="1628" spans="1:10" x14ac:dyDescent="0.45">
      <c r="A1628" s="1">
        <v>42548</v>
      </c>
      <c r="B1628">
        <v>46.33</v>
      </c>
      <c r="C1628">
        <v>1.4417</v>
      </c>
      <c r="D1628">
        <v>1.4863999999999999</v>
      </c>
      <c r="E1628" s="2">
        <f t="shared" si="1698"/>
        <v>15.472999999999994</v>
      </c>
      <c r="F1628" s="2">
        <f t="shared" si="1700"/>
        <v>15.865399999999994</v>
      </c>
      <c r="G1628" s="2">
        <f t="shared" si="1702"/>
        <v>16.458600000000001</v>
      </c>
      <c r="H1628" s="2">
        <f t="shared" si="1703"/>
        <v>-5.0547844484533755E-2</v>
      </c>
      <c r="I1628" s="2">
        <f t="shared" ref="I1628:J1628" si="1727">LN(C1627)-LN(C1626)</f>
        <v>-4.2136758031833643E-2</v>
      </c>
      <c r="J1628" s="2">
        <f t="shared" si="1727"/>
        <v>-4.9479157986433209E-2</v>
      </c>
    </row>
    <row r="1629" spans="1:10" x14ac:dyDescent="0.45">
      <c r="A1629" s="1">
        <v>42549</v>
      </c>
      <c r="B1629">
        <v>47.85</v>
      </c>
      <c r="C1629">
        <v>1.484</v>
      </c>
      <c r="D1629">
        <v>1.5199</v>
      </c>
      <c r="E1629" s="2">
        <f t="shared" si="1698"/>
        <v>15.483199999999991</v>
      </c>
      <c r="F1629" s="2">
        <f t="shared" si="1700"/>
        <v>15.472999999999994</v>
      </c>
      <c r="G1629" s="2">
        <f t="shared" si="1702"/>
        <v>15.865399999999994</v>
      </c>
      <c r="H1629" s="2">
        <f t="shared" si="1703"/>
        <v>-2.7883045058542333E-2</v>
      </c>
      <c r="I1629" s="2">
        <f t="shared" ref="I1629:J1629" si="1728">LN(C1628)-LN(C1627)</f>
        <v>-1.8418498820816642E-2</v>
      </c>
      <c r="J1629" s="2">
        <f t="shared" si="1728"/>
        <v>-3.1391227271184874E-2</v>
      </c>
    </row>
    <row r="1630" spans="1:10" x14ac:dyDescent="0.45">
      <c r="A1630" s="1">
        <v>42550</v>
      </c>
      <c r="B1630">
        <v>49.88</v>
      </c>
      <c r="C1630">
        <v>1.5463</v>
      </c>
      <c r="D1630">
        <v>1.5383</v>
      </c>
      <c r="E1630" s="2">
        <f t="shared" si="1698"/>
        <v>14.840599999999986</v>
      </c>
      <c r="F1630" s="2">
        <f t="shared" si="1700"/>
        <v>15.483199999999991</v>
      </c>
      <c r="G1630" s="2">
        <f t="shared" si="1702"/>
        <v>15.472999999999994</v>
      </c>
      <c r="H1630" s="2">
        <f t="shared" si="1703"/>
        <v>3.2281418470406553E-2</v>
      </c>
      <c r="I1630" s="2">
        <f t="shared" ref="I1630:J1630" si="1729">LN(C1629)-LN(C1628)</f>
        <v>2.891817190946766E-2</v>
      </c>
      <c r="J1630" s="2">
        <f t="shared" si="1729"/>
        <v>2.2287454142841501E-2</v>
      </c>
    </row>
    <row r="1631" spans="1:10" x14ac:dyDescent="0.45">
      <c r="A1631" s="1">
        <v>42551</v>
      </c>
      <c r="B1631">
        <v>48.33</v>
      </c>
      <c r="C1631">
        <v>1.4886999999999999</v>
      </c>
      <c r="D1631">
        <v>1.5013000000000001</v>
      </c>
      <c r="E1631" s="2">
        <f t="shared" si="1698"/>
        <v>14.5482</v>
      </c>
      <c r="F1631" s="2">
        <f t="shared" si="1700"/>
        <v>14.840599999999986</v>
      </c>
      <c r="G1631" s="2">
        <f t="shared" si="1702"/>
        <v>15.483199999999991</v>
      </c>
      <c r="H1631" s="2">
        <f t="shared" si="1703"/>
        <v>4.1549002912872446E-2</v>
      </c>
      <c r="I1631" s="2">
        <f t="shared" ref="I1631:J1631" si="1730">LN(C1630)-LN(C1629)</f>
        <v>4.112383575405909E-2</v>
      </c>
      <c r="J1631" s="2">
        <f t="shared" si="1730"/>
        <v>1.2033367359289837E-2</v>
      </c>
    </row>
    <row r="1632" spans="1:10" x14ac:dyDescent="0.45">
      <c r="A1632" s="1">
        <v>42552</v>
      </c>
      <c r="B1632">
        <v>48.99</v>
      </c>
      <c r="C1632">
        <v>1.5115000000000001</v>
      </c>
      <c r="D1632">
        <v>1.5135000000000001</v>
      </c>
      <c r="E1632" s="2">
        <f t="shared" si="1698"/>
        <v>14.549000000000007</v>
      </c>
      <c r="F1632" s="2">
        <f t="shared" si="1700"/>
        <v>14.5482</v>
      </c>
      <c r="G1632" s="2">
        <f t="shared" si="1702"/>
        <v>14.840599999999986</v>
      </c>
      <c r="H1632" s="2">
        <f t="shared" si="1703"/>
        <v>-3.1567634954843271E-2</v>
      </c>
      <c r="I1632" s="2">
        <f t="shared" ref="I1632:J1632" si="1731">LN(C1631)-LN(C1630)</f>
        <v>-3.7961724598373325E-2</v>
      </c>
      <c r="J1632" s="2">
        <f t="shared" si="1731"/>
        <v>-2.4346511143446103E-2</v>
      </c>
    </row>
    <row r="1633" spans="1:10" x14ac:dyDescent="0.45">
      <c r="A1633" s="1">
        <v>42556</v>
      </c>
      <c r="B1633">
        <v>46.6</v>
      </c>
      <c r="C1633">
        <v>1.4456</v>
      </c>
      <c r="D1633">
        <v>1.4287000000000001</v>
      </c>
      <c r="E1633" s="2">
        <f t="shared" si="1698"/>
        <v>13.641999999999996</v>
      </c>
      <c r="F1633" s="2">
        <f t="shared" si="1700"/>
        <v>14.549000000000007</v>
      </c>
      <c r="G1633" s="2">
        <f t="shared" si="1702"/>
        <v>14.5482</v>
      </c>
      <c r="H1633" s="2">
        <f t="shared" si="1703"/>
        <v>1.3563709793490641E-2</v>
      </c>
      <c r="I1633" s="2">
        <f t="shared" ref="I1633:J1633" si="1732">LN(C1632)-LN(C1631)</f>
        <v>1.5199279336501281E-2</v>
      </c>
      <c r="J1633" s="2">
        <f t="shared" si="1732"/>
        <v>8.0934500435140833E-3</v>
      </c>
    </row>
    <row r="1634" spans="1:10" x14ac:dyDescent="0.45">
      <c r="A1634" s="1">
        <v>42557</v>
      </c>
      <c r="B1634">
        <v>47.43</v>
      </c>
      <c r="C1634">
        <v>1.4711000000000001</v>
      </c>
      <c r="D1634">
        <v>1.4329000000000001</v>
      </c>
      <c r="E1634" s="2">
        <f t="shared" si="1698"/>
        <v>13.286600000000002</v>
      </c>
      <c r="F1634" s="2">
        <f t="shared" si="1700"/>
        <v>13.641999999999996</v>
      </c>
      <c r="G1634" s="2">
        <f t="shared" si="1702"/>
        <v>14.549000000000007</v>
      </c>
      <c r="H1634" s="2">
        <f t="shared" si="1703"/>
        <v>-5.0015654518883235E-2</v>
      </c>
      <c r="I1634" s="2">
        <f t="shared" ref="I1634:J1634" si="1733">LN(C1633)-LN(C1632)</f>
        <v>-4.4578074941494017E-2</v>
      </c>
      <c r="J1634" s="2">
        <f t="shared" si="1733"/>
        <v>-5.7659909590660918E-2</v>
      </c>
    </row>
    <row r="1635" spans="1:10" x14ac:dyDescent="0.45">
      <c r="A1635" s="1">
        <v>42558</v>
      </c>
      <c r="B1635">
        <v>45.14</v>
      </c>
      <c r="C1635">
        <v>1.4106000000000001</v>
      </c>
      <c r="D1635">
        <v>1.3631</v>
      </c>
      <c r="E1635" s="2">
        <f t="shared" si="1698"/>
        <v>12.775199999999993</v>
      </c>
      <c r="F1635" s="2">
        <f t="shared" si="1700"/>
        <v>13.286600000000002</v>
      </c>
      <c r="G1635" s="2">
        <f t="shared" si="1702"/>
        <v>13.641999999999996</v>
      </c>
      <c r="H1635" s="2">
        <f t="shared" si="1703"/>
        <v>1.76543987578901E-2</v>
      </c>
      <c r="I1635" s="2">
        <f t="shared" ref="I1635:J1635" si="1734">LN(C1634)-LN(C1633)</f>
        <v>1.7485959978147392E-2</v>
      </c>
      <c r="J1635" s="2">
        <f t="shared" si="1734"/>
        <v>2.9354228514447689E-3</v>
      </c>
    </row>
    <row r="1636" spans="1:10" x14ac:dyDescent="0.45">
      <c r="A1636" s="1">
        <v>42559</v>
      </c>
      <c r="B1636">
        <v>45.41</v>
      </c>
      <c r="C1636">
        <v>1.4123000000000001</v>
      </c>
      <c r="D1636">
        <v>1.3708</v>
      </c>
      <c r="E1636" s="2">
        <f t="shared" si="1698"/>
        <v>12.7446</v>
      </c>
      <c r="F1636" s="2">
        <f t="shared" si="1700"/>
        <v>12.775199999999993</v>
      </c>
      <c r="G1636" s="2">
        <f t="shared" si="1702"/>
        <v>13.286600000000002</v>
      </c>
      <c r="H1636" s="2">
        <f t="shared" si="1703"/>
        <v>-4.9486168500100458E-2</v>
      </c>
      <c r="I1636" s="2">
        <f t="shared" ref="I1636:J1636" si="1735">LN(C1635)-LN(C1634)</f>
        <v>-4.1995274482087286E-2</v>
      </c>
      <c r="J1636" s="2">
        <f t="shared" si="1735"/>
        <v>-4.9938845145759858E-2</v>
      </c>
    </row>
    <row r="1637" spans="1:10" x14ac:dyDescent="0.45">
      <c r="A1637" s="1">
        <v>42562</v>
      </c>
      <c r="B1637">
        <v>44.76</v>
      </c>
      <c r="C1637">
        <v>1.4162999999999999</v>
      </c>
      <c r="D1637">
        <v>1.3835</v>
      </c>
      <c r="E1637" s="2">
        <f t="shared" si="1698"/>
        <v>13.806199999999999</v>
      </c>
      <c r="F1637" s="2">
        <f t="shared" si="1700"/>
        <v>12.7446</v>
      </c>
      <c r="G1637" s="2">
        <f t="shared" si="1702"/>
        <v>12.775199999999993</v>
      </c>
      <c r="H1637" s="2">
        <f t="shared" si="1703"/>
        <v>5.9635737204697392E-3</v>
      </c>
      <c r="I1637" s="2">
        <f t="shared" ref="I1637:J1637" si="1736">LN(C1636)-LN(C1635)</f>
        <v>1.2044353009393327E-3</v>
      </c>
      <c r="J1637" s="2">
        <f t="shared" si="1736"/>
        <v>5.6329934236564183E-3</v>
      </c>
    </row>
    <row r="1638" spans="1:10" x14ac:dyDescent="0.45">
      <c r="A1638" s="1">
        <v>42563</v>
      </c>
      <c r="B1638">
        <v>46.8</v>
      </c>
      <c r="C1638">
        <v>1.4632000000000001</v>
      </c>
      <c r="D1638">
        <v>1.4300999999999999</v>
      </c>
      <c r="E1638" s="2">
        <f t="shared" si="1698"/>
        <v>13.727600000000004</v>
      </c>
      <c r="F1638" s="2">
        <f t="shared" si="1700"/>
        <v>13.806199999999999</v>
      </c>
      <c r="G1638" s="2">
        <f t="shared" si="1702"/>
        <v>12.7446</v>
      </c>
      <c r="H1638" s="2">
        <f t="shared" si="1703"/>
        <v>-1.4417461666135001E-2</v>
      </c>
      <c r="I1638" s="2">
        <f t="shared" ref="I1638:J1638" si="1737">LN(C1637)-LN(C1636)</f>
        <v>2.8282561453324973E-3</v>
      </c>
      <c r="J1638" s="2">
        <f t="shared" si="1737"/>
        <v>9.2220092265267728E-3</v>
      </c>
    </row>
    <row r="1639" spans="1:10" x14ac:dyDescent="0.45">
      <c r="A1639" s="1">
        <v>42564</v>
      </c>
      <c r="B1639">
        <v>44.75</v>
      </c>
      <c r="C1639">
        <v>1.3809</v>
      </c>
      <c r="D1639">
        <v>1.3784000000000001</v>
      </c>
      <c r="E1639" s="2">
        <f t="shared" si="1698"/>
        <v>13.1778</v>
      </c>
      <c r="F1639" s="2">
        <f t="shared" si="1700"/>
        <v>13.727600000000004</v>
      </c>
      <c r="G1639" s="2">
        <f t="shared" si="1702"/>
        <v>13.806199999999999</v>
      </c>
      <c r="H1639" s="2">
        <f t="shared" si="1703"/>
        <v>4.4568319479876717E-2</v>
      </c>
      <c r="I1639" s="2">
        <f t="shared" ref="I1639:J1639" si="1738">LN(C1638)-LN(C1637)</f>
        <v>3.2577980856305311E-2</v>
      </c>
      <c r="J1639" s="2">
        <f t="shared" si="1738"/>
        <v>3.3127851651909068E-2</v>
      </c>
    </row>
    <row r="1640" spans="1:10" x14ac:dyDescent="0.45">
      <c r="A1640" s="1">
        <v>42565</v>
      </c>
      <c r="B1640">
        <v>45.68</v>
      </c>
      <c r="C1640">
        <v>1.4064000000000001</v>
      </c>
      <c r="D1640">
        <v>1.4139999999999999</v>
      </c>
      <c r="E1640" s="2">
        <f t="shared" si="1698"/>
        <v>13.601599999999999</v>
      </c>
      <c r="F1640" s="2">
        <f t="shared" si="1700"/>
        <v>13.1778</v>
      </c>
      <c r="G1640" s="2">
        <f t="shared" si="1702"/>
        <v>13.727600000000004</v>
      </c>
      <c r="H1640" s="2">
        <f t="shared" si="1703"/>
        <v>-4.479175820273662E-2</v>
      </c>
      <c r="I1640" s="2">
        <f t="shared" ref="I1640:J1640" si="1739">LN(C1639)-LN(C1638)</f>
        <v>-5.7890357585350549E-2</v>
      </c>
      <c r="J1640" s="2">
        <f t="shared" si="1739"/>
        <v>-3.682096566516968E-2</v>
      </c>
    </row>
    <row r="1641" spans="1:10" x14ac:dyDescent="0.45">
      <c r="A1641" s="1">
        <v>42566</v>
      </c>
      <c r="B1641">
        <v>45.95</v>
      </c>
      <c r="C1641">
        <v>1.3974</v>
      </c>
      <c r="D1641">
        <v>1.4219999999999999</v>
      </c>
      <c r="E1641" s="2">
        <f t="shared" si="1698"/>
        <v>13.429599999999994</v>
      </c>
      <c r="F1641" s="2">
        <f t="shared" si="1700"/>
        <v>13.601599999999999</v>
      </c>
      <c r="G1641" s="2">
        <f t="shared" si="1702"/>
        <v>13.1778</v>
      </c>
      <c r="H1641" s="2">
        <f t="shared" si="1703"/>
        <v>2.0569120626890314E-2</v>
      </c>
      <c r="I1641" s="2">
        <f t="shared" ref="I1641:J1641" si="1740">LN(C1640)-LN(C1639)</f>
        <v>1.8297787439607138E-2</v>
      </c>
      <c r="J1641" s="2">
        <f t="shared" si="1740"/>
        <v>2.5499161242798052E-2</v>
      </c>
    </row>
    <row r="1642" spans="1:10" x14ac:dyDescent="0.45">
      <c r="A1642" s="1">
        <v>42569</v>
      </c>
      <c r="B1642">
        <v>45.94</v>
      </c>
      <c r="C1642">
        <v>1.3777999999999999</v>
      </c>
      <c r="D1642">
        <v>1.3872</v>
      </c>
      <c r="E1642" s="2">
        <f t="shared" si="1698"/>
        <v>12.190800000000005</v>
      </c>
      <c r="F1642" s="2">
        <f t="shared" si="1700"/>
        <v>13.429599999999994</v>
      </c>
      <c r="G1642" s="2">
        <f t="shared" si="1702"/>
        <v>13.601599999999999</v>
      </c>
      <c r="H1642" s="2">
        <f t="shared" si="1703"/>
        <v>5.8932834539411338E-3</v>
      </c>
      <c r="I1642" s="2">
        <f t="shared" ref="I1642:J1642" si="1741">LN(C1641)-LN(C1640)</f>
        <v>-6.4198808125622842E-3</v>
      </c>
      <c r="J1642" s="2">
        <f t="shared" si="1741"/>
        <v>5.6417639066681513E-3</v>
      </c>
    </row>
    <row r="1643" spans="1:10" x14ac:dyDescent="0.45">
      <c r="A1643" s="1">
        <v>42570</v>
      </c>
      <c r="B1643">
        <v>45.45</v>
      </c>
      <c r="C1643">
        <v>1.4097999999999999</v>
      </c>
      <c r="D1643">
        <v>1.3852</v>
      </c>
      <c r="E1643" s="2">
        <f t="shared" si="1698"/>
        <v>13.072799999999992</v>
      </c>
      <c r="F1643" s="2">
        <f t="shared" si="1700"/>
        <v>12.190800000000005</v>
      </c>
      <c r="G1643" s="2">
        <f t="shared" si="1702"/>
        <v>13.429599999999994</v>
      </c>
      <c r="H1643" s="2">
        <f t="shared" si="1703"/>
        <v>-2.1765154074371296E-4</v>
      </c>
      <c r="I1643" s="2">
        <f t="shared" ref="I1643:J1643" si="1742">LN(C1642)-LN(C1641)</f>
        <v>-1.4125342959254883E-2</v>
      </c>
      <c r="J1643" s="2">
        <f t="shared" si="1742"/>
        <v>-2.477700433690877E-2</v>
      </c>
    </row>
    <row r="1644" spans="1:10" x14ac:dyDescent="0.45">
      <c r="A1644" s="1">
        <v>42571</v>
      </c>
      <c r="B1644">
        <v>45.75</v>
      </c>
      <c r="C1644">
        <v>1.4314</v>
      </c>
      <c r="D1644">
        <v>1.373</v>
      </c>
      <c r="E1644" s="2">
        <f t="shared" si="1698"/>
        <v>12.733599999999996</v>
      </c>
      <c r="F1644" s="2">
        <f t="shared" si="1700"/>
        <v>13.072799999999992</v>
      </c>
      <c r="G1644" s="2">
        <f t="shared" si="1702"/>
        <v>12.190800000000005</v>
      </c>
      <c r="H1644" s="2">
        <f t="shared" si="1703"/>
        <v>-1.0723376637464366E-2</v>
      </c>
      <c r="I1644" s="2">
        <f t="shared" ref="I1644:J1644" si="1743">LN(C1643)-LN(C1642)</f>
        <v>2.2959826180679765E-2</v>
      </c>
      <c r="J1644" s="2">
        <f t="shared" si="1743"/>
        <v>-1.442793498010464E-3</v>
      </c>
    </row>
    <row r="1645" spans="1:10" x14ac:dyDescent="0.45">
      <c r="A1645" s="1">
        <v>42572</v>
      </c>
      <c r="B1645">
        <v>44.75</v>
      </c>
      <c r="C1645">
        <v>1.3976</v>
      </c>
      <c r="D1645">
        <v>1.3613999999999999</v>
      </c>
      <c r="E1645" s="2">
        <f t="shared" si="1698"/>
        <v>12.935599999999994</v>
      </c>
      <c r="F1645" s="2">
        <f t="shared" si="1700"/>
        <v>12.733599999999996</v>
      </c>
      <c r="G1645" s="2">
        <f t="shared" si="1702"/>
        <v>13.072799999999992</v>
      </c>
      <c r="H1645" s="2">
        <f t="shared" si="1703"/>
        <v>6.5789710980421745E-3</v>
      </c>
      <c r="I1645" s="2">
        <f t="shared" ref="I1645:J1645" si="1744">LN(C1644)-LN(C1643)</f>
        <v>1.520513596472195E-2</v>
      </c>
      <c r="J1645" s="2">
        <f t="shared" si="1744"/>
        <v>-8.8464067602958552E-3</v>
      </c>
    </row>
    <row r="1646" spans="1:10" x14ac:dyDescent="0.45">
      <c r="A1646" s="1">
        <v>42573</v>
      </c>
      <c r="B1646">
        <v>44.19</v>
      </c>
      <c r="C1646">
        <v>1.3825000000000001</v>
      </c>
      <c r="D1646">
        <v>1.3614999999999999</v>
      </c>
      <c r="E1646" s="2">
        <f t="shared" si="1698"/>
        <v>13.287000000000006</v>
      </c>
      <c r="F1646" s="2">
        <f t="shared" si="1700"/>
        <v>12.935599999999994</v>
      </c>
      <c r="G1646" s="2">
        <f t="shared" si="1702"/>
        <v>12.733599999999996</v>
      </c>
      <c r="H1646" s="2">
        <f t="shared" si="1703"/>
        <v>-2.2100347000665543E-2</v>
      </c>
      <c r="I1646" s="2">
        <f t="shared" ref="I1646:J1646" si="1745">LN(C1645)-LN(C1644)</f>
        <v>-2.3896506484650359E-2</v>
      </c>
      <c r="J1646" s="2">
        <f t="shared" si="1745"/>
        <v>-8.484544754120027E-3</v>
      </c>
    </row>
    <row r="1647" spans="1:10" x14ac:dyDescent="0.45">
      <c r="A1647" s="1">
        <v>42576</v>
      </c>
      <c r="B1647">
        <v>43.13</v>
      </c>
      <c r="C1647">
        <v>1.3502000000000001</v>
      </c>
      <c r="D1647">
        <v>1.3334999999999999</v>
      </c>
      <c r="E1647" s="2">
        <f t="shared" si="1698"/>
        <v>13.110799999999992</v>
      </c>
      <c r="F1647" s="2">
        <f t="shared" si="1700"/>
        <v>13.287000000000006</v>
      </c>
      <c r="G1647" s="2">
        <f t="shared" si="1702"/>
        <v>12.935599999999994</v>
      </c>
      <c r="H1647" s="2">
        <f t="shared" si="1703"/>
        <v>-1.2592925578216008E-2</v>
      </c>
      <c r="I1647" s="2">
        <f t="shared" ref="I1647:J1647" si="1746">LN(C1646)-LN(C1645)</f>
        <v>-1.0863025423356876E-2</v>
      </c>
      <c r="J1647" s="2">
        <f t="shared" si="1746"/>
        <v>7.3451099963206534E-5</v>
      </c>
    </row>
    <row r="1648" spans="1:10" x14ac:dyDescent="0.45">
      <c r="A1648" s="1">
        <v>42577</v>
      </c>
      <c r="B1648">
        <v>42.92</v>
      </c>
      <c r="C1648">
        <v>1.3529</v>
      </c>
      <c r="D1648">
        <v>1.3435999999999999</v>
      </c>
      <c r="E1648" s="2">
        <f t="shared" si="1698"/>
        <v>13.641399999999996</v>
      </c>
      <c r="F1648" s="2">
        <f t="shared" si="1700"/>
        <v>13.110799999999992</v>
      </c>
      <c r="G1648" s="2">
        <f t="shared" si="1702"/>
        <v>13.287000000000006</v>
      </c>
      <c r="H1648" s="2">
        <f t="shared" si="1703"/>
        <v>-2.4279708482896734E-2</v>
      </c>
      <c r="I1648" s="2">
        <f t="shared" ref="I1648:J1648" si="1747">LN(C1647)-LN(C1646)</f>
        <v>-2.3640724788719758E-2</v>
      </c>
      <c r="J1648" s="2">
        <f t="shared" si="1747"/>
        <v>-2.0779968491745349E-2</v>
      </c>
    </row>
    <row r="1649" spans="1:10" x14ac:dyDescent="0.45">
      <c r="A1649" s="1">
        <v>42578</v>
      </c>
      <c r="B1649">
        <v>41.92</v>
      </c>
      <c r="C1649">
        <v>1.3229</v>
      </c>
      <c r="D1649">
        <v>1.3171999999999999</v>
      </c>
      <c r="E1649" s="2">
        <f t="shared" si="1698"/>
        <v>13.482199999999992</v>
      </c>
      <c r="F1649" s="2">
        <f t="shared" si="1700"/>
        <v>13.641399999999996</v>
      </c>
      <c r="G1649" s="2">
        <f t="shared" si="1702"/>
        <v>13.110799999999992</v>
      </c>
      <c r="H1649" s="2">
        <f t="shared" si="1703"/>
        <v>-4.8808928972539078E-3</v>
      </c>
      <c r="I1649" s="2">
        <f t="shared" ref="I1649:J1649" si="1748">LN(C1648)-LN(C1647)</f>
        <v>1.997707001544391E-3</v>
      </c>
      <c r="J1649" s="2">
        <f t="shared" si="1748"/>
        <v>7.5455141160687411E-3</v>
      </c>
    </row>
    <row r="1650" spans="1:10" x14ac:dyDescent="0.45">
      <c r="A1650" s="1">
        <v>42579</v>
      </c>
      <c r="B1650">
        <v>41.14</v>
      </c>
      <c r="C1650">
        <v>1.2991999999999999</v>
      </c>
      <c r="D1650">
        <v>1.3010999999999999</v>
      </c>
      <c r="E1650" s="2">
        <f t="shared" si="1698"/>
        <v>13.479599999999991</v>
      </c>
      <c r="F1650" s="2">
        <f t="shared" si="1700"/>
        <v>13.482199999999992</v>
      </c>
      <c r="G1650" s="2">
        <f t="shared" si="1702"/>
        <v>13.641399999999996</v>
      </c>
      <c r="H1650" s="2">
        <f t="shared" si="1703"/>
        <v>-2.3574877749711121E-2</v>
      </c>
      <c r="I1650" s="2">
        <f t="shared" ref="I1650:J1650" si="1749">LN(C1649)-LN(C1648)</f>
        <v>-2.2424140140980153E-2</v>
      </c>
      <c r="J1650" s="2">
        <f t="shared" si="1749"/>
        <v>-1.9844307235928449E-2</v>
      </c>
    </row>
    <row r="1651" spans="1:10" x14ac:dyDescent="0.45">
      <c r="A1651" s="1">
        <v>42580</v>
      </c>
      <c r="B1651">
        <v>41.6</v>
      </c>
      <c r="C1651">
        <v>1.3075000000000001</v>
      </c>
      <c r="D1651">
        <v>1.3193999999999999</v>
      </c>
      <c r="E1651" s="2">
        <f t="shared" si="1698"/>
        <v>13.648199999999994</v>
      </c>
      <c r="F1651" s="2">
        <f t="shared" si="1700"/>
        <v>13.479599999999991</v>
      </c>
      <c r="G1651" s="2">
        <f t="shared" si="1702"/>
        <v>13.482199999999992</v>
      </c>
      <c r="H1651" s="2">
        <f t="shared" si="1703"/>
        <v>-1.8782155787975707E-2</v>
      </c>
      <c r="I1651" s="2">
        <f t="shared" ref="I1651:J1651" si="1750">LN(C1650)-LN(C1649)</f>
        <v>-1.8077606060920959E-2</v>
      </c>
      <c r="J1651" s="2">
        <f t="shared" si="1750"/>
        <v>-1.2298210992779002E-2</v>
      </c>
    </row>
    <row r="1652" spans="1:10" x14ac:dyDescent="0.45">
      <c r="A1652" s="1">
        <v>42583</v>
      </c>
      <c r="B1652">
        <v>40.06</v>
      </c>
      <c r="C1652">
        <v>1.2579</v>
      </c>
      <c r="D1652">
        <v>1.3036000000000001</v>
      </c>
      <c r="E1652" s="2">
        <f t="shared" si="1698"/>
        <v>14.051400000000001</v>
      </c>
      <c r="F1652" s="2">
        <f t="shared" si="1700"/>
        <v>13.648199999999994</v>
      </c>
      <c r="G1652" s="2">
        <f t="shared" si="1702"/>
        <v>13.479599999999991</v>
      </c>
      <c r="H1652" s="2">
        <f t="shared" si="1703"/>
        <v>1.1119283042406725E-2</v>
      </c>
      <c r="I1652" s="2">
        <f t="shared" ref="I1652:J1652" si="1751">LN(C1651)-LN(C1650)</f>
        <v>6.3682265316646336E-3</v>
      </c>
      <c r="J1652" s="2">
        <f t="shared" si="1751"/>
        <v>1.3967027279340238E-2</v>
      </c>
    </row>
    <row r="1653" spans="1:10" x14ac:dyDescent="0.45">
      <c r="A1653" s="1">
        <v>42584</v>
      </c>
      <c r="B1653">
        <v>39.51</v>
      </c>
      <c r="C1653">
        <v>1.2589999999999999</v>
      </c>
      <c r="D1653">
        <v>1.3116000000000001</v>
      </c>
      <c r="E1653" s="2">
        <f t="shared" si="1698"/>
        <v>14.840800000000002</v>
      </c>
      <c r="F1653" s="2">
        <f t="shared" si="1700"/>
        <v>14.051400000000001</v>
      </c>
      <c r="G1653" s="2">
        <f t="shared" si="1702"/>
        <v>13.648199999999994</v>
      </c>
      <c r="H1653" s="2">
        <f t="shared" si="1703"/>
        <v>-3.7721837029545568E-2</v>
      </c>
      <c r="I1653" s="2">
        <f t="shared" ref="I1653:J1653" si="1752">LN(C1652)-LN(C1651)</f>
        <v>-3.8673253094251375E-2</v>
      </c>
      <c r="J1653" s="2">
        <f t="shared" si="1752"/>
        <v>-1.2047419825363892E-2</v>
      </c>
    </row>
    <row r="1654" spans="1:10" x14ac:dyDescent="0.45">
      <c r="A1654" s="1">
        <v>42585</v>
      </c>
      <c r="B1654">
        <v>40.83</v>
      </c>
      <c r="C1654">
        <v>1.2875000000000001</v>
      </c>
      <c r="D1654">
        <v>1.3499000000000001</v>
      </c>
      <c r="E1654" s="2">
        <f t="shared" si="1698"/>
        <v>14.992200000000011</v>
      </c>
      <c r="F1654" s="2">
        <f t="shared" si="1700"/>
        <v>14.840800000000002</v>
      </c>
      <c r="G1654" s="2">
        <f t="shared" si="1702"/>
        <v>14.051400000000001</v>
      </c>
      <c r="H1654" s="2">
        <f t="shared" si="1703"/>
        <v>-1.382452581437299E-2</v>
      </c>
      <c r="I1654" s="2">
        <f t="shared" ref="I1654:J1654" si="1753">LN(C1653)-LN(C1652)</f>
        <v>8.7409119952039371E-4</v>
      </c>
      <c r="J1654" s="2">
        <f t="shared" si="1753"/>
        <v>6.1180980070867363E-3</v>
      </c>
    </row>
    <row r="1655" spans="1:10" x14ac:dyDescent="0.45">
      <c r="A1655" s="1">
        <v>42586</v>
      </c>
      <c r="B1655">
        <v>41.93</v>
      </c>
      <c r="C1655">
        <v>1.3259000000000001</v>
      </c>
      <c r="D1655">
        <v>1.3680000000000001</v>
      </c>
      <c r="E1655" s="2">
        <f t="shared" si="1698"/>
        <v>14.936600000000007</v>
      </c>
      <c r="F1655" s="2">
        <f t="shared" si="1700"/>
        <v>14.992200000000011</v>
      </c>
      <c r="G1655" s="2">
        <f t="shared" si="1702"/>
        <v>14.840800000000002</v>
      </c>
      <c r="H1655" s="2">
        <f t="shared" si="1703"/>
        <v>3.28633009081849E-2</v>
      </c>
      <c r="I1655" s="2">
        <f t="shared" ref="I1655:J1655" si="1754">LN(C1654)-LN(C1653)</f>
        <v>2.2384598493544183E-2</v>
      </c>
      <c r="J1655" s="2">
        <f t="shared" si="1754"/>
        <v>2.8782749644288175E-2</v>
      </c>
    </row>
    <row r="1656" spans="1:10" x14ac:dyDescent="0.45">
      <c r="A1656" s="1">
        <v>42587</v>
      </c>
      <c r="B1656">
        <v>41.8</v>
      </c>
      <c r="C1656">
        <v>1.3169999999999999</v>
      </c>
      <c r="D1656">
        <v>1.3763000000000001</v>
      </c>
      <c r="E1656" s="2">
        <f t="shared" si="1698"/>
        <v>15.174400000000006</v>
      </c>
      <c r="F1656" s="2">
        <f t="shared" si="1700"/>
        <v>14.936600000000007</v>
      </c>
      <c r="G1656" s="2">
        <f t="shared" si="1702"/>
        <v>14.992200000000011</v>
      </c>
      <c r="H1656" s="2">
        <f t="shared" si="1703"/>
        <v>2.6584455851187183E-2</v>
      </c>
      <c r="I1656" s="2">
        <f t="shared" ref="I1656:J1656" si="1755">LN(C1655)-LN(C1654)</f>
        <v>2.9389120582781869E-2</v>
      </c>
      <c r="J1656" s="2">
        <f t="shared" si="1755"/>
        <v>1.3319303567714436E-2</v>
      </c>
    </row>
    <row r="1657" spans="1:10" x14ac:dyDescent="0.45">
      <c r="A1657" s="1">
        <v>42590</v>
      </c>
      <c r="B1657">
        <v>43.02</v>
      </c>
      <c r="C1657">
        <v>1.3435999999999999</v>
      </c>
      <c r="D1657">
        <v>1.3620000000000001</v>
      </c>
      <c r="E1657" s="2">
        <f t="shared" si="1698"/>
        <v>13.926400000000001</v>
      </c>
      <c r="F1657" s="2">
        <f t="shared" si="1700"/>
        <v>15.174400000000006</v>
      </c>
      <c r="G1657" s="2">
        <f t="shared" si="1702"/>
        <v>14.936600000000007</v>
      </c>
      <c r="H1657" s="2">
        <f t="shared" si="1703"/>
        <v>-3.105221651960921E-3</v>
      </c>
      <c r="I1657" s="2">
        <f t="shared" ref="I1657:J1657" si="1756">LN(C1656)-LN(C1655)</f>
        <v>-6.7350513773921095E-3</v>
      </c>
      <c r="J1657" s="2">
        <f t="shared" si="1756"/>
        <v>6.0489198029910485E-3</v>
      </c>
    </row>
    <row r="1658" spans="1:10" x14ac:dyDescent="0.45">
      <c r="A1658" s="1">
        <v>42591</v>
      </c>
      <c r="B1658">
        <v>42.77</v>
      </c>
      <c r="C1658">
        <v>1.3307</v>
      </c>
      <c r="D1658">
        <v>1.3462000000000001</v>
      </c>
      <c r="E1658" s="2">
        <f t="shared" si="1698"/>
        <v>13.553400000000002</v>
      </c>
      <c r="F1658" s="2">
        <f t="shared" si="1700"/>
        <v>13.926400000000001</v>
      </c>
      <c r="G1658" s="2">
        <f t="shared" si="1702"/>
        <v>15.174400000000006</v>
      </c>
      <c r="H1658" s="2">
        <f t="shared" si="1703"/>
        <v>2.8768784308873752E-2</v>
      </c>
      <c r="I1658" s="2">
        <f t="shared" ref="I1658:J1658" si="1757">LN(C1657)-LN(C1656)</f>
        <v>1.9996155994856601E-2</v>
      </c>
      <c r="J1658" s="2">
        <f t="shared" si="1757"/>
        <v>-1.0444531276029179E-2</v>
      </c>
    </row>
    <row r="1659" spans="1:10" x14ac:dyDescent="0.45">
      <c r="A1659" s="1">
        <v>42592</v>
      </c>
      <c r="B1659">
        <v>41.71</v>
      </c>
      <c r="C1659">
        <v>1.3184</v>
      </c>
      <c r="D1659">
        <v>1.3013999999999999</v>
      </c>
      <c r="E1659" s="2">
        <f t="shared" si="1698"/>
        <v>13.186799999999996</v>
      </c>
      <c r="F1659" s="2">
        <f t="shared" si="1700"/>
        <v>13.553400000000002</v>
      </c>
      <c r="G1659" s="2">
        <f t="shared" si="1702"/>
        <v>13.926400000000001</v>
      </c>
      <c r="H1659" s="2">
        <f t="shared" si="1703"/>
        <v>-5.8282016007669135E-3</v>
      </c>
      <c r="I1659" s="2">
        <f t="shared" ref="I1659:J1659" si="1758">LN(C1658)-LN(C1657)</f>
        <v>-9.6474591884408434E-3</v>
      </c>
      <c r="J1659" s="2">
        <f t="shared" si="1758"/>
        <v>-1.1668399132844953E-2</v>
      </c>
    </row>
    <row r="1660" spans="1:10" x14ac:dyDescent="0.45">
      <c r="A1660" s="1">
        <v>42593</v>
      </c>
      <c r="B1660">
        <v>43.49</v>
      </c>
      <c r="C1660">
        <v>1.3849</v>
      </c>
      <c r="D1660">
        <v>1.3616999999999999</v>
      </c>
      <c r="E1660" s="2">
        <f t="shared" si="1698"/>
        <v>14.026199999999998</v>
      </c>
      <c r="F1660" s="2">
        <f t="shared" si="1700"/>
        <v>13.186799999999996</v>
      </c>
      <c r="G1660" s="2">
        <f t="shared" si="1702"/>
        <v>13.553400000000002</v>
      </c>
      <c r="H1660" s="2">
        <f t="shared" si="1703"/>
        <v>-2.509601402996342E-2</v>
      </c>
      <c r="I1660" s="2">
        <f t="shared" ref="I1660:J1660" si="1759">LN(C1659)-LN(C1658)</f>
        <v>-9.2862393944895261E-3</v>
      </c>
      <c r="J1660" s="2">
        <f t="shared" si="1759"/>
        <v>-3.3845200515729146E-2</v>
      </c>
    </row>
    <row r="1661" spans="1:10" x14ac:dyDescent="0.45">
      <c r="A1661" s="1">
        <v>42594</v>
      </c>
      <c r="B1661">
        <v>44.49</v>
      </c>
      <c r="C1661">
        <v>1.4086000000000001</v>
      </c>
      <c r="D1661">
        <v>1.3709</v>
      </c>
      <c r="E1661" s="2">
        <f t="shared" si="1698"/>
        <v>13.615600000000001</v>
      </c>
      <c r="F1661" s="2">
        <f t="shared" si="1700"/>
        <v>14.026199999999998</v>
      </c>
      <c r="G1661" s="2">
        <f t="shared" si="1702"/>
        <v>13.186799999999996</v>
      </c>
      <c r="H1661" s="2">
        <f t="shared" si="1703"/>
        <v>4.1790118400693022E-2</v>
      </c>
      <c r="I1661" s="2">
        <f t="shared" ref="I1661:J1661" si="1760">LN(C1660)-LN(C1659)</f>
        <v>4.920905469346476E-2</v>
      </c>
      <c r="J1661" s="2">
        <f t="shared" si="1760"/>
        <v>4.5293311069645903E-2</v>
      </c>
    </row>
    <row r="1662" spans="1:10" x14ac:dyDescent="0.45">
      <c r="A1662" s="1">
        <v>42597</v>
      </c>
      <c r="B1662">
        <v>45.74</v>
      </c>
      <c r="C1662">
        <v>1.4499</v>
      </c>
      <c r="D1662">
        <v>1.4007000000000001</v>
      </c>
      <c r="E1662" s="2">
        <f t="shared" si="1698"/>
        <v>13.778199999999998</v>
      </c>
      <c r="F1662" s="2">
        <f t="shared" si="1700"/>
        <v>13.615600000000001</v>
      </c>
      <c r="G1662" s="2">
        <f t="shared" si="1702"/>
        <v>14.026199999999998</v>
      </c>
      <c r="H1662" s="2">
        <f t="shared" si="1703"/>
        <v>2.2733418208403577E-2</v>
      </c>
      <c r="I1662" s="2">
        <f t="shared" ref="I1662:J1662" si="1761">LN(C1661)-LN(C1660)</f>
        <v>1.6968368462637995E-2</v>
      </c>
      <c r="J1662" s="2">
        <f t="shared" si="1761"/>
        <v>6.7335393113250874E-3</v>
      </c>
    </row>
    <row r="1663" spans="1:10" x14ac:dyDescent="0.45">
      <c r="A1663" s="1">
        <v>42598</v>
      </c>
      <c r="B1663">
        <v>46.58</v>
      </c>
      <c r="C1663">
        <v>1.4613</v>
      </c>
      <c r="D1663">
        <v>1.4226000000000001</v>
      </c>
      <c r="E1663" s="2">
        <f t="shared" si="1698"/>
        <v>13.710999999999993</v>
      </c>
      <c r="F1663" s="2">
        <f t="shared" si="1700"/>
        <v>13.778199999999998</v>
      </c>
      <c r="G1663" s="2">
        <f t="shared" si="1702"/>
        <v>13.615600000000001</v>
      </c>
      <c r="H1663" s="2">
        <f t="shared" si="1703"/>
        <v>2.7708743776684752E-2</v>
      </c>
      <c r="I1663" s="2">
        <f t="shared" ref="I1663:J1663" si="1762">LN(C1662)-LN(C1661)</f>
        <v>2.8898285207838048E-2</v>
      </c>
      <c r="J1663" s="2">
        <f t="shared" si="1762"/>
        <v>2.1504653203146429E-2</v>
      </c>
    </row>
    <row r="1664" spans="1:10" x14ac:dyDescent="0.45">
      <c r="A1664" s="1">
        <v>42599</v>
      </c>
      <c r="B1664">
        <v>46.79</v>
      </c>
      <c r="C1664">
        <v>1.4892000000000001</v>
      </c>
      <c r="D1664">
        <v>1.3887</v>
      </c>
      <c r="E1664" s="2">
        <f t="shared" si="1698"/>
        <v>12.942400000000001</v>
      </c>
      <c r="F1664" s="2">
        <f t="shared" si="1700"/>
        <v>13.710999999999993</v>
      </c>
      <c r="G1664" s="2">
        <f t="shared" si="1702"/>
        <v>13.778199999999998</v>
      </c>
      <c r="H1664" s="2">
        <f t="shared" si="1703"/>
        <v>1.8198075861559637E-2</v>
      </c>
      <c r="I1664" s="2">
        <f t="shared" ref="I1664:J1664" si="1763">LN(C1663)-LN(C1662)</f>
        <v>7.8318619614586305E-3</v>
      </c>
      <c r="J1664" s="2">
        <f t="shared" si="1763"/>
        <v>1.5514071654413819E-2</v>
      </c>
    </row>
    <row r="1665" spans="1:10" x14ac:dyDescent="0.45">
      <c r="A1665" s="1">
        <v>42600</v>
      </c>
      <c r="B1665">
        <v>48.89</v>
      </c>
      <c r="C1665">
        <v>1.526</v>
      </c>
      <c r="D1665">
        <v>1.4214</v>
      </c>
      <c r="E1665" s="2">
        <f t="shared" si="1698"/>
        <v>12.273199999999994</v>
      </c>
      <c r="F1665" s="2">
        <f t="shared" si="1700"/>
        <v>12.942400000000001</v>
      </c>
      <c r="G1665" s="2">
        <f t="shared" si="1702"/>
        <v>13.710999999999993</v>
      </c>
      <c r="H1665" s="2">
        <f t="shared" si="1703"/>
        <v>4.4982404219302552E-3</v>
      </c>
      <c r="I1665" s="2">
        <f t="shared" ref="I1665:J1665" si="1764">LN(C1664)-LN(C1663)</f>
        <v>1.8912612517955174E-2</v>
      </c>
      <c r="J1665" s="2">
        <f t="shared" si="1764"/>
        <v>-2.4118125594080331E-2</v>
      </c>
    </row>
    <row r="1666" spans="1:10" x14ac:dyDescent="0.45">
      <c r="A1666" s="1">
        <v>42601</v>
      </c>
      <c r="B1666">
        <v>49.11</v>
      </c>
      <c r="C1666">
        <v>1.5386</v>
      </c>
      <c r="D1666">
        <v>1.4384999999999999</v>
      </c>
      <c r="E1666" s="2">
        <f t="shared" si="1698"/>
        <v>12.708400000000003</v>
      </c>
      <c r="F1666" s="2">
        <f t="shared" si="1700"/>
        <v>12.273199999999994</v>
      </c>
      <c r="G1666" s="2">
        <f t="shared" si="1702"/>
        <v>12.942400000000001</v>
      </c>
      <c r="H1666" s="2">
        <f t="shared" si="1703"/>
        <v>4.3903371712429085E-2</v>
      </c>
      <c r="I1666" s="2">
        <f t="shared" ref="I1666:J1666" si="1765">LN(C1665)-LN(C1664)</f>
        <v>2.4410869845840455E-2</v>
      </c>
      <c r="J1666" s="2">
        <f t="shared" si="1765"/>
        <v>2.3274243687460228E-2</v>
      </c>
    </row>
    <row r="1667" spans="1:10" x14ac:dyDescent="0.45">
      <c r="A1667" s="1">
        <v>42604</v>
      </c>
      <c r="B1667">
        <v>47.41</v>
      </c>
      <c r="C1667">
        <v>1.5047999999999999</v>
      </c>
      <c r="D1667">
        <v>1.4046000000000001</v>
      </c>
      <c r="E1667" s="2">
        <f t="shared" ref="E1667:E1730" si="1766">(2*D1667*42+1*C1667*42-3*B1667)/3</f>
        <v>12.985999999999999</v>
      </c>
      <c r="F1667" s="2">
        <f t="shared" si="1700"/>
        <v>12.708400000000003</v>
      </c>
      <c r="G1667" s="2">
        <f t="shared" si="1702"/>
        <v>12.273199999999994</v>
      </c>
      <c r="H1667" s="2">
        <f t="shared" si="1703"/>
        <v>4.4898034605989068E-3</v>
      </c>
      <c r="I1667" s="2">
        <f t="shared" ref="I1667:J1667" si="1767">LN(C1666)-LN(C1665)</f>
        <v>8.2229791804319663E-3</v>
      </c>
      <c r="J1667" s="2">
        <f t="shared" si="1767"/>
        <v>1.1958602598807766E-2</v>
      </c>
    </row>
    <row r="1668" spans="1:10" x14ac:dyDescent="0.45">
      <c r="A1668" s="1">
        <v>42605</v>
      </c>
      <c r="B1668">
        <v>48.1</v>
      </c>
      <c r="C1668">
        <v>1.5183</v>
      </c>
      <c r="D1668">
        <v>1.4196</v>
      </c>
      <c r="E1668" s="2">
        <f t="shared" si="1766"/>
        <v>12.904999999999992</v>
      </c>
      <c r="F1668" s="2">
        <f t="shared" ref="F1668:F1731" si="1768">E1667</f>
        <v>12.985999999999999</v>
      </c>
      <c r="G1668" s="2">
        <f t="shared" si="1702"/>
        <v>12.708400000000003</v>
      </c>
      <c r="H1668" s="2">
        <f t="shared" si="1703"/>
        <v>-3.5229503137126361E-2</v>
      </c>
      <c r="I1668" s="2">
        <f t="shared" ref="I1668:J1668" si="1769">LN(C1667)-LN(C1666)</f>
        <v>-2.2212913038013704E-2</v>
      </c>
      <c r="J1668" s="2">
        <f t="shared" si="1769"/>
        <v>-2.3848339266682395E-2</v>
      </c>
    </row>
    <row r="1669" spans="1:10" x14ac:dyDescent="0.45">
      <c r="A1669" s="1">
        <v>42606</v>
      </c>
      <c r="B1669">
        <v>46.77</v>
      </c>
      <c r="C1669">
        <v>1.5103</v>
      </c>
      <c r="D1669">
        <v>1.4147000000000001</v>
      </c>
      <c r="E1669" s="2">
        <f t="shared" si="1766"/>
        <v>13.985800000000003</v>
      </c>
      <c r="F1669" s="2">
        <f t="shared" si="1768"/>
        <v>12.904999999999992</v>
      </c>
      <c r="G1669" s="2">
        <f t="shared" ref="G1669:G1732" si="1770">E1667</f>
        <v>12.985999999999999</v>
      </c>
      <c r="H1669" s="2">
        <f t="shared" ref="H1669:H1732" si="1771">LN(B1668)-LN(B1667)</f>
        <v>1.444900019768891E-2</v>
      </c>
      <c r="I1669" s="2">
        <f t="shared" ref="I1669:J1669" si="1772">LN(C1668)-LN(C1667)</f>
        <v>8.9312889013213881E-3</v>
      </c>
      <c r="J1669" s="2">
        <f t="shared" si="1772"/>
        <v>1.0622577047421256E-2</v>
      </c>
    </row>
    <row r="1670" spans="1:10" x14ac:dyDescent="0.45">
      <c r="A1670" s="1">
        <v>42607</v>
      </c>
      <c r="B1670">
        <v>47.33</v>
      </c>
      <c r="C1670">
        <v>1.5232000000000001</v>
      </c>
      <c r="D1670">
        <v>1.4237</v>
      </c>
      <c r="E1670" s="2">
        <f t="shared" si="1766"/>
        <v>13.858399999999998</v>
      </c>
      <c r="F1670" s="2">
        <f t="shared" si="1768"/>
        <v>13.985800000000003</v>
      </c>
      <c r="G1670" s="2">
        <f t="shared" si="1770"/>
        <v>12.904999999999992</v>
      </c>
      <c r="H1670" s="2">
        <f t="shared" si="1771"/>
        <v>-2.8040205373920823E-2</v>
      </c>
      <c r="I1670" s="2">
        <f t="shared" ref="I1670:J1670" si="1773">LN(C1669)-LN(C1668)</f>
        <v>-5.2829813158460914E-3</v>
      </c>
      <c r="J1670" s="2">
        <f t="shared" si="1773"/>
        <v>-3.4576473074527381E-3</v>
      </c>
    </row>
    <row r="1671" spans="1:10" x14ac:dyDescent="0.45">
      <c r="A1671" s="1">
        <v>42608</v>
      </c>
      <c r="B1671">
        <v>47.64</v>
      </c>
      <c r="C1671">
        <v>1.5111000000000001</v>
      </c>
      <c r="D1671">
        <v>1.4283999999999999</v>
      </c>
      <c r="E1671" s="2">
        <f t="shared" si="1766"/>
        <v>13.510599999999991</v>
      </c>
      <c r="F1671" s="2">
        <f t="shared" si="1768"/>
        <v>13.858399999999998</v>
      </c>
      <c r="G1671" s="2">
        <f t="shared" si="1770"/>
        <v>13.985800000000003</v>
      </c>
      <c r="H1671" s="2">
        <f t="shared" si="1771"/>
        <v>1.190237218036172E-2</v>
      </c>
      <c r="I1671" s="2">
        <f t="shared" ref="I1671:J1671" si="1774">LN(C1670)-LN(C1669)</f>
        <v>8.5050784648050826E-3</v>
      </c>
      <c r="J1671" s="2">
        <f t="shared" si="1774"/>
        <v>6.3416221548114327E-3</v>
      </c>
    </row>
    <row r="1672" spans="1:10" x14ac:dyDescent="0.45">
      <c r="A1672" s="1">
        <v>42611</v>
      </c>
      <c r="B1672">
        <v>46.98</v>
      </c>
      <c r="C1672">
        <v>1.5006999999999999</v>
      </c>
      <c r="D1672">
        <v>1.3957999999999999</v>
      </c>
      <c r="E1672" s="2">
        <f t="shared" si="1766"/>
        <v>13.112199999999993</v>
      </c>
      <c r="F1672" s="2">
        <f t="shared" si="1768"/>
        <v>13.510599999999991</v>
      </c>
      <c r="G1672" s="2">
        <f t="shared" si="1770"/>
        <v>13.858399999999998</v>
      </c>
      <c r="H1672" s="2">
        <f t="shared" si="1771"/>
        <v>6.5284005689427715E-3</v>
      </c>
      <c r="I1672" s="2">
        <f t="shared" ref="I1672:J1672" si="1775">LN(C1671)-LN(C1670)</f>
        <v>-7.9755226173863769E-3</v>
      </c>
      <c r="J1672" s="2">
        <f t="shared" si="1775"/>
        <v>3.2958201005932053E-3</v>
      </c>
    </row>
    <row r="1673" spans="1:10" x14ac:dyDescent="0.45">
      <c r="A1673" s="1">
        <v>42612</v>
      </c>
      <c r="B1673">
        <v>46.35</v>
      </c>
      <c r="C1673">
        <v>1.4846999999999999</v>
      </c>
      <c r="D1673">
        <v>1.3745000000000001</v>
      </c>
      <c r="E1673" s="2">
        <f t="shared" si="1766"/>
        <v>12.921799999999999</v>
      </c>
      <c r="F1673" s="2">
        <f t="shared" si="1768"/>
        <v>13.112199999999993</v>
      </c>
      <c r="G1673" s="2">
        <f t="shared" si="1770"/>
        <v>13.510599999999991</v>
      </c>
      <c r="H1673" s="2">
        <f t="shared" si="1771"/>
        <v>-1.3950765256332431E-2</v>
      </c>
      <c r="I1673" s="2">
        <f t="shared" ref="I1673:J1673" si="1776">LN(C1672)-LN(C1671)</f>
        <v>-6.9061965177707463E-3</v>
      </c>
      <c r="J1673" s="2">
        <f t="shared" si="1776"/>
        <v>-2.3087209137242104E-2</v>
      </c>
    </row>
    <row r="1674" spans="1:10" x14ac:dyDescent="0.45">
      <c r="A1674" s="1">
        <v>42613</v>
      </c>
      <c r="B1674">
        <v>44.7</v>
      </c>
      <c r="C1674">
        <v>1.4257</v>
      </c>
      <c r="D1674">
        <v>1.3333999999999999</v>
      </c>
      <c r="E1674" s="2">
        <f t="shared" si="1766"/>
        <v>12.59499999999999</v>
      </c>
      <c r="F1674" s="2">
        <f t="shared" si="1768"/>
        <v>12.921799999999999</v>
      </c>
      <c r="G1674" s="2">
        <f t="shared" si="1770"/>
        <v>13.112199999999993</v>
      </c>
      <c r="H1674" s="2">
        <f t="shared" si="1771"/>
        <v>-1.350068721890274E-2</v>
      </c>
      <c r="I1674" s="2">
        <f t="shared" ref="I1674:J1674" si="1777">LN(C1673)-LN(C1672)</f>
        <v>-1.0718934275993852E-2</v>
      </c>
      <c r="J1674" s="2">
        <f t="shared" si="1777"/>
        <v>-1.5377698977750764E-2</v>
      </c>
    </row>
    <row r="1675" spans="1:10" x14ac:dyDescent="0.45">
      <c r="A1675" s="1">
        <v>42614</v>
      </c>
      <c r="B1675">
        <v>43.16</v>
      </c>
      <c r="C1675">
        <v>1.3818999999999999</v>
      </c>
      <c r="D1675">
        <v>1.2724</v>
      </c>
      <c r="E1675" s="2">
        <f t="shared" si="1766"/>
        <v>11.813800000000006</v>
      </c>
      <c r="F1675" s="2">
        <f t="shared" si="1768"/>
        <v>12.59499999999999</v>
      </c>
      <c r="G1675" s="2">
        <f t="shared" si="1770"/>
        <v>12.921799999999999</v>
      </c>
      <c r="H1675" s="2">
        <f t="shared" si="1771"/>
        <v>-3.6247790392340828E-2</v>
      </c>
      <c r="I1675" s="2">
        <f t="shared" ref="I1675:J1675" si="1778">LN(C1674)-LN(C1673)</f>
        <v>-4.054981046603473E-2</v>
      </c>
      <c r="J1675" s="2">
        <f t="shared" si="1778"/>
        <v>-3.0357957421340842E-2</v>
      </c>
    </row>
    <row r="1676" spans="1:10" x14ac:dyDescent="0.45">
      <c r="A1676" s="1">
        <v>42615</v>
      </c>
      <c r="B1676">
        <v>44.44</v>
      </c>
      <c r="C1676">
        <v>1.4096</v>
      </c>
      <c r="D1676">
        <v>1.3016000000000001</v>
      </c>
      <c r="E1676" s="2">
        <f t="shared" si="1766"/>
        <v>11.739200000000002</v>
      </c>
      <c r="F1676" s="2">
        <f t="shared" si="1768"/>
        <v>11.813800000000006</v>
      </c>
      <c r="G1676" s="2">
        <f t="shared" si="1770"/>
        <v>12.59499999999999</v>
      </c>
      <c r="H1676" s="2">
        <f t="shared" si="1771"/>
        <v>-3.5059361229589303E-2</v>
      </c>
      <c r="I1676" s="2">
        <f t="shared" ref="I1676:J1676" si="1779">LN(C1675)-LN(C1674)</f>
        <v>-3.1203557350476363E-2</v>
      </c>
      <c r="J1676" s="2">
        <f t="shared" si="1779"/>
        <v>-4.6827190308970562E-2</v>
      </c>
    </row>
    <row r="1677" spans="1:10" x14ac:dyDescent="0.45">
      <c r="A1677" s="1">
        <v>42619</v>
      </c>
      <c r="B1677">
        <v>44.83</v>
      </c>
      <c r="C1677">
        <v>1.4085000000000001</v>
      </c>
      <c r="D1677">
        <v>1.3164</v>
      </c>
      <c r="E1677" s="2">
        <f t="shared" si="1766"/>
        <v>11.748199999999997</v>
      </c>
      <c r="F1677" s="2">
        <f t="shared" si="1768"/>
        <v>11.739200000000002</v>
      </c>
      <c r="G1677" s="2">
        <f t="shared" si="1770"/>
        <v>11.813800000000006</v>
      </c>
      <c r="H1677" s="2">
        <f t="shared" si="1771"/>
        <v>2.9225824381495347E-2</v>
      </c>
      <c r="I1677" s="2">
        <f t="shared" ref="I1677:J1677" si="1780">LN(C1676)-LN(C1675)</f>
        <v>1.9846612372476147E-2</v>
      </c>
      <c r="J1677" s="2">
        <f t="shared" si="1780"/>
        <v>2.2689396029839076E-2</v>
      </c>
    </row>
    <row r="1678" spans="1:10" x14ac:dyDescent="0.45">
      <c r="A1678" s="1">
        <v>42620</v>
      </c>
      <c r="B1678">
        <v>45.5</v>
      </c>
      <c r="C1678">
        <v>1.4265000000000001</v>
      </c>
      <c r="D1678">
        <v>1.3464</v>
      </c>
      <c r="E1678" s="2">
        <f t="shared" si="1766"/>
        <v>12.170200000000003</v>
      </c>
      <c r="F1678" s="2">
        <f t="shared" si="1768"/>
        <v>11.748199999999997</v>
      </c>
      <c r="G1678" s="2">
        <f t="shared" si="1770"/>
        <v>11.739200000000002</v>
      </c>
      <c r="H1678" s="2">
        <f t="shared" si="1771"/>
        <v>8.7375933959186192E-3</v>
      </c>
      <c r="I1678" s="2">
        <f t="shared" ref="I1678:J1678" si="1781">LN(C1677)-LN(C1676)</f>
        <v>-7.8066786548769418E-4</v>
      </c>
      <c r="J1678" s="2">
        <f t="shared" si="1781"/>
        <v>1.1306461164356796E-2</v>
      </c>
    </row>
    <row r="1679" spans="1:10" x14ac:dyDescent="0.45">
      <c r="A1679" s="1">
        <v>42621</v>
      </c>
      <c r="B1679">
        <v>47.62</v>
      </c>
      <c r="C1679">
        <v>1.4822</v>
      </c>
      <c r="D1679">
        <v>1.4165000000000001</v>
      </c>
      <c r="E1679" s="2">
        <f t="shared" si="1766"/>
        <v>12.792800000000009</v>
      </c>
      <c r="F1679" s="2">
        <f t="shared" si="1768"/>
        <v>12.170200000000003</v>
      </c>
      <c r="G1679" s="2">
        <f t="shared" si="1770"/>
        <v>11.748199999999997</v>
      </c>
      <c r="H1679" s="2">
        <f t="shared" si="1771"/>
        <v>1.4834767789556835E-2</v>
      </c>
      <c r="I1679" s="2">
        <f t="shared" ref="I1679:J1679" si="1782">LN(C1678)-LN(C1677)</f>
        <v>1.2698583337127423E-2</v>
      </c>
      <c r="J1679" s="2">
        <f t="shared" si="1782"/>
        <v>2.2533625807411362E-2</v>
      </c>
    </row>
    <row r="1680" spans="1:10" x14ac:dyDescent="0.45">
      <c r="A1680" s="1">
        <v>42622</v>
      </c>
      <c r="B1680">
        <v>45.88</v>
      </c>
      <c r="C1680">
        <v>1.4303999999999999</v>
      </c>
      <c r="D1680">
        <v>1.3611</v>
      </c>
      <c r="E1680" s="2">
        <f t="shared" si="1766"/>
        <v>12.256399999999994</v>
      </c>
      <c r="F1680" s="2">
        <f t="shared" si="1768"/>
        <v>12.792800000000009</v>
      </c>
      <c r="G1680" s="2">
        <f t="shared" si="1770"/>
        <v>12.170200000000003</v>
      </c>
      <c r="H1680" s="2">
        <f t="shared" si="1771"/>
        <v>4.5540515101811785E-2</v>
      </c>
      <c r="I1680" s="2">
        <f t="shared" ref="I1680:J1680" si="1783">LN(C1679)-LN(C1678)</f>
        <v>3.8303578863703724E-2</v>
      </c>
      <c r="J1680" s="2">
        <f t="shared" si="1783"/>
        <v>5.0754676393975073E-2</v>
      </c>
    </row>
    <row r="1681" spans="1:10" x14ac:dyDescent="0.45">
      <c r="A1681" s="1">
        <v>42625</v>
      </c>
      <c r="B1681">
        <v>46.29</v>
      </c>
      <c r="C1681">
        <v>1.4415</v>
      </c>
      <c r="D1681">
        <v>1.3898999999999999</v>
      </c>
      <c r="E1681" s="2">
        <f t="shared" si="1766"/>
        <v>12.808199999999999</v>
      </c>
      <c r="F1681" s="2">
        <f t="shared" si="1768"/>
        <v>12.256399999999994</v>
      </c>
      <c r="G1681" s="2">
        <f t="shared" si="1770"/>
        <v>12.792800000000009</v>
      </c>
      <c r="H1681" s="2">
        <f t="shared" si="1771"/>
        <v>-3.7223548797546524E-2</v>
      </c>
      <c r="I1681" s="2">
        <f t="shared" ref="I1681:J1681" si="1784">LN(C1680)-LN(C1679)</f>
        <v>-3.5573345098008857E-2</v>
      </c>
      <c r="J1681" s="2">
        <f t="shared" si="1784"/>
        <v>-3.9895843932543418E-2</v>
      </c>
    </row>
    <row r="1682" spans="1:10" x14ac:dyDescent="0.45">
      <c r="A1682" s="1">
        <v>42626</v>
      </c>
      <c r="B1682">
        <v>44.9</v>
      </c>
      <c r="C1682">
        <v>1.4229000000000001</v>
      </c>
      <c r="D1682">
        <v>1.3493999999999999</v>
      </c>
      <c r="E1682" s="2">
        <f t="shared" si="1766"/>
        <v>12.803800000000004</v>
      </c>
      <c r="F1682" s="2">
        <f t="shared" si="1768"/>
        <v>12.808199999999999</v>
      </c>
      <c r="G1682" s="2">
        <f t="shared" si="1770"/>
        <v>12.256399999999994</v>
      </c>
      <c r="H1682" s="2">
        <f t="shared" si="1771"/>
        <v>8.8966627820092903E-3</v>
      </c>
      <c r="I1682" s="2">
        <f t="shared" ref="I1682:J1682" si="1785">LN(C1681)-LN(C1680)</f>
        <v>7.7301126592072555E-3</v>
      </c>
      <c r="J1682" s="2">
        <f t="shared" si="1785"/>
        <v>2.0938605752684414E-2</v>
      </c>
    </row>
    <row r="1683" spans="1:10" x14ac:dyDescent="0.45">
      <c r="A1683" s="1">
        <v>42627</v>
      </c>
      <c r="B1683">
        <v>43.58</v>
      </c>
      <c r="C1683">
        <v>1.3816999999999999</v>
      </c>
      <c r="D1683">
        <v>1.3307</v>
      </c>
      <c r="E1683" s="2">
        <f t="shared" si="1766"/>
        <v>13.023400000000001</v>
      </c>
      <c r="F1683" s="2">
        <f t="shared" si="1768"/>
        <v>12.803800000000004</v>
      </c>
      <c r="G1683" s="2">
        <f t="shared" si="1770"/>
        <v>12.808199999999999</v>
      </c>
      <c r="H1683" s="2">
        <f t="shared" si="1771"/>
        <v>-3.0488160294970701E-2</v>
      </c>
      <c r="I1683" s="2">
        <f t="shared" ref="I1683:J1683" si="1786">LN(C1682)-LN(C1681)</f>
        <v>-1.2987195526811157E-2</v>
      </c>
      <c r="J1683" s="2">
        <f t="shared" si="1786"/>
        <v>-2.9571752897387393E-2</v>
      </c>
    </row>
    <row r="1684" spans="1:10" x14ac:dyDescent="0.45">
      <c r="A1684" s="1">
        <v>42628</v>
      </c>
      <c r="B1684">
        <v>43.91</v>
      </c>
      <c r="C1684">
        <v>1.4161999999999999</v>
      </c>
      <c r="D1684">
        <v>1.3785000000000001</v>
      </c>
      <c r="E1684" s="2">
        <f t="shared" si="1766"/>
        <v>14.514800000000008</v>
      </c>
      <c r="F1684" s="2">
        <f t="shared" si="1768"/>
        <v>13.023400000000001</v>
      </c>
      <c r="G1684" s="2">
        <f t="shared" si="1770"/>
        <v>12.803800000000004</v>
      </c>
      <c r="H1684" s="2">
        <f t="shared" si="1771"/>
        <v>-2.9839465231734863E-2</v>
      </c>
      <c r="I1684" s="2">
        <f t="shared" ref="I1684:J1684" si="1787">LN(C1683)-LN(C1682)</f>
        <v>-2.9382417489021928E-2</v>
      </c>
      <c r="J1684" s="2">
        <f t="shared" si="1787"/>
        <v>-1.3954929643628156E-2</v>
      </c>
    </row>
    <row r="1685" spans="1:10" x14ac:dyDescent="0.45">
      <c r="A1685" s="1">
        <v>42629</v>
      </c>
      <c r="B1685">
        <v>43.62</v>
      </c>
      <c r="C1685">
        <v>1.4051</v>
      </c>
      <c r="D1685">
        <v>1.3838999999999999</v>
      </c>
      <c r="E1685" s="2">
        <f t="shared" si="1766"/>
        <v>14.800600000000003</v>
      </c>
      <c r="F1685" s="2">
        <f t="shared" si="1768"/>
        <v>14.514800000000008</v>
      </c>
      <c r="G1685" s="2">
        <f t="shared" si="1770"/>
        <v>13.023400000000001</v>
      </c>
      <c r="H1685" s="2">
        <f t="shared" si="1771"/>
        <v>7.5437550571524348E-3</v>
      </c>
      <c r="I1685" s="2">
        <f t="shared" ref="I1685:J1685" si="1788">LN(C1684)-LN(C1683)</f>
        <v>2.46626031550497E-2</v>
      </c>
      <c r="J1685" s="2">
        <f t="shared" si="1788"/>
        <v>3.5290831914154719E-2</v>
      </c>
    </row>
    <row r="1686" spans="1:10" x14ac:dyDescent="0.45">
      <c r="A1686" s="1">
        <v>42632</v>
      </c>
      <c r="B1686">
        <v>43.86</v>
      </c>
      <c r="C1686">
        <v>1.4074</v>
      </c>
      <c r="D1686">
        <v>1.3533999999999999</v>
      </c>
      <c r="E1686" s="2">
        <f t="shared" si="1766"/>
        <v>13.738800000000007</v>
      </c>
      <c r="F1686" s="2">
        <f t="shared" si="1768"/>
        <v>14.800600000000003</v>
      </c>
      <c r="G1686" s="2">
        <f t="shared" si="1770"/>
        <v>14.514800000000008</v>
      </c>
      <c r="H1686" s="2">
        <f t="shared" si="1771"/>
        <v>-6.6263238001433855E-3</v>
      </c>
      <c r="I1686" s="2">
        <f t="shared" ref="I1686:J1686" si="1789">LN(C1685)-LN(C1684)</f>
        <v>-7.8687536053789753E-3</v>
      </c>
      <c r="J1686" s="2">
        <f t="shared" si="1789"/>
        <v>3.9096487680329584E-3</v>
      </c>
    </row>
    <row r="1687" spans="1:10" x14ac:dyDescent="0.45">
      <c r="A1687" s="1">
        <v>42633</v>
      </c>
      <c r="B1687">
        <v>44.05</v>
      </c>
      <c r="C1687">
        <v>1.4168000000000001</v>
      </c>
      <c r="D1687">
        <v>1.3253999999999999</v>
      </c>
      <c r="E1687" s="2">
        <f t="shared" si="1766"/>
        <v>12.896400000000009</v>
      </c>
      <c r="F1687" s="2">
        <f t="shared" si="1768"/>
        <v>13.738800000000007</v>
      </c>
      <c r="G1687" s="2">
        <f t="shared" si="1770"/>
        <v>14.800600000000003</v>
      </c>
      <c r="H1687" s="2">
        <f t="shared" si="1771"/>
        <v>5.4869822162593174E-3</v>
      </c>
      <c r="I1687" s="2">
        <f t="shared" ref="I1687:J1687" si="1790">LN(C1686)-LN(C1685)</f>
        <v>1.6355559201540193E-3</v>
      </c>
      <c r="J1687" s="2">
        <f t="shared" si="1790"/>
        <v>-2.2285655433759377E-2</v>
      </c>
    </row>
    <row r="1688" spans="1:10" x14ac:dyDescent="0.45">
      <c r="A1688" s="1">
        <v>42634</v>
      </c>
      <c r="B1688">
        <v>45.34</v>
      </c>
      <c r="C1688">
        <v>1.4411</v>
      </c>
      <c r="D1688">
        <v>1.3654999999999999</v>
      </c>
      <c r="E1688" s="2">
        <f t="shared" si="1766"/>
        <v>13.069400000000002</v>
      </c>
      <c r="F1688" s="2">
        <f t="shared" si="1768"/>
        <v>12.896400000000009</v>
      </c>
      <c r="G1688" s="2">
        <f t="shared" si="1770"/>
        <v>13.738800000000007</v>
      </c>
      <c r="H1688" s="2">
        <f t="shared" si="1771"/>
        <v>4.3226093924464415E-3</v>
      </c>
      <c r="I1688" s="2">
        <f t="shared" ref="I1688:J1688" si="1791">LN(C1687)-LN(C1686)</f>
        <v>6.6567769361752793E-3</v>
      </c>
      <c r="J1688" s="2">
        <f t="shared" si="1791"/>
        <v>-2.0905644143998647E-2</v>
      </c>
    </row>
    <row r="1689" spans="1:10" x14ac:dyDescent="0.45">
      <c r="A1689" s="1">
        <v>42635</v>
      </c>
      <c r="B1689">
        <v>46.32</v>
      </c>
      <c r="C1689">
        <v>1.4664999999999999</v>
      </c>
      <c r="D1689">
        <v>1.3787</v>
      </c>
      <c r="E1689" s="2">
        <f t="shared" si="1766"/>
        <v>12.814599999999993</v>
      </c>
      <c r="F1689" s="2">
        <f t="shared" si="1768"/>
        <v>13.069400000000002</v>
      </c>
      <c r="G1689" s="2">
        <f t="shared" si="1770"/>
        <v>12.896400000000009</v>
      </c>
      <c r="H1689" s="2">
        <f t="shared" si="1771"/>
        <v>2.8864292697194482E-2</v>
      </c>
      <c r="I1689" s="2">
        <f t="shared" ref="I1689:J1689" si="1792">LN(C1688)-LN(C1687)</f>
        <v>1.7005903375692133E-2</v>
      </c>
      <c r="J1689" s="2">
        <f t="shared" si="1792"/>
        <v>2.9806361259633207E-2</v>
      </c>
    </row>
    <row r="1690" spans="1:10" x14ac:dyDescent="0.45">
      <c r="A1690" s="1">
        <v>42636</v>
      </c>
      <c r="B1690">
        <v>44.48</v>
      </c>
      <c r="C1690">
        <v>1.4175</v>
      </c>
      <c r="D1690">
        <v>1.3556999999999999</v>
      </c>
      <c r="E1690" s="2">
        <f t="shared" si="1766"/>
        <v>13.324599999999995</v>
      </c>
      <c r="F1690" s="2">
        <f t="shared" si="1768"/>
        <v>12.814599999999993</v>
      </c>
      <c r="G1690" s="2">
        <f t="shared" si="1770"/>
        <v>13.069400000000002</v>
      </c>
      <c r="H1690" s="2">
        <f t="shared" si="1771"/>
        <v>2.1384188185356923E-2</v>
      </c>
      <c r="I1690" s="2">
        <f t="shared" ref="I1690:J1690" si="1793">LN(C1689)-LN(C1688)</f>
        <v>1.7471898573189704E-2</v>
      </c>
      <c r="J1690" s="2">
        <f t="shared" si="1793"/>
        <v>9.6203642638236775E-3</v>
      </c>
    </row>
    <row r="1691" spans="1:10" x14ac:dyDescent="0.45">
      <c r="A1691" s="1">
        <v>42639</v>
      </c>
      <c r="B1691">
        <v>45.93</v>
      </c>
      <c r="C1691">
        <v>1.4579</v>
      </c>
      <c r="D1691">
        <v>1.3856999999999999</v>
      </c>
      <c r="E1691" s="2">
        <f t="shared" si="1766"/>
        <v>13.280199999999999</v>
      </c>
      <c r="F1691" s="2">
        <f t="shared" si="1768"/>
        <v>13.324599999999995</v>
      </c>
      <c r="G1691" s="2">
        <f t="shared" si="1770"/>
        <v>12.814599999999993</v>
      </c>
      <c r="H1691" s="2">
        <f t="shared" si="1771"/>
        <v>-4.053418332241332E-2</v>
      </c>
      <c r="I1691" s="2">
        <f t="shared" ref="I1691:J1691" si="1794">LN(C1690)-LN(C1689)</f>
        <v>-3.3983852815598514E-2</v>
      </c>
      <c r="J1691" s="2">
        <f t="shared" si="1794"/>
        <v>-1.6823100092239696E-2</v>
      </c>
    </row>
    <row r="1692" spans="1:10" x14ac:dyDescent="0.45">
      <c r="A1692" s="1">
        <v>42640</v>
      </c>
      <c r="B1692">
        <v>44.67</v>
      </c>
      <c r="C1692">
        <v>1.4160999999999999</v>
      </c>
      <c r="D1692">
        <v>1.3626</v>
      </c>
      <c r="E1692" s="2">
        <f t="shared" si="1766"/>
        <v>13.308199999999999</v>
      </c>
      <c r="F1692" s="2">
        <f t="shared" si="1768"/>
        <v>13.280199999999999</v>
      </c>
      <c r="G1692" s="2">
        <f t="shared" si="1770"/>
        <v>13.324599999999995</v>
      </c>
      <c r="H1692" s="2">
        <f t="shared" si="1771"/>
        <v>3.2078848395375559E-2</v>
      </c>
      <c r="I1692" s="2">
        <f t="shared" ref="I1692:J1692" si="1795">LN(C1691)-LN(C1690)</f>
        <v>2.8102287508869062E-2</v>
      </c>
      <c r="J1692" s="2">
        <f t="shared" si="1795"/>
        <v>2.1887501019325739E-2</v>
      </c>
    </row>
    <row r="1693" spans="1:10" x14ac:dyDescent="0.45">
      <c r="A1693" s="1">
        <v>42641</v>
      </c>
      <c r="B1693">
        <v>47.05</v>
      </c>
      <c r="C1693">
        <v>1.4956</v>
      </c>
      <c r="D1693">
        <v>1.4384999999999999</v>
      </c>
      <c r="E1693" s="2">
        <f t="shared" si="1766"/>
        <v>14.16640000000001</v>
      </c>
      <c r="F1693" s="2">
        <f t="shared" si="1768"/>
        <v>13.308199999999999</v>
      </c>
      <c r="G1693" s="2">
        <f t="shared" si="1770"/>
        <v>13.280199999999999</v>
      </c>
      <c r="H1693" s="2">
        <f t="shared" si="1771"/>
        <v>-2.7816362973674735E-2</v>
      </c>
      <c r="I1693" s="2">
        <f t="shared" ref="I1693:J1693" si="1796">LN(C1692)-LN(C1691)</f>
        <v>-2.9090429881763191E-2</v>
      </c>
      <c r="J1693" s="2">
        <f t="shared" si="1796"/>
        <v>-1.6810787765101531E-2</v>
      </c>
    </row>
    <row r="1694" spans="1:10" x14ac:dyDescent="0.45">
      <c r="A1694" s="1">
        <v>42642</v>
      </c>
      <c r="B1694">
        <v>47.83</v>
      </c>
      <c r="C1694">
        <v>1.5190999999999999</v>
      </c>
      <c r="D1694">
        <v>1.4420999999999999</v>
      </c>
      <c r="E1694" s="2">
        <f t="shared" si="1766"/>
        <v>13.8162</v>
      </c>
      <c r="F1694" s="2">
        <f t="shared" si="1768"/>
        <v>14.16640000000001</v>
      </c>
      <c r="G1694" s="2">
        <f t="shared" si="1770"/>
        <v>13.308199999999999</v>
      </c>
      <c r="H1694" s="2">
        <f t="shared" si="1771"/>
        <v>5.1908730667360903E-2</v>
      </c>
      <c r="I1694" s="2">
        <f t="shared" ref="I1694:J1694" si="1797">LN(C1693)-LN(C1692)</f>
        <v>5.4620849873945665E-2</v>
      </c>
      <c r="J1694" s="2">
        <f t="shared" si="1797"/>
        <v>5.4206264652034708E-2</v>
      </c>
    </row>
    <row r="1695" spans="1:10" x14ac:dyDescent="0.45">
      <c r="A1695" s="1">
        <v>42643</v>
      </c>
      <c r="B1695">
        <v>48.24</v>
      </c>
      <c r="C1695">
        <v>1.5383</v>
      </c>
      <c r="D1695">
        <v>1.4631000000000001</v>
      </c>
      <c r="E1695" s="2">
        <f t="shared" si="1766"/>
        <v>14.263000000000005</v>
      </c>
      <c r="F1695" s="2">
        <f t="shared" si="1768"/>
        <v>13.8162</v>
      </c>
      <c r="G1695" s="2">
        <f t="shared" si="1770"/>
        <v>14.16640000000001</v>
      </c>
      <c r="H1695" s="2">
        <f t="shared" si="1771"/>
        <v>1.6442191660817063E-2</v>
      </c>
      <c r="I1695" s="2">
        <f t="shared" ref="I1695:J1695" si="1798">LN(C1694)-LN(C1693)</f>
        <v>1.559059011065822E-2</v>
      </c>
      <c r="J1695" s="2">
        <f t="shared" si="1798"/>
        <v>2.4994805764221306E-3</v>
      </c>
    </row>
    <row r="1696" spans="1:10" x14ac:dyDescent="0.45">
      <c r="A1696" s="1">
        <v>42646</v>
      </c>
      <c r="B1696">
        <v>48.81</v>
      </c>
      <c r="C1696">
        <v>1.5531999999999999</v>
      </c>
      <c r="D1696">
        <v>1.4704999999999999</v>
      </c>
      <c r="E1696" s="2">
        <f t="shared" si="1766"/>
        <v>14.108799999999993</v>
      </c>
      <c r="F1696" s="2">
        <f t="shared" si="1768"/>
        <v>14.263000000000005</v>
      </c>
      <c r="G1696" s="2">
        <f t="shared" si="1770"/>
        <v>13.8162</v>
      </c>
      <c r="H1696" s="2">
        <f t="shared" si="1771"/>
        <v>8.5354947267246573E-3</v>
      </c>
      <c r="I1696" s="2">
        <f t="shared" ref="I1696:J1696" si="1799">LN(C1695)-LN(C1694)</f>
        <v>1.2559856348088483E-2</v>
      </c>
      <c r="J1696" s="2">
        <f t="shared" si="1799"/>
        <v>1.4457087816092007E-2</v>
      </c>
    </row>
    <row r="1697" spans="1:10" x14ac:dyDescent="0.45">
      <c r="A1697" s="1">
        <v>42647</v>
      </c>
      <c r="B1697">
        <v>48.69</v>
      </c>
      <c r="C1697">
        <v>1.5544</v>
      </c>
      <c r="D1697">
        <v>1.4996</v>
      </c>
      <c r="E1697" s="2">
        <f t="shared" si="1766"/>
        <v>15.060400000000007</v>
      </c>
      <c r="F1697" s="2">
        <f t="shared" si="1768"/>
        <v>14.108799999999993</v>
      </c>
      <c r="G1697" s="2">
        <f t="shared" si="1770"/>
        <v>14.263000000000005</v>
      </c>
      <c r="H1697" s="2">
        <f t="shared" si="1771"/>
        <v>1.1746657480125933E-2</v>
      </c>
      <c r="I1697" s="2">
        <f t="shared" ref="I1697:J1697" si="1800">LN(C1696)-LN(C1695)</f>
        <v>9.6394082958067839E-3</v>
      </c>
      <c r="J1697" s="2">
        <f t="shared" si="1800"/>
        <v>5.0450066099330115E-3</v>
      </c>
    </row>
    <row r="1698" spans="1:10" x14ac:dyDescent="0.45">
      <c r="A1698" s="1">
        <v>42648</v>
      </c>
      <c r="B1698">
        <v>49.83</v>
      </c>
      <c r="C1698">
        <v>1.5823</v>
      </c>
      <c r="D1698">
        <v>1.4927999999999999</v>
      </c>
      <c r="E1698" s="2">
        <f t="shared" si="1766"/>
        <v>14.120599999999996</v>
      </c>
      <c r="F1698" s="2">
        <f t="shared" si="1768"/>
        <v>15.060400000000007</v>
      </c>
      <c r="G1698" s="2">
        <f t="shared" si="1770"/>
        <v>14.108799999999993</v>
      </c>
      <c r="H1698" s="2">
        <f t="shared" si="1771"/>
        <v>-2.4615397044467358E-3</v>
      </c>
      <c r="I1698" s="2">
        <f t="shared" ref="I1698:J1698" si="1801">LN(C1697)-LN(C1696)</f>
        <v>7.7230020571816826E-4</v>
      </c>
      <c r="J1698" s="2">
        <f t="shared" si="1801"/>
        <v>1.9595926867707281E-2</v>
      </c>
    </row>
    <row r="1699" spans="1:10" x14ac:dyDescent="0.45">
      <c r="A1699" s="1">
        <v>42649</v>
      </c>
      <c r="B1699">
        <v>50.44</v>
      </c>
      <c r="C1699">
        <v>1.5958000000000001</v>
      </c>
      <c r="D1699">
        <v>1.4978</v>
      </c>
      <c r="E1699" s="2">
        <f t="shared" si="1766"/>
        <v>13.839599999999999</v>
      </c>
      <c r="F1699" s="2">
        <f t="shared" si="1768"/>
        <v>14.120599999999996</v>
      </c>
      <c r="G1699" s="2">
        <f t="shared" si="1770"/>
        <v>15.060400000000007</v>
      </c>
      <c r="H1699" s="2">
        <f t="shared" si="1771"/>
        <v>2.314354209870384E-2</v>
      </c>
      <c r="I1699" s="2">
        <f t="shared" ref="I1699:J1699" si="1802">LN(C1698)-LN(C1697)</f>
        <v>1.7789865661707205E-2</v>
      </c>
      <c r="J1699" s="2">
        <f t="shared" si="1802"/>
        <v>-4.5448547686776641E-3</v>
      </c>
    </row>
    <row r="1700" spans="1:10" x14ac:dyDescent="0.45">
      <c r="A1700" s="1">
        <v>42650</v>
      </c>
      <c r="B1700">
        <v>49.81</v>
      </c>
      <c r="C1700">
        <v>1.5792999999999999</v>
      </c>
      <c r="D1700">
        <v>1.4818</v>
      </c>
      <c r="E1700" s="2">
        <f t="shared" si="1766"/>
        <v>13.790600000000003</v>
      </c>
      <c r="F1700" s="2">
        <f t="shared" si="1768"/>
        <v>13.839599999999999</v>
      </c>
      <c r="G1700" s="2">
        <f t="shared" si="1770"/>
        <v>14.120599999999996</v>
      </c>
      <c r="H1700" s="2">
        <f t="shared" si="1771"/>
        <v>1.2167298803405391E-2</v>
      </c>
      <c r="I1700" s="2">
        <f t="shared" ref="I1700:J1700" si="1803">LN(C1699)-LN(C1698)</f>
        <v>8.4956931492430887E-3</v>
      </c>
      <c r="J1700" s="2">
        <f t="shared" si="1803"/>
        <v>3.3438137221873943E-3</v>
      </c>
    </row>
    <row r="1701" spans="1:10" x14ac:dyDescent="0.45">
      <c r="A1701" s="1">
        <v>42653</v>
      </c>
      <c r="B1701">
        <v>51.35</v>
      </c>
      <c r="C1701">
        <v>1.6102000000000001</v>
      </c>
      <c r="D1701">
        <v>1.4972000000000001</v>
      </c>
      <c r="E1701" s="2">
        <f t="shared" si="1766"/>
        <v>13.114399999999998</v>
      </c>
      <c r="F1701" s="2">
        <f t="shared" si="1768"/>
        <v>13.790600000000003</v>
      </c>
      <c r="G1701" s="2">
        <f t="shared" si="1770"/>
        <v>13.839599999999999</v>
      </c>
      <c r="H1701" s="2">
        <f t="shared" si="1771"/>
        <v>-1.2568744011526523E-2</v>
      </c>
      <c r="I1701" s="2">
        <f t="shared" ref="I1701:J1701" si="1804">LN(C1700)-LN(C1699)</f>
        <v>-1.0393466998171785E-2</v>
      </c>
      <c r="J1701" s="2">
        <f t="shared" si="1804"/>
        <v>-1.0739799832710173E-2</v>
      </c>
    </row>
    <row r="1702" spans="1:10" x14ac:dyDescent="0.45">
      <c r="A1702" s="1">
        <v>42654</v>
      </c>
      <c r="B1702">
        <v>50.79</v>
      </c>
      <c r="C1702">
        <v>1.5872999999999999</v>
      </c>
      <c r="D1702">
        <v>1.4829000000000001</v>
      </c>
      <c r="E1702" s="2">
        <f t="shared" si="1766"/>
        <v>12.953400000000007</v>
      </c>
      <c r="F1702" s="2">
        <f t="shared" si="1768"/>
        <v>13.114399999999998</v>
      </c>
      <c r="G1702" s="2">
        <f t="shared" si="1770"/>
        <v>13.790600000000003</v>
      </c>
      <c r="H1702" s="2">
        <f t="shared" si="1771"/>
        <v>3.0449169289375355E-2</v>
      </c>
      <c r="I1702" s="2">
        <f t="shared" ref="I1702:J1702" si="1805">LN(C1701)-LN(C1700)</f>
        <v>1.9376683989871579E-2</v>
      </c>
      <c r="J1702" s="2">
        <f t="shared" si="1805"/>
        <v>1.0339132047717414E-2</v>
      </c>
    </row>
    <row r="1703" spans="1:10" x14ac:dyDescent="0.45">
      <c r="A1703" s="1">
        <v>42655</v>
      </c>
      <c r="B1703">
        <v>50.18</v>
      </c>
      <c r="C1703">
        <v>1.5668</v>
      </c>
      <c r="D1703">
        <v>1.4619</v>
      </c>
      <c r="E1703" s="2">
        <f t="shared" si="1766"/>
        <v>12.688400000000001</v>
      </c>
      <c r="F1703" s="2">
        <f t="shared" si="1768"/>
        <v>12.953400000000007</v>
      </c>
      <c r="G1703" s="2">
        <f t="shared" si="1770"/>
        <v>13.114399999999998</v>
      </c>
      <c r="H1703" s="2">
        <f t="shared" si="1771"/>
        <v>-1.0965451561413708E-2</v>
      </c>
      <c r="I1703" s="2">
        <f t="shared" ref="I1703:J1703" si="1806">LN(C1702)-LN(C1701)</f>
        <v>-1.4323935287684719E-2</v>
      </c>
      <c r="J1703" s="2">
        <f t="shared" si="1806"/>
        <v>-9.5970670492505628E-3</v>
      </c>
    </row>
    <row r="1704" spans="1:10" x14ac:dyDescent="0.45">
      <c r="A1704" s="1">
        <v>42656</v>
      </c>
      <c r="B1704">
        <v>50.44</v>
      </c>
      <c r="C1704">
        <v>1.5795999999999999</v>
      </c>
      <c r="D1704">
        <v>1.4818</v>
      </c>
      <c r="E1704" s="2">
        <f t="shared" si="1766"/>
        <v>13.164799999999994</v>
      </c>
      <c r="F1704" s="2">
        <f t="shared" si="1768"/>
        <v>12.688400000000001</v>
      </c>
      <c r="G1704" s="2">
        <f t="shared" si="1770"/>
        <v>12.953400000000007</v>
      </c>
      <c r="H1704" s="2">
        <f t="shared" si="1771"/>
        <v>-1.2082943874877294E-2</v>
      </c>
      <c r="I1704" s="2">
        <f t="shared" ref="I1704:J1704" si="1807">LN(C1703)-LN(C1702)</f>
        <v>-1.2999136786519483E-2</v>
      </c>
      <c r="J1704" s="2">
        <f t="shared" si="1807"/>
        <v>-1.4262670463453198E-2</v>
      </c>
    </row>
    <row r="1705" spans="1:10" x14ac:dyDescent="0.45">
      <c r="A1705" s="1">
        <v>42657</v>
      </c>
      <c r="B1705">
        <v>50.35</v>
      </c>
      <c r="C1705">
        <v>1.5672999999999999</v>
      </c>
      <c r="D1705">
        <v>1.4936</v>
      </c>
      <c r="E1705" s="2">
        <f t="shared" si="1766"/>
        <v>13.412999999999991</v>
      </c>
      <c r="F1705" s="2">
        <f t="shared" si="1768"/>
        <v>13.164799999999994</v>
      </c>
      <c r="G1705" s="2">
        <f t="shared" si="1770"/>
        <v>12.688400000000001</v>
      </c>
      <c r="H1705" s="2">
        <f t="shared" si="1771"/>
        <v>5.16797015844217E-3</v>
      </c>
      <c r="I1705" s="2">
        <f t="shared" ref="I1705:J1705" si="1808">LN(C1704)-LN(C1703)</f>
        <v>8.1363276208180624E-3</v>
      </c>
      <c r="J1705" s="2">
        <f t="shared" si="1808"/>
        <v>1.3520605464986346E-2</v>
      </c>
    </row>
    <row r="1706" spans="1:10" x14ac:dyDescent="0.45">
      <c r="A1706" s="1">
        <v>42660</v>
      </c>
      <c r="B1706">
        <v>49.94</v>
      </c>
      <c r="C1706">
        <v>1.5561</v>
      </c>
      <c r="D1706">
        <v>1.4823</v>
      </c>
      <c r="E1706" s="2">
        <f t="shared" si="1766"/>
        <v>13.349799999999997</v>
      </c>
      <c r="F1706" s="2">
        <f t="shared" si="1768"/>
        <v>13.412999999999991</v>
      </c>
      <c r="G1706" s="2">
        <f t="shared" si="1770"/>
        <v>13.164799999999994</v>
      </c>
      <c r="H1706" s="2">
        <f t="shared" si="1771"/>
        <v>-1.7858919321471767E-3</v>
      </c>
      <c r="I1706" s="2">
        <f t="shared" ref="I1706:J1706" si="1809">LN(C1705)-LN(C1704)</f>
        <v>-7.8172567524719128E-3</v>
      </c>
      <c r="J1706" s="2">
        <f t="shared" si="1809"/>
        <v>7.9317482449563492E-3</v>
      </c>
    </row>
    <row r="1707" spans="1:10" x14ac:dyDescent="0.45">
      <c r="A1707" s="1">
        <v>42661</v>
      </c>
      <c r="B1707">
        <v>50.62</v>
      </c>
      <c r="C1707">
        <v>1.5885</v>
      </c>
      <c r="D1707">
        <v>1.4922</v>
      </c>
      <c r="E1707" s="2">
        <f t="shared" si="1766"/>
        <v>13.400600000000006</v>
      </c>
      <c r="F1707" s="2">
        <f t="shared" si="1768"/>
        <v>13.349799999999997</v>
      </c>
      <c r="G1707" s="2">
        <f t="shared" si="1770"/>
        <v>13.412999999999991</v>
      </c>
      <c r="H1707" s="2">
        <f t="shared" si="1771"/>
        <v>-8.1763343129441779E-3</v>
      </c>
      <c r="I1707" s="2">
        <f t="shared" ref="I1707:J1707" si="1810">LN(C1706)-LN(C1705)</f>
        <v>-7.1717026345581303E-3</v>
      </c>
      <c r="J1707" s="2">
        <f t="shared" si="1810"/>
        <v>-7.594377707698885E-3</v>
      </c>
    </row>
    <row r="1708" spans="1:10" x14ac:dyDescent="0.45">
      <c r="A1708" s="1">
        <v>42662</v>
      </c>
      <c r="B1708">
        <v>51.82</v>
      </c>
      <c r="C1708">
        <v>1.6079000000000001</v>
      </c>
      <c r="D1708">
        <v>1.5032000000000001</v>
      </c>
      <c r="E1708" s="2">
        <f t="shared" si="1766"/>
        <v>12.780200000000008</v>
      </c>
      <c r="F1708" s="2">
        <f t="shared" si="1768"/>
        <v>13.400600000000006</v>
      </c>
      <c r="G1708" s="2">
        <f t="shared" si="1770"/>
        <v>13.349799999999997</v>
      </c>
      <c r="H1708" s="2">
        <f t="shared" si="1771"/>
        <v>1.352447026535053E-2</v>
      </c>
      <c r="I1708" s="2">
        <f t="shared" ref="I1708:J1708" si="1811">LN(C1707)-LN(C1706)</f>
        <v>2.0607483684106587E-2</v>
      </c>
      <c r="J1708" s="2">
        <f t="shared" si="1811"/>
        <v>6.6566055176000005E-3</v>
      </c>
    </row>
    <row r="1709" spans="1:10" x14ac:dyDescent="0.45">
      <c r="A1709" s="1">
        <v>42663</v>
      </c>
      <c r="B1709">
        <v>50.63</v>
      </c>
      <c r="C1709">
        <v>1.5790999999999999</v>
      </c>
      <c r="D1709">
        <v>1.4799</v>
      </c>
      <c r="E1709" s="2">
        <f t="shared" si="1766"/>
        <v>12.914599999999998</v>
      </c>
      <c r="F1709" s="2">
        <f t="shared" si="1768"/>
        <v>12.780200000000008</v>
      </c>
      <c r="G1709" s="2">
        <f t="shared" si="1770"/>
        <v>13.400600000000006</v>
      </c>
      <c r="H1709" s="2">
        <f t="shared" si="1771"/>
        <v>2.3429420016986224E-2</v>
      </c>
      <c r="I1709" s="2">
        <f t="shared" ref="I1709:J1709" si="1812">LN(C1708)-LN(C1707)</f>
        <v>1.213880504079512E-2</v>
      </c>
      <c r="J1709" s="2">
        <f t="shared" si="1812"/>
        <v>7.3446280618416071E-3</v>
      </c>
    </row>
    <row r="1710" spans="1:10" x14ac:dyDescent="0.45">
      <c r="A1710" s="1">
        <v>42664</v>
      </c>
      <c r="B1710">
        <v>50.85</v>
      </c>
      <c r="C1710">
        <v>1.5926</v>
      </c>
      <c r="D1710">
        <v>1.5122</v>
      </c>
      <c r="E1710" s="2">
        <f t="shared" si="1766"/>
        <v>13.787999999999991</v>
      </c>
      <c r="F1710" s="2">
        <f t="shared" si="1768"/>
        <v>12.914599999999998</v>
      </c>
      <c r="G1710" s="2">
        <f t="shared" si="1770"/>
        <v>12.780200000000008</v>
      </c>
      <c r="H1710" s="2">
        <f t="shared" si="1771"/>
        <v>-2.3231889152146135E-2</v>
      </c>
      <c r="I1710" s="2">
        <f t="shared" ref="I1710:J1710" si="1813">LN(C1709)-LN(C1708)</f>
        <v>-1.8073915277768471E-2</v>
      </c>
      <c r="J1710" s="2">
        <f t="shared" si="1813"/>
        <v>-1.5621651191453367E-2</v>
      </c>
    </row>
    <row r="1711" spans="1:10" x14ac:dyDescent="0.45">
      <c r="A1711" s="1">
        <v>42667</v>
      </c>
      <c r="B1711">
        <v>50.52</v>
      </c>
      <c r="C1711">
        <v>1.5985</v>
      </c>
      <c r="D1711">
        <v>1.4892000000000001</v>
      </c>
      <c r="E1711" s="2">
        <f t="shared" si="1766"/>
        <v>13.556600000000003</v>
      </c>
      <c r="F1711" s="2">
        <f t="shared" si="1768"/>
        <v>13.787999999999991</v>
      </c>
      <c r="G1711" s="2">
        <f t="shared" si="1770"/>
        <v>12.914599999999998</v>
      </c>
      <c r="H1711" s="2">
        <f t="shared" si="1771"/>
        <v>4.3358365127512677E-3</v>
      </c>
      <c r="I1711" s="2">
        <f t="shared" ref="I1711:J1711" si="1814">LN(C1710)-LN(C1709)</f>
        <v>8.5128363507470106E-3</v>
      </c>
      <c r="J1711" s="2">
        <f t="shared" si="1814"/>
        <v>2.1591026216367271E-2</v>
      </c>
    </row>
    <row r="1712" spans="1:10" x14ac:dyDescent="0.45">
      <c r="A1712" s="1">
        <v>42668</v>
      </c>
      <c r="B1712">
        <v>49.96</v>
      </c>
      <c r="C1712">
        <v>1.5807</v>
      </c>
      <c r="D1712">
        <v>1.4859</v>
      </c>
      <c r="E1712" s="2">
        <f t="shared" si="1766"/>
        <v>13.774999999999997</v>
      </c>
      <c r="F1712" s="2">
        <f t="shared" si="1768"/>
        <v>13.556600000000003</v>
      </c>
      <c r="G1712" s="2">
        <f t="shared" si="1770"/>
        <v>13.787999999999991</v>
      </c>
      <c r="H1712" s="2">
        <f t="shared" si="1771"/>
        <v>-6.5108250122785094E-3</v>
      </c>
      <c r="I1712" s="2">
        <f t="shared" ref="I1712:J1712" si="1815">LN(C1711)-LN(C1710)</f>
        <v>3.6977886765516832E-3</v>
      </c>
      <c r="J1712" s="2">
        <f t="shared" si="1815"/>
        <v>-1.5326481125607638E-2</v>
      </c>
    </row>
    <row r="1713" spans="1:10" x14ac:dyDescent="0.45">
      <c r="A1713" s="1">
        <v>42669</v>
      </c>
      <c r="B1713">
        <v>49.18</v>
      </c>
      <c r="C1713">
        <v>1.5673999999999999</v>
      </c>
      <c r="D1713">
        <v>1.4712000000000001</v>
      </c>
      <c r="E1713" s="2">
        <f t="shared" si="1766"/>
        <v>13.957200000000009</v>
      </c>
      <c r="F1713" s="2">
        <f t="shared" si="1768"/>
        <v>13.774999999999997</v>
      </c>
      <c r="G1713" s="2">
        <f t="shared" si="1770"/>
        <v>13.556600000000003</v>
      </c>
      <c r="H1713" s="2">
        <f t="shared" si="1771"/>
        <v>-1.1146612224913532E-2</v>
      </c>
      <c r="I1713" s="2">
        <f t="shared" ref="I1713:J1713" si="1816">LN(C1712)-LN(C1711)</f>
        <v>-1.1197902616546407E-2</v>
      </c>
      <c r="J1713" s="2">
        <f t="shared" si="1816"/>
        <v>-2.2184137362601386E-3</v>
      </c>
    </row>
    <row r="1714" spans="1:10" x14ac:dyDescent="0.45">
      <c r="A1714" s="1">
        <v>42670</v>
      </c>
      <c r="B1714">
        <v>49.72</v>
      </c>
      <c r="C1714">
        <v>1.5868</v>
      </c>
      <c r="D1714">
        <v>1.4777</v>
      </c>
      <c r="E1714" s="2">
        <f t="shared" si="1766"/>
        <v>13.870800000000003</v>
      </c>
      <c r="F1714" s="2">
        <f t="shared" si="1768"/>
        <v>13.957200000000009</v>
      </c>
      <c r="G1714" s="2">
        <f t="shared" si="1770"/>
        <v>13.774999999999997</v>
      </c>
      <c r="H1714" s="2">
        <f t="shared" si="1771"/>
        <v>-1.573564846933051E-2</v>
      </c>
      <c r="I1714" s="2">
        <f t="shared" ref="I1714:J1714" si="1817">LN(C1713)-LN(C1712)</f>
        <v>-8.4495912645856097E-3</v>
      </c>
      <c r="J1714" s="2">
        <f t="shared" si="1817"/>
        <v>-9.9422549721903675E-3</v>
      </c>
    </row>
    <row r="1715" spans="1:10" x14ac:dyDescent="0.45">
      <c r="A1715" s="1">
        <v>42671</v>
      </c>
      <c r="B1715">
        <v>48.7</v>
      </c>
      <c r="C1715">
        <v>1.5576000000000001</v>
      </c>
      <c r="D1715">
        <v>1.4549000000000001</v>
      </c>
      <c r="E1715" s="2">
        <f t="shared" si="1766"/>
        <v>13.8436</v>
      </c>
      <c r="F1715" s="2">
        <f t="shared" si="1768"/>
        <v>13.870800000000003</v>
      </c>
      <c r="G1715" s="2">
        <f t="shared" si="1770"/>
        <v>13.957200000000009</v>
      </c>
      <c r="H1715" s="2">
        <f t="shared" si="1771"/>
        <v>1.0920229854463948E-2</v>
      </c>
      <c r="I1715" s="2">
        <f t="shared" ref="I1715:J1715" si="1818">LN(C1714)-LN(C1713)</f>
        <v>1.2301214021410933E-2</v>
      </c>
      <c r="J1715" s="2">
        <f t="shared" si="1818"/>
        <v>4.4084306194768774E-3</v>
      </c>
    </row>
    <row r="1716" spans="1:10" x14ac:dyDescent="0.45">
      <c r="A1716" s="1">
        <v>42674</v>
      </c>
      <c r="B1716">
        <v>46.86</v>
      </c>
      <c r="C1716">
        <v>1.5039</v>
      </c>
      <c r="D1716">
        <v>1.4195</v>
      </c>
      <c r="E1716" s="2">
        <f t="shared" si="1766"/>
        <v>13.940600000000009</v>
      </c>
      <c r="F1716" s="2">
        <f t="shared" si="1768"/>
        <v>13.8436</v>
      </c>
      <c r="G1716" s="2">
        <f t="shared" si="1770"/>
        <v>13.870800000000003</v>
      </c>
      <c r="H1716" s="2">
        <f t="shared" si="1771"/>
        <v>-2.0728236553966273E-2</v>
      </c>
      <c r="I1716" s="2">
        <f t="shared" ref="I1716:J1716" si="1819">LN(C1715)-LN(C1714)</f>
        <v>-1.8573234582185072E-2</v>
      </c>
      <c r="J1716" s="2">
        <f t="shared" si="1819"/>
        <v>-1.5549655188245193E-2</v>
      </c>
    </row>
    <row r="1717" spans="1:10" x14ac:dyDescent="0.45">
      <c r="A1717" s="1">
        <v>42675</v>
      </c>
      <c r="B1717">
        <v>46.67</v>
      </c>
      <c r="C1717">
        <v>1.5168999999999999</v>
      </c>
      <c r="D1717">
        <v>1.4841</v>
      </c>
      <c r="E1717" s="2">
        <f t="shared" si="1766"/>
        <v>16.121400000000005</v>
      </c>
      <c r="F1717" s="2">
        <f t="shared" si="1768"/>
        <v>13.940600000000009</v>
      </c>
      <c r="G1717" s="2">
        <f t="shared" si="1770"/>
        <v>13.8436</v>
      </c>
      <c r="H1717" s="2">
        <f t="shared" si="1771"/>
        <v>-3.851459700889448E-2</v>
      </c>
      <c r="I1717" s="2">
        <f t="shared" ref="I1717:J1717" si="1820">LN(C1716)-LN(C1715)</f>
        <v>-3.5084441120422583E-2</v>
      </c>
      <c r="J1717" s="2">
        <f t="shared" si="1820"/>
        <v>-2.4632472808317152E-2</v>
      </c>
    </row>
    <row r="1718" spans="1:10" x14ac:dyDescent="0.45">
      <c r="A1718" s="1">
        <v>42676</v>
      </c>
      <c r="B1718">
        <v>45.34</v>
      </c>
      <c r="C1718">
        <v>1.4664999999999999</v>
      </c>
      <c r="D1718">
        <v>1.4479</v>
      </c>
      <c r="E1718" s="2">
        <f t="shared" si="1766"/>
        <v>15.732199999999997</v>
      </c>
      <c r="F1718" s="2">
        <f t="shared" si="1768"/>
        <v>16.121400000000005</v>
      </c>
      <c r="G1718" s="2">
        <f t="shared" si="1770"/>
        <v>13.940600000000009</v>
      </c>
      <c r="H1718" s="2">
        <f t="shared" si="1771"/>
        <v>-4.062873117925303E-3</v>
      </c>
      <c r="I1718" s="2">
        <f t="shared" ref="I1718:J1718" si="1821">LN(C1717)-LN(C1716)</f>
        <v>8.6070446600591821E-3</v>
      </c>
      <c r="J1718" s="2">
        <f t="shared" si="1821"/>
        <v>4.4503830988746718E-2</v>
      </c>
    </row>
    <row r="1719" spans="1:10" x14ac:dyDescent="0.45">
      <c r="A1719" s="1">
        <v>42677</v>
      </c>
      <c r="B1719">
        <v>44.66</v>
      </c>
      <c r="C1719">
        <v>1.4581999999999999</v>
      </c>
      <c r="D1719">
        <v>1.4245000000000001</v>
      </c>
      <c r="E1719" s="2">
        <f t="shared" si="1766"/>
        <v>15.640800000000004</v>
      </c>
      <c r="F1719" s="2">
        <f t="shared" si="1768"/>
        <v>15.732199999999997</v>
      </c>
      <c r="G1719" s="2">
        <f t="shared" si="1770"/>
        <v>16.121400000000005</v>
      </c>
      <c r="H1719" s="2">
        <f t="shared" si="1771"/>
        <v>-2.891191488234135E-2</v>
      </c>
      <c r="I1719" s="2">
        <f t="shared" ref="I1719:J1719" si="1822">LN(C1718)-LN(C1717)</f>
        <v>-3.3790169180120955E-2</v>
      </c>
      <c r="J1719" s="2">
        <f t="shared" si="1822"/>
        <v>-2.4694297114396635E-2</v>
      </c>
    </row>
    <row r="1720" spans="1:10" x14ac:dyDescent="0.45">
      <c r="A1720" s="1">
        <v>42678</v>
      </c>
      <c r="B1720">
        <v>44.07</v>
      </c>
      <c r="C1720">
        <v>1.4302999999999999</v>
      </c>
      <c r="D1720">
        <v>1.3786</v>
      </c>
      <c r="E1720" s="2">
        <f t="shared" si="1766"/>
        <v>14.554999999999998</v>
      </c>
      <c r="F1720" s="2">
        <f t="shared" si="1768"/>
        <v>15.640800000000004</v>
      </c>
      <c r="G1720" s="2">
        <f t="shared" si="1770"/>
        <v>15.732199999999997</v>
      </c>
      <c r="H1720" s="2">
        <f t="shared" si="1771"/>
        <v>-1.5111398667371212E-2</v>
      </c>
      <c r="I1720" s="2">
        <f t="shared" ref="I1720:J1720" si="1823">LN(C1719)-LN(C1718)</f>
        <v>-5.6758110451757826E-3</v>
      </c>
      <c r="J1720" s="2">
        <f t="shared" si="1823"/>
        <v>-1.6293355849412938E-2</v>
      </c>
    </row>
    <row r="1721" spans="1:10" x14ac:dyDescent="0.45">
      <c r="A1721" s="1">
        <v>42681</v>
      </c>
      <c r="B1721">
        <v>44.89</v>
      </c>
      <c r="C1721">
        <v>1.4406000000000001</v>
      </c>
      <c r="D1721">
        <v>1.371</v>
      </c>
      <c r="E1721" s="2">
        <f t="shared" si="1766"/>
        <v>13.666399999999991</v>
      </c>
      <c r="F1721" s="2">
        <f t="shared" si="1768"/>
        <v>14.554999999999998</v>
      </c>
      <c r="G1721" s="2">
        <f t="shared" si="1770"/>
        <v>15.640800000000004</v>
      </c>
      <c r="H1721" s="2">
        <f t="shared" si="1771"/>
        <v>-1.3298967558116104E-2</v>
      </c>
      <c r="I1721" s="2">
        <f t="shared" ref="I1721:J1721" si="1824">LN(C1720)-LN(C1719)</f>
        <v>-1.9318585911475561E-2</v>
      </c>
      <c r="J1721" s="2">
        <f t="shared" si="1824"/>
        <v>-3.2752383486411574E-2</v>
      </c>
    </row>
    <row r="1722" spans="1:10" x14ac:dyDescent="0.45">
      <c r="A1722" s="1">
        <v>42682</v>
      </c>
      <c r="B1722">
        <v>44.98</v>
      </c>
      <c r="C1722">
        <v>1.4411</v>
      </c>
      <c r="D1722">
        <v>1.3692</v>
      </c>
      <c r="E1722" s="2">
        <f t="shared" si="1766"/>
        <v>13.532999999999996</v>
      </c>
      <c r="F1722" s="2">
        <f t="shared" si="1768"/>
        <v>13.666399999999991</v>
      </c>
      <c r="G1722" s="2">
        <f t="shared" si="1770"/>
        <v>14.554999999999998</v>
      </c>
      <c r="H1722" s="2">
        <f t="shared" si="1771"/>
        <v>1.8435773939945221E-2</v>
      </c>
      <c r="I1722" s="2">
        <f t="shared" ref="I1722:J1722" si="1825">LN(C1721)-LN(C1720)</f>
        <v>7.1754809944082898E-3</v>
      </c>
      <c r="J1722" s="2">
        <f t="shared" si="1825"/>
        <v>-5.5280908892370584E-3</v>
      </c>
    </row>
    <row r="1723" spans="1:10" x14ac:dyDescent="0.45">
      <c r="A1723" s="1">
        <v>42683</v>
      </c>
      <c r="B1723">
        <v>45.27</v>
      </c>
      <c r="C1723">
        <v>1.4411</v>
      </c>
      <c r="D1723">
        <v>1.3572</v>
      </c>
      <c r="E1723" s="2">
        <f t="shared" si="1766"/>
        <v>12.907000000000002</v>
      </c>
      <c r="F1723" s="2">
        <f t="shared" si="1768"/>
        <v>13.532999999999996</v>
      </c>
      <c r="G1723" s="2">
        <f t="shared" si="1770"/>
        <v>13.666399999999991</v>
      </c>
      <c r="H1723" s="2">
        <f t="shared" si="1771"/>
        <v>2.0028937373286482E-3</v>
      </c>
      <c r="I1723" s="2">
        <f t="shared" ref="I1723:J1723" si="1826">LN(C1722)-LN(C1721)</f>
        <v>3.4701738905335011E-4</v>
      </c>
      <c r="J1723" s="2">
        <f t="shared" si="1826"/>
        <v>-1.3137729062841497E-3</v>
      </c>
    </row>
    <row r="1724" spans="1:10" x14ac:dyDescent="0.45">
      <c r="A1724" s="1">
        <v>42684</v>
      </c>
      <c r="B1724">
        <v>44.66</v>
      </c>
      <c r="C1724">
        <v>1.4366000000000001</v>
      </c>
      <c r="D1724">
        <v>1.3376999999999999</v>
      </c>
      <c r="E1724" s="2">
        <f t="shared" si="1766"/>
        <v>12.907999999999996</v>
      </c>
      <c r="F1724" s="2">
        <f t="shared" si="1768"/>
        <v>12.907000000000002</v>
      </c>
      <c r="G1724" s="2">
        <f t="shared" si="1770"/>
        <v>13.532999999999996</v>
      </c>
      <c r="H1724" s="2">
        <f t="shared" si="1771"/>
        <v>6.4266149166978259E-3</v>
      </c>
      <c r="I1724" s="2">
        <f t="shared" ref="I1724:J1724" si="1827">LN(C1723)-LN(C1722)</f>
        <v>0</v>
      </c>
      <c r="J1724" s="2">
        <f t="shared" si="1827"/>
        <v>-8.8028737459551754E-3</v>
      </c>
    </row>
    <row r="1725" spans="1:10" x14ac:dyDescent="0.45">
      <c r="A1725" s="1">
        <v>42685</v>
      </c>
      <c r="B1725">
        <v>43.41</v>
      </c>
      <c r="C1725">
        <v>1.4012</v>
      </c>
      <c r="D1725">
        <v>1.3052999999999999</v>
      </c>
      <c r="E1725" s="2">
        <f t="shared" si="1766"/>
        <v>12.755200000000002</v>
      </c>
      <c r="F1725" s="2">
        <f t="shared" si="1768"/>
        <v>12.907999999999996</v>
      </c>
      <c r="G1725" s="2">
        <f t="shared" si="1770"/>
        <v>12.907000000000002</v>
      </c>
      <c r="H1725" s="2">
        <f t="shared" si="1771"/>
        <v>-1.3566315035855592E-2</v>
      </c>
      <c r="I1725" s="2">
        <f t="shared" ref="I1725:J1725" si="1828">LN(C1724)-LN(C1723)</f>
        <v>-3.1275002036146859E-3</v>
      </c>
      <c r="J1725" s="2">
        <f t="shared" si="1828"/>
        <v>-1.4472032608534524E-2</v>
      </c>
    </row>
    <row r="1726" spans="1:10" x14ac:dyDescent="0.45">
      <c r="A1726" s="1">
        <v>42688</v>
      </c>
      <c r="B1726">
        <v>43.32</v>
      </c>
      <c r="C1726">
        <v>1.3855</v>
      </c>
      <c r="D1726">
        <v>1.2778</v>
      </c>
      <c r="E1726" s="2">
        <f t="shared" si="1766"/>
        <v>11.855399999999994</v>
      </c>
      <c r="F1726" s="2">
        <f t="shared" si="1768"/>
        <v>12.755200000000002</v>
      </c>
      <c r="G1726" s="2">
        <f t="shared" si="1770"/>
        <v>12.907999999999996</v>
      </c>
      <c r="H1726" s="2">
        <f t="shared" si="1771"/>
        <v>-2.8388417100509766E-2</v>
      </c>
      <c r="I1726" s="2">
        <f t="shared" ref="I1726:J1726" si="1829">LN(C1725)-LN(C1724)</f>
        <v>-2.4950198317369499E-2</v>
      </c>
      <c r="J1726" s="2">
        <f t="shared" si="1829"/>
        <v>-2.4518821906796495E-2</v>
      </c>
    </row>
    <row r="1727" spans="1:10" x14ac:dyDescent="0.45">
      <c r="A1727" s="1">
        <v>42689</v>
      </c>
      <c r="B1727">
        <v>45.81</v>
      </c>
      <c r="C1727">
        <v>1.4439</v>
      </c>
      <c r="D1727">
        <v>1.335</v>
      </c>
      <c r="E1727" s="2">
        <f t="shared" si="1766"/>
        <v>11.784599999999992</v>
      </c>
      <c r="F1727" s="2">
        <f t="shared" si="1768"/>
        <v>11.855399999999994</v>
      </c>
      <c r="G1727" s="2">
        <f t="shared" si="1770"/>
        <v>12.755200000000002</v>
      </c>
      <c r="H1727" s="2">
        <f t="shared" si="1771"/>
        <v>-2.0754071787121298E-3</v>
      </c>
      <c r="I1727" s="2">
        <f t="shared" ref="I1727:J1727" si="1830">LN(C1726)-LN(C1725)</f>
        <v>-1.1267927020298718E-2</v>
      </c>
      <c r="J1727" s="2">
        <f t="shared" si="1830"/>
        <v>-2.1293050226501131E-2</v>
      </c>
    </row>
    <row r="1728" spans="1:10" x14ac:dyDescent="0.45">
      <c r="A1728" s="1">
        <v>42690</v>
      </c>
      <c r="B1728">
        <v>45.57</v>
      </c>
      <c r="C1728">
        <v>1.4350000000000001</v>
      </c>
      <c r="D1728">
        <v>1.3228</v>
      </c>
      <c r="E1728" s="2">
        <f t="shared" si="1766"/>
        <v>11.558399999999997</v>
      </c>
      <c r="F1728" s="2">
        <f t="shared" si="1768"/>
        <v>11.784599999999992</v>
      </c>
      <c r="G1728" s="2">
        <f t="shared" si="1770"/>
        <v>11.855399999999994</v>
      </c>
      <c r="H1728" s="2">
        <f t="shared" si="1771"/>
        <v>5.5887985765860737E-2</v>
      </c>
      <c r="I1728" s="2">
        <f t="shared" ref="I1728:J1728" si="1831">LN(C1727)-LN(C1726)</f>
        <v>4.1286700674140309E-2</v>
      </c>
      <c r="J1728" s="2">
        <f t="shared" si="1831"/>
        <v>4.3791442666106961E-2</v>
      </c>
    </row>
    <row r="1729" spans="1:10" x14ac:dyDescent="0.45">
      <c r="A1729" s="1">
        <v>42691</v>
      </c>
      <c r="B1729">
        <v>45.98</v>
      </c>
      <c r="C1729">
        <v>1.4470000000000001</v>
      </c>
      <c r="D1729">
        <v>1.3449</v>
      </c>
      <c r="E1729" s="2">
        <f t="shared" si="1766"/>
        <v>11.9352</v>
      </c>
      <c r="F1729" s="2">
        <f t="shared" si="1768"/>
        <v>11.558399999999997</v>
      </c>
      <c r="G1729" s="2">
        <f t="shared" si="1770"/>
        <v>11.784599999999992</v>
      </c>
      <c r="H1729" s="2">
        <f t="shared" si="1771"/>
        <v>-5.2528026228593205E-3</v>
      </c>
      <c r="I1729" s="2">
        <f t="shared" ref="I1729:J1729" si="1832">LN(C1728)-LN(C1727)</f>
        <v>-6.1829367834518312E-3</v>
      </c>
      <c r="J1729" s="2">
        <f t="shared" si="1832"/>
        <v>-9.1805897267122072E-3</v>
      </c>
    </row>
    <row r="1730" spans="1:10" x14ac:dyDescent="0.45">
      <c r="A1730" s="1">
        <v>42692</v>
      </c>
      <c r="B1730">
        <v>46.36</v>
      </c>
      <c r="C1730">
        <v>1.4684999999999999</v>
      </c>
      <c r="D1730">
        <v>1.343</v>
      </c>
      <c r="E1730" s="2">
        <f t="shared" si="1766"/>
        <v>11.803000000000006</v>
      </c>
      <c r="F1730" s="2">
        <f t="shared" si="1768"/>
        <v>11.9352</v>
      </c>
      <c r="G1730" s="2">
        <f t="shared" si="1770"/>
        <v>11.558399999999997</v>
      </c>
      <c r="H1730" s="2">
        <f t="shared" si="1771"/>
        <v>8.9569140592442587E-3</v>
      </c>
      <c r="I1730" s="2">
        <f t="shared" ref="I1730:J1730" si="1833">LN(C1729)-LN(C1728)</f>
        <v>8.3275984377623735E-3</v>
      </c>
      <c r="J1730" s="2">
        <f t="shared" si="1833"/>
        <v>1.6568958721865812E-2</v>
      </c>
    </row>
    <row r="1731" spans="1:10" x14ac:dyDescent="0.45">
      <c r="A1731" s="1">
        <v>42695</v>
      </c>
      <c r="B1731">
        <v>48.24</v>
      </c>
      <c r="C1731">
        <v>1.5361</v>
      </c>
      <c r="D1731">
        <v>1.401</v>
      </c>
      <c r="E1731" s="2">
        <f t="shared" ref="E1731:E1794" si="1834">(2*D1731*42+1*C1731*42-3*B1731)/3</f>
        <v>12.493399999999999</v>
      </c>
      <c r="F1731" s="2">
        <f t="shared" si="1768"/>
        <v>11.803000000000006</v>
      </c>
      <c r="G1731" s="2">
        <f t="shared" si="1770"/>
        <v>11.9352</v>
      </c>
      <c r="H1731" s="2">
        <f t="shared" si="1771"/>
        <v>8.2304991365154123E-3</v>
      </c>
      <c r="I1731" s="2">
        <f t="shared" ref="I1731:J1731" si="1835">LN(C1730)-LN(C1729)</f>
        <v>1.4749024007190803E-2</v>
      </c>
      <c r="J1731" s="2">
        <f t="shared" si="1835"/>
        <v>-1.4137433062659244E-3</v>
      </c>
    </row>
    <row r="1732" spans="1:10" x14ac:dyDescent="0.45">
      <c r="A1732" s="1">
        <v>42696</v>
      </c>
      <c r="B1732">
        <v>48.03</v>
      </c>
      <c r="C1732">
        <v>1.5406</v>
      </c>
      <c r="D1732">
        <v>1.4137</v>
      </c>
      <c r="E1732" s="2">
        <f t="shared" si="1834"/>
        <v>13.122000000000005</v>
      </c>
      <c r="F1732" s="2">
        <f t="shared" ref="F1732:F1795" si="1836">E1731</f>
        <v>12.493399999999999</v>
      </c>
      <c r="G1732" s="2">
        <f t="shared" si="1770"/>
        <v>11.803000000000006</v>
      </c>
      <c r="H1732" s="2">
        <f t="shared" si="1771"/>
        <v>3.975153394737907E-2</v>
      </c>
      <c r="I1732" s="2">
        <f t="shared" ref="I1732:J1732" si="1837">LN(C1731)-LN(C1730)</f>
        <v>4.5005265116425164E-2</v>
      </c>
      <c r="J1732" s="2">
        <f t="shared" si="1837"/>
        <v>4.2280349813769436E-2</v>
      </c>
    </row>
    <row r="1733" spans="1:10" x14ac:dyDescent="0.45">
      <c r="A1733" s="1">
        <v>42697</v>
      </c>
      <c r="B1733">
        <v>47.96</v>
      </c>
      <c r="C1733">
        <v>1.5329999999999999</v>
      </c>
      <c r="D1733">
        <v>1.4256</v>
      </c>
      <c r="E1733" s="2">
        <f t="shared" si="1834"/>
        <v>13.418799999999996</v>
      </c>
      <c r="F1733" s="2">
        <f t="shared" si="1836"/>
        <v>13.122000000000005</v>
      </c>
      <c r="G1733" s="2">
        <f t="shared" ref="G1733:G1796" si="1838">E1731</f>
        <v>12.493399999999999</v>
      </c>
      <c r="H1733" s="2">
        <f t="shared" ref="H1733:H1796" si="1839">LN(B1732)-LN(B1731)</f>
        <v>-4.3627367421970042E-3</v>
      </c>
      <c r="I1733" s="2">
        <f t="shared" ref="I1733:J1733" si="1840">LN(C1732)-LN(C1731)</f>
        <v>2.9252141637655105E-3</v>
      </c>
      <c r="J1733" s="2">
        <f t="shared" si="1840"/>
        <v>9.0241135359798164E-3</v>
      </c>
    </row>
    <row r="1734" spans="1:10" x14ac:dyDescent="0.45">
      <c r="A1734" s="1">
        <v>42699</v>
      </c>
      <c r="B1734">
        <v>46.06</v>
      </c>
      <c r="C1734">
        <v>1.4862</v>
      </c>
      <c r="D1734">
        <v>1.3761000000000001</v>
      </c>
      <c r="E1734" s="2">
        <f t="shared" si="1834"/>
        <v>13.277600000000007</v>
      </c>
      <c r="F1734" s="2">
        <f t="shared" si="1836"/>
        <v>13.418799999999996</v>
      </c>
      <c r="G1734" s="2">
        <f t="shared" si="1838"/>
        <v>13.122000000000005</v>
      </c>
      <c r="H1734" s="2">
        <f t="shared" si="1839"/>
        <v>-1.458485517419561E-3</v>
      </c>
      <c r="I1734" s="2">
        <f t="shared" ref="I1734:J1734" si="1841">LN(C1733)-LN(C1732)</f>
        <v>-4.945351047051294E-3</v>
      </c>
      <c r="J1734" s="2">
        <f t="shared" si="1841"/>
        <v>8.3823968435580154E-3</v>
      </c>
    </row>
    <row r="1735" spans="1:10" x14ac:dyDescent="0.45">
      <c r="A1735" s="1">
        <v>42702</v>
      </c>
      <c r="B1735">
        <v>47.08</v>
      </c>
      <c r="C1735">
        <v>1.5285</v>
      </c>
      <c r="D1735">
        <v>1.4146000000000001</v>
      </c>
      <c r="E1735" s="2">
        <f t="shared" si="1834"/>
        <v>13.9278</v>
      </c>
      <c r="F1735" s="2">
        <f t="shared" si="1836"/>
        <v>13.277600000000007</v>
      </c>
      <c r="G1735" s="2">
        <f t="shared" si="1838"/>
        <v>13.418799999999996</v>
      </c>
      <c r="H1735" s="2">
        <f t="shared" si="1839"/>
        <v>-4.0422435766774178E-2</v>
      </c>
      <c r="I1735" s="2">
        <f t="shared" ref="I1735:J1735" si="1842">LN(C1734)-LN(C1733)</f>
        <v>-3.1004073148445221E-2</v>
      </c>
      <c r="J1735" s="2">
        <f t="shared" si="1842"/>
        <v>-3.5339366445308773E-2</v>
      </c>
    </row>
    <row r="1736" spans="1:10" x14ac:dyDescent="0.45">
      <c r="A1736" s="1">
        <v>42703</v>
      </c>
      <c r="B1736">
        <v>45.23</v>
      </c>
      <c r="C1736">
        <v>1.4778</v>
      </c>
      <c r="D1736">
        <v>1.3772</v>
      </c>
      <c r="E1736" s="2">
        <f t="shared" si="1834"/>
        <v>14.020799999999999</v>
      </c>
      <c r="F1736" s="2">
        <f t="shared" si="1836"/>
        <v>13.9278</v>
      </c>
      <c r="G1736" s="2">
        <f t="shared" si="1838"/>
        <v>13.277600000000007</v>
      </c>
      <c r="H1736" s="2">
        <f t="shared" si="1839"/>
        <v>2.1903387999536506E-2</v>
      </c>
      <c r="I1736" s="2">
        <f t="shared" ref="I1736:J1736" si="1843">LN(C1735)-LN(C1734)</f>
        <v>2.8064335607520308E-2</v>
      </c>
      <c r="J1736" s="2">
        <f t="shared" si="1843"/>
        <v>2.7593394330653553E-2</v>
      </c>
    </row>
    <row r="1737" spans="1:10" x14ac:dyDescent="0.45">
      <c r="A1737" s="1">
        <v>42704</v>
      </c>
      <c r="B1737">
        <v>49.44</v>
      </c>
      <c r="C1737">
        <v>1.5763</v>
      </c>
      <c r="D1737">
        <v>1.4824999999999999</v>
      </c>
      <c r="E1737" s="2">
        <f t="shared" si="1834"/>
        <v>14.138200000000003</v>
      </c>
      <c r="F1737" s="2">
        <f t="shared" si="1836"/>
        <v>14.020799999999999</v>
      </c>
      <c r="G1737" s="2">
        <f t="shared" si="1838"/>
        <v>13.9278</v>
      </c>
      <c r="H1737" s="2">
        <f t="shared" si="1839"/>
        <v>-4.008769890232422E-2</v>
      </c>
      <c r="I1737" s="2">
        <f t="shared" ref="I1737:J1737" si="1844">LN(C1736)-LN(C1735)</f>
        <v>-3.3732366976341965E-2</v>
      </c>
      <c r="J1737" s="2">
        <f t="shared" si="1844"/>
        <v>-2.6794353137520932E-2</v>
      </c>
    </row>
    <row r="1738" spans="1:10" x14ac:dyDescent="0.45">
      <c r="A1738" s="1">
        <v>42705</v>
      </c>
      <c r="B1738">
        <v>51.06</v>
      </c>
      <c r="C1738">
        <v>1.6478999999999999</v>
      </c>
      <c r="D1738">
        <v>1.5469999999999999</v>
      </c>
      <c r="E1738" s="2">
        <f t="shared" si="1834"/>
        <v>15.326600000000004</v>
      </c>
      <c r="F1738" s="2">
        <f t="shared" si="1836"/>
        <v>14.138200000000003</v>
      </c>
      <c r="G1738" s="2">
        <f t="shared" si="1838"/>
        <v>14.020799999999999</v>
      </c>
      <c r="H1738" s="2">
        <f t="shared" si="1839"/>
        <v>8.8999229659683543E-2</v>
      </c>
      <c r="I1738" s="2">
        <f t="shared" ref="I1738:J1738" si="1845">LN(C1737)-LN(C1736)</f>
        <v>6.4525833277949529E-2</v>
      </c>
      <c r="J1738" s="2">
        <f t="shared" si="1845"/>
        <v>7.3677399407511779E-2</v>
      </c>
    </row>
    <row r="1739" spans="1:10" x14ac:dyDescent="0.45">
      <c r="A1739" s="1">
        <v>42706</v>
      </c>
      <c r="B1739">
        <v>51.68</v>
      </c>
      <c r="C1739">
        <v>1.6580999999999999</v>
      </c>
      <c r="D1739">
        <v>1.5590999999999999</v>
      </c>
      <c r="E1739" s="2">
        <f t="shared" si="1834"/>
        <v>15.188199999999995</v>
      </c>
      <c r="F1739" s="2">
        <f t="shared" si="1836"/>
        <v>15.326600000000004</v>
      </c>
      <c r="G1739" s="2">
        <f t="shared" si="1838"/>
        <v>14.138200000000003</v>
      </c>
      <c r="H1739" s="2">
        <f t="shared" si="1839"/>
        <v>3.2241598663902415E-2</v>
      </c>
      <c r="I1739" s="2">
        <f t="shared" ref="I1739:J1739" si="1846">LN(C1738)-LN(C1737)</f>
        <v>4.4421421384187643E-2</v>
      </c>
      <c r="J1739" s="2">
        <f t="shared" si="1846"/>
        <v>4.2587719701185633E-2</v>
      </c>
    </row>
    <row r="1740" spans="1:10" x14ac:dyDescent="0.45">
      <c r="A1740" s="1">
        <v>42709</v>
      </c>
      <c r="B1740">
        <v>51.79</v>
      </c>
      <c r="C1740">
        <v>1.6571</v>
      </c>
      <c r="D1740">
        <v>1.5575000000000001</v>
      </c>
      <c r="E1740" s="2">
        <f t="shared" si="1834"/>
        <v>15.019399999999999</v>
      </c>
      <c r="F1740" s="2">
        <f t="shared" si="1836"/>
        <v>15.188199999999995</v>
      </c>
      <c r="G1740" s="2">
        <f t="shared" si="1838"/>
        <v>15.326600000000004</v>
      </c>
      <c r="H1740" s="2">
        <f t="shared" si="1839"/>
        <v>1.2069447661008592E-2</v>
      </c>
      <c r="I1740" s="2">
        <f t="shared" ref="I1740:J1740" si="1847">LN(C1739)-LN(C1738)</f>
        <v>6.1706184906424877E-3</v>
      </c>
      <c r="J1740" s="2">
        <f t="shared" si="1847"/>
        <v>7.7911601094396987E-3</v>
      </c>
    </row>
    <row r="1741" spans="1:10" x14ac:dyDescent="0.45">
      <c r="A1741" s="1">
        <v>42710</v>
      </c>
      <c r="B1741">
        <v>50.93</v>
      </c>
      <c r="C1741">
        <v>1.6378999999999999</v>
      </c>
      <c r="D1741">
        <v>1.5359</v>
      </c>
      <c r="E1741" s="2">
        <f t="shared" si="1834"/>
        <v>15.005800000000002</v>
      </c>
      <c r="F1741" s="2">
        <f t="shared" si="1836"/>
        <v>15.019399999999999</v>
      </c>
      <c r="G1741" s="2">
        <f t="shared" si="1838"/>
        <v>15.188199999999995</v>
      </c>
      <c r="H1741" s="2">
        <f t="shared" si="1839"/>
        <v>2.1262209614536509E-3</v>
      </c>
      <c r="I1741" s="2">
        <f t="shared" ref="I1741:J1741" si="1848">LN(C1740)-LN(C1739)</f>
        <v>-6.0328187157876467E-4</v>
      </c>
      <c r="J1741" s="2">
        <f t="shared" si="1848"/>
        <v>-1.0267600208975214E-3</v>
      </c>
    </row>
    <row r="1742" spans="1:10" x14ac:dyDescent="0.45">
      <c r="A1742" s="1">
        <v>42711</v>
      </c>
      <c r="B1742">
        <v>49.77</v>
      </c>
      <c r="C1742">
        <v>1.6184000000000001</v>
      </c>
      <c r="D1742">
        <v>1.5082</v>
      </c>
      <c r="E1742" s="2">
        <f t="shared" si="1834"/>
        <v>15.117200000000006</v>
      </c>
      <c r="F1742" s="2">
        <f t="shared" si="1836"/>
        <v>15.005800000000002</v>
      </c>
      <c r="G1742" s="2">
        <f t="shared" si="1838"/>
        <v>15.019399999999999</v>
      </c>
      <c r="H1742" s="2">
        <f t="shared" si="1839"/>
        <v>-1.6744939539286463E-2</v>
      </c>
      <c r="I1742" s="2">
        <f t="shared" ref="I1742:J1742" si="1849">LN(C1741)-LN(C1740)</f>
        <v>-1.1654153147414303E-2</v>
      </c>
      <c r="J1742" s="2">
        <f t="shared" si="1849"/>
        <v>-1.3965443240025688E-2</v>
      </c>
    </row>
    <row r="1743" spans="1:10" x14ac:dyDescent="0.45">
      <c r="A1743" s="1">
        <v>42712</v>
      </c>
      <c r="B1743">
        <v>50.84</v>
      </c>
      <c r="C1743">
        <v>1.6258999999999999</v>
      </c>
      <c r="D1743">
        <v>1.5046999999999999</v>
      </c>
      <c r="E1743" s="2">
        <f t="shared" si="1834"/>
        <v>14.054199999999989</v>
      </c>
      <c r="F1743" s="2">
        <f t="shared" si="1836"/>
        <v>15.117200000000006</v>
      </c>
      <c r="G1743" s="2">
        <f t="shared" si="1838"/>
        <v>15.005800000000002</v>
      </c>
      <c r="H1743" s="2">
        <f t="shared" si="1839"/>
        <v>-2.3039748026050688E-2</v>
      </c>
      <c r="I1743" s="2">
        <f t="shared" ref="I1743:J1743" si="1850">LN(C1742)-LN(C1741)</f>
        <v>-1.1976926634798046E-2</v>
      </c>
      <c r="J1743" s="2">
        <f t="shared" si="1850"/>
        <v>-1.8199641653035947E-2</v>
      </c>
    </row>
    <row r="1744" spans="1:10" x14ac:dyDescent="0.45">
      <c r="A1744" s="1">
        <v>42713</v>
      </c>
      <c r="B1744">
        <v>51.5</v>
      </c>
      <c r="C1744">
        <v>1.6374</v>
      </c>
      <c r="D1744">
        <v>1.5073000000000001</v>
      </c>
      <c r="E1744" s="2">
        <f t="shared" si="1834"/>
        <v>13.628000000000005</v>
      </c>
      <c r="F1744" s="2">
        <f t="shared" si="1836"/>
        <v>14.054199999999989</v>
      </c>
      <c r="G1744" s="2">
        <f t="shared" si="1838"/>
        <v>15.117200000000006</v>
      </c>
      <c r="H1744" s="2">
        <f t="shared" si="1839"/>
        <v>2.12710534507905E-2</v>
      </c>
      <c r="I1744" s="2">
        <f t="shared" ref="I1744:J1744" si="1851">LN(C1743)-LN(C1742)</f>
        <v>4.6235017479735463E-3</v>
      </c>
      <c r="J1744" s="2">
        <f t="shared" si="1851"/>
        <v>-2.3233440037143116E-3</v>
      </c>
    </row>
    <row r="1745" spans="1:10" x14ac:dyDescent="0.45">
      <c r="A1745" s="1">
        <v>42716</v>
      </c>
      <c r="B1745">
        <v>52.83</v>
      </c>
      <c r="C1745">
        <v>1.6717</v>
      </c>
      <c r="D1745">
        <v>1.5429999999999999</v>
      </c>
      <c r="E1745" s="2">
        <f t="shared" si="1834"/>
        <v>13.777799999999994</v>
      </c>
      <c r="F1745" s="2">
        <f t="shared" si="1836"/>
        <v>13.628000000000005</v>
      </c>
      <c r="G1745" s="2">
        <f t="shared" si="1838"/>
        <v>14.054199999999989</v>
      </c>
      <c r="H1745" s="2">
        <f t="shared" si="1839"/>
        <v>1.2898361348437248E-2</v>
      </c>
      <c r="I1745" s="2">
        <f t="shared" ref="I1745:J1745" si="1852">LN(C1744)-LN(C1743)</f>
        <v>7.0481093408384377E-3</v>
      </c>
      <c r="J1745" s="2">
        <f t="shared" si="1852"/>
        <v>1.7264280516512964E-3</v>
      </c>
    </row>
    <row r="1746" spans="1:10" x14ac:dyDescent="0.45">
      <c r="A1746" s="1">
        <v>42717</v>
      </c>
      <c r="B1746">
        <v>52.98</v>
      </c>
      <c r="C1746">
        <v>1.6747000000000001</v>
      </c>
      <c r="D1746">
        <v>1.5507</v>
      </c>
      <c r="E1746" s="2">
        <f t="shared" si="1834"/>
        <v>13.885400000000004</v>
      </c>
      <c r="F1746" s="2">
        <f t="shared" si="1836"/>
        <v>13.777799999999994</v>
      </c>
      <c r="G1746" s="2">
        <f t="shared" si="1838"/>
        <v>13.628000000000005</v>
      </c>
      <c r="H1746" s="2">
        <f t="shared" si="1839"/>
        <v>2.5497403506534067E-2</v>
      </c>
      <c r="I1746" s="2">
        <f t="shared" ref="I1746:J1746" si="1853">LN(C1745)-LN(C1744)</f>
        <v>2.0731454766237278E-2</v>
      </c>
      <c r="J1746" s="2">
        <f t="shared" si="1853"/>
        <v>2.3408602546677149E-2</v>
      </c>
    </row>
    <row r="1747" spans="1:10" x14ac:dyDescent="0.45">
      <c r="A1747" s="1">
        <v>42718</v>
      </c>
      <c r="B1747">
        <v>51.04</v>
      </c>
      <c r="C1747">
        <v>1.6435</v>
      </c>
      <c r="D1747">
        <v>1.5330999999999999</v>
      </c>
      <c r="E1747" s="2">
        <f t="shared" si="1834"/>
        <v>14.895799999999989</v>
      </c>
      <c r="F1747" s="2">
        <f t="shared" si="1836"/>
        <v>13.885400000000004</v>
      </c>
      <c r="G1747" s="2">
        <f t="shared" si="1838"/>
        <v>13.777799999999994</v>
      </c>
      <c r="H1747" s="2">
        <f t="shared" si="1839"/>
        <v>2.835272667699229E-3</v>
      </c>
      <c r="I1747" s="2">
        <f t="shared" ref="I1747:J1747" si="1854">LN(C1746)-LN(C1745)</f>
        <v>1.7929720318475839E-3</v>
      </c>
      <c r="J1747" s="2">
        <f t="shared" si="1854"/>
        <v>4.9778685069425399E-3</v>
      </c>
    </row>
    <row r="1748" spans="1:10" x14ac:dyDescent="0.45">
      <c r="A1748" s="1">
        <v>42719</v>
      </c>
      <c r="B1748">
        <v>50.9</v>
      </c>
      <c r="C1748">
        <v>1.6419999999999999</v>
      </c>
      <c r="D1748">
        <v>1.5421</v>
      </c>
      <c r="E1748" s="2">
        <f t="shared" si="1834"/>
        <v>15.266800000000009</v>
      </c>
      <c r="F1748" s="2">
        <f t="shared" si="1836"/>
        <v>14.895799999999989</v>
      </c>
      <c r="G1748" s="2">
        <f t="shared" si="1838"/>
        <v>13.885400000000004</v>
      </c>
      <c r="H1748" s="2">
        <f t="shared" si="1839"/>
        <v>-3.7304844807389159E-2</v>
      </c>
      <c r="I1748" s="2">
        <f t="shared" ref="I1748:J1748" si="1855">LN(C1747)-LN(C1746)</f>
        <v>-1.8805930636158541E-2</v>
      </c>
      <c r="J1748" s="2">
        <f t="shared" si="1855"/>
        <v>-1.1414612553694858E-2</v>
      </c>
    </row>
    <row r="1749" spans="1:10" x14ac:dyDescent="0.45">
      <c r="A1749" s="1">
        <v>42720</v>
      </c>
      <c r="B1749">
        <v>52.95</v>
      </c>
      <c r="C1749">
        <v>1.6722999999999999</v>
      </c>
      <c r="D1749">
        <v>1.5570999999999999</v>
      </c>
      <c r="E1749" s="2">
        <f t="shared" si="1834"/>
        <v>14.060999999999998</v>
      </c>
      <c r="F1749" s="2">
        <f t="shared" si="1836"/>
        <v>15.266800000000009</v>
      </c>
      <c r="G1749" s="2">
        <f t="shared" si="1838"/>
        <v>14.895799999999989</v>
      </c>
      <c r="H1749" s="2">
        <f t="shared" si="1839"/>
        <v>-2.7467154800575599E-3</v>
      </c>
      <c r="I1749" s="2">
        <f t="shared" ref="I1749:J1749" si="1856">LN(C1748)-LN(C1747)</f>
        <v>-9.1310309190056893E-4</v>
      </c>
      <c r="J1749" s="2">
        <f t="shared" si="1856"/>
        <v>5.8532945472022924E-3</v>
      </c>
    </row>
    <row r="1750" spans="1:10" x14ac:dyDescent="0.45">
      <c r="A1750" s="1">
        <v>42723</v>
      </c>
      <c r="B1750">
        <v>53.06</v>
      </c>
      <c r="C1750">
        <v>1.669</v>
      </c>
      <c r="D1750">
        <v>1.583</v>
      </c>
      <c r="E1750" s="2">
        <f t="shared" si="1834"/>
        <v>14.629999999999995</v>
      </c>
      <c r="F1750" s="2">
        <f t="shared" si="1836"/>
        <v>14.060999999999998</v>
      </c>
      <c r="G1750" s="2">
        <f t="shared" si="1838"/>
        <v>15.266800000000009</v>
      </c>
      <c r="H1750" s="2">
        <f t="shared" si="1839"/>
        <v>3.9485148490938649E-2</v>
      </c>
      <c r="I1750" s="2">
        <f t="shared" ref="I1750:J1750" si="1857">LN(C1749)-LN(C1748)</f>
        <v>1.828491337470356E-2</v>
      </c>
      <c r="J1750" s="2">
        <f t="shared" si="1857"/>
        <v>9.6799929837682042E-3</v>
      </c>
    </row>
    <row r="1751" spans="1:10" x14ac:dyDescent="0.45">
      <c r="A1751" s="1">
        <v>42724</v>
      </c>
      <c r="B1751">
        <v>53.3</v>
      </c>
      <c r="C1751">
        <v>1.6888000000000001</v>
      </c>
      <c r="D1751">
        <v>1.6111</v>
      </c>
      <c r="E1751" s="2">
        <f t="shared" si="1834"/>
        <v>15.454000000000008</v>
      </c>
      <c r="F1751" s="2">
        <f t="shared" si="1836"/>
        <v>14.629999999999995</v>
      </c>
      <c r="G1751" s="2">
        <f t="shared" si="1838"/>
        <v>14.060999999999998</v>
      </c>
      <c r="H1751" s="2">
        <f t="shared" si="1839"/>
        <v>2.0752766621781049E-3</v>
      </c>
      <c r="I1751" s="2">
        <f t="shared" ref="I1751:J1751" si="1858">LN(C1750)-LN(C1749)</f>
        <v>-1.9752797252419185E-3</v>
      </c>
      <c r="J1751" s="2">
        <f t="shared" si="1858"/>
        <v>1.6496664033633202E-2</v>
      </c>
    </row>
    <row r="1752" spans="1:10" x14ac:dyDescent="0.45">
      <c r="A1752" s="1">
        <v>42725</v>
      </c>
      <c r="B1752">
        <v>52.49</v>
      </c>
      <c r="C1752">
        <v>1.6607000000000001</v>
      </c>
      <c r="D1752">
        <v>1.6202000000000001</v>
      </c>
      <c r="E1752" s="2">
        <f t="shared" si="1834"/>
        <v>16.125400000000003</v>
      </c>
      <c r="F1752" s="2">
        <f t="shared" si="1836"/>
        <v>15.454000000000008</v>
      </c>
      <c r="G1752" s="2">
        <f t="shared" si="1838"/>
        <v>14.629999999999995</v>
      </c>
      <c r="H1752" s="2">
        <f t="shared" si="1839"/>
        <v>4.5129824622049952E-3</v>
      </c>
      <c r="I1752" s="2">
        <f t="shared" ref="I1752:J1752" si="1859">LN(C1751)-LN(C1750)</f>
        <v>1.1793572872275782E-2</v>
      </c>
      <c r="J1752" s="2">
        <f t="shared" si="1859"/>
        <v>1.7595394615928739E-2</v>
      </c>
    </row>
    <row r="1753" spans="1:10" x14ac:dyDescent="0.45">
      <c r="A1753" s="1">
        <v>42726</v>
      </c>
      <c r="B1753">
        <v>52.95</v>
      </c>
      <c r="C1753">
        <v>1.6781999999999999</v>
      </c>
      <c r="D1753">
        <v>1.6197999999999999</v>
      </c>
      <c r="E1753" s="2">
        <f t="shared" si="1834"/>
        <v>15.899199999999988</v>
      </c>
      <c r="F1753" s="2">
        <f t="shared" si="1836"/>
        <v>16.125400000000003</v>
      </c>
      <c r="G1753" s="2">
        <f t="shared" si="1838"/>
        <v>15.454000000000008</v>
      </c>
      <c r="H1753" s="2">
        <f t="shared" si="1839"/>
        <v>-1.5313655907590373E-2</v>
      </c>
      <c r="I1753" s="2">
        <f t="shared" ref="I1753:J1753" si="1860">LN(C1752)-LN(C1751)</f>
        <v>-1.6779017321403411E-2</v>
      </c>
      <c r="J1753" s="2">
        <f t="shared" si="1860"/>
        <v>5.6324228994500403E-3</v>
      </c>
    </row>
    <row r="1754" spans="1:10" x14ac:dyDescent="0.45">
      <c r="A1754" s="1">
        <v>42727</v>
      </c>
      <c r="B1754">
        <v>53.02</v>
      </c>
      <c r="C1754">
        <v>1.6807000000000001</v>
      </c>
      <c r="D1754">
        <v>1.6398999999999999</v>
      </c>
      <c r="E1754" s="2">
        <f t="shared" si="1834"/>
        <v>16.427000000000003</v>
      </c>
      <c r="F1754" s="2">
        <f t="shared" si="1836"/>
        <v>15.899199999999988</v>
      </c>
      <c r="G1754" s="2">
        <f t="shared" si="1838"/>
        <v>16.125400000000003</v>
      </c>
      <c r="H1754" s="2">
        <f t="shared" si="1839"/>
        <v>8.7253967832072732E-3</v>
      </c>
      <c r="I1754" s="2">
        <f t="shared" ref="I1754:J1754" si="1861">LN(C1753)-LN(C1752)</f>
        <v>1.0482590223261479E-2</v>
      </c>
      <c r="J1754" s="2">
        <f t="shared" si="1861"/>
        <v>-2.4691358150147336E-4</v>
      </c>
    </row>
    <row r="1755" spans="1:10" x14ac:dyDescent="0.45">
      <c r="A1755" s="1">
        <v>42731</v>
      </c>
      <c r="B1755">
        <v>53.9</v>
      </c>
      <c r="C1755">
        <v>1.7171000000000001</v>
      </c>
      <c r="D1755">
        <v>1.6617</v>
      </c>
      <c r="E1755" s="2">
        <f t="shared" si="1834"/>
        <v>16.667000000000002</v>
      </c>
      <c r="F1755" s="2">
        <f t="shared" si="1836"/>
        <v>16.427000000000003</v>
      </c>
      <c r="G1755" s="2">
        <f t="shared" si="1838"/>
        <v>15.899199999999988</v>
      </c>
      <c r="H1755" s="2">
        <f t="shared" si="1839"/>
        <v>1.3211288134638011E-3</v>
      </c>
      <c r="I1755" s="2">
        <f t="shared" ref="I1755:J1755" si="1862">LN(C1754)-LN(C1753)</f>
        <v>1.4885828465519557E-3</v>
      </c>
      <c r="J1755" s="2">
        <f t="shared" si="1862"/>
        <v>1.2332579534510446E-2</v>
      </c>
    </row>
    <row r="1756" spans="1:10" x14ac:dyDescent="0.45">
      <c r="A1756" s="1">
        <v>42732</v>
      </c>
      <c r="B1756">
        <v>54.06</v>
      </c>
      <c r="C1756">
        <v>1.7171000000000001</v>
      </c>
      <c r="D1756">
        <v>1.6757</v>
      </c>
      <c r="E1756" s="2">
        <f t="shared" si="1834"/>
        <v>16.899000000000001</v>
      </c>
      <c r="F1756" s="2">
        <f t="shared" si="1836"/>
        <v>16.667000000000002</v>
      </c>
      <c r="G1756" s="2">
        <f t="shared" si="1838"/>
        <v>16.427000000000003</v>
      </c>
      <c r="H1756" s="2">
        <f t="shared" si="1839"/>
        <v>1.6461277054071743E-2</v>
      </c>
      <c r="I1756" s="2">
        <f t="shared" ref="I1756:J1756" si="1863">LN(C1755)-LN(C1754)</f>
        <v>2.1426448037236034E-2</v>
      </c>
      <c r="J1756" s="2">
        <f t="shared" si="1863"/>
        <v>1.3205910357768025E-2</v>
      </c>
    </row>
    <row r="1757" spans="1:10" x14ac:dyDescent="0.45">
      <c r="A1757" s="1">
        <v>42733</v>
      </c>
      <c r="B1757">
        <v>53.77</v>
      </c>
      <c r="C1757">
        <v>1.72</v>
      </c>
      <c r="D1757">
        <v>1.6798</v>
      </c>
      <c r="E1757" s="2">
        <f t="shared" si="1834"/>
        <v>17.34439999999999</v>
      </c>
      <c r="F1757" s="2">
        <f t="shared" si="1836"/>
        <v>16.899000000000001</v>
      </c>
      <c r="G1757" s="2">
        <f t="shared" si="1838"/>
        <v>16.667000000000002</v>
      </c>
      <c r="H1757" s="2">
        <f t="shared" si="1839"/>
        <v>2.9640629333504975E-3</v>
      </c>
      <c r="I1757" s="2">
        <f t="shared" ref="I1757:J1757" si="1864">LN(C1756)-LN(C1755)</f>
        <v>0</v>
      </c>
      <c r="J1757" s="2">
        <f t="shared" si="1864"/>
        <v>8.3898136995105288E-3</v>
      </c>
    </row>
    <row r="1758" spans="1:10" x14ac:dyDescent="0.45">
      <c r="A1758" s="1">
        <v>42734</v>
      </c>
      <c r="B1758">
        <v>53.72</v>
      </c>
      <c r="C1758">
        <v>1.7282</v>
      </c>
      <c r="D1758">
        <v>1.6709000000000001</v>
      </c>
      <c r="E1758" s="2">
        <f t="shared" si="1834"/>
        <v>17.260000000000002</v>
      </c>
      <c r="F1758" s="2">
        <f t="shared" si="1836"/>
        <v>17.34439999999999</v>
      </c>
      <c r="G1758" s="2">
        <f t="shared" si="1838"/>
        <v>16.899000000000001</v>
      </c>
      <c r="H1758" s="2">
        <f t="shared" si="1839"/>
        <v>-5.3788500267151207E-3</v>
      </c>
      <c r="I1758" s="2">
        <f t="shared" ref="I1758:J1758" si="1865">LN(C1757)-LN(C1756)</f>
        <v>1.6874694877417884E-3</v>
      </c>
      <c r="J1758" s="2">
        <f t="shared" si="1865"/>
        <v>2.4437502848482229E-3</v>
      </c>
    </row>
    <row r="1759" spans="1:10" x14ac:dyDescent="0.45">
      <c r="A1759" s="1">
        <v>42738</v>
      </c>
      <c r="B1759">
        <v>52.33</v>
      </c>
      <c r="C1759">
        <v>1.6767000000000001</v>
      </c>
      <c r="D1759">
        <v>1.6217999999999999</v>
      </c>
      <c r="E1759" s="2">
        <f t="shared" si="1834"/>
        <v>16.554199999999998</v>
      </c>
      <c r="F1759" s="2">
        <f t="shared" si="1836"/>
        <v>17.260000000000002</v>
      </c>
      <c r="G1759" s="2">
        <f t="shared" si="1838"/>
        <v>17.34439999999999</v>
      </c>
      <c r="H1759" s="2">
        <f t="shared" si="1839"/>
        <v>-9.3031916654995328E-4</v>
      </c>
      <c r="I1759" s="2">
        <f t="shared" ref="I1759:J1759" si="1866">LN(C1758)-LN(C1757)</f>
        <v>4.7561135998001047E-3</v>
      </c>
      <c r="J1759" s="2">
        <f t="shared" si="1866"/>
        <v>-5.3123352914289379E-3</v>
      </c>
    </row>
    <row r="1760" spans="1:10" x14ac:dyDescent="0.45">
      <c r="A1760" s="1">
        <v>42739</v>
      </c>
      <c r="B1760">
        <v>53.26</v>
      </c>
      <c r="C1760">
        <v>1.6930000000000001</v>
      </c>
      <c r="D1760">
        <v>1.6458999999999999</v>
      </c>
      <c r="E1760" s="2">
        <f t="shared" si="1834"/>
        <v>16.527200000000004</v>
      </c>
      <c r="F1760" s="2">
        <f t="shared" si="1836"/>
        <v>16.554199999999998</v>
      </c>
      <c r="G1760" s="2">
        <f t="shared" si="1838"/>
        <v>17.260000000000002</v>
      </c>
      <c r="H1760" s="2">
        <f t="shared" si="1839"/>
        <v>-2.6215551270920123E-2</v>
      </c>
      <c r="I1760" s="2">
        <f t="shared" ref="I1760:J1760" si="1867">LN(C1759)-LN(C1758)</f>
        <v>-3.0252828463536718E-2</v>
      </c>
      <c r="J1760" s="2">
        <f t="shared" si="1867"/>
        <v>-2.9825759889640868E-2</v>
      </c>
    </row>
    <row r="1761" spans="1:10" x14ac:dyDescent="0.45">
      <c r="A1761" s="1">
        <v>42740</v>
      </c>
      <c r="B1761">
        <v>53.76</v>
      </c>
      <c r="C1761">
        <v>1.6941999999999999</v>
      </c>
      <c r="D1761">
        <v>1.6376999999999999</v>
      </c>
      <c r="E1761" s="2">
        <f t="shared" si="1834"/>
        <v>15.814399999999997</v>
      </c>
      <c r="F1761" s="2">
        <f t="shared" si="1836"/>
        <v>16.527200000000004</v>
      </c>
      <c r="G1761" s="2">
        <f t="shared" si="1838"/>
        <v>16.554199999999998</v>
      </c>
      <c r="H1761" s="2">
        <f t="shared" si="1839"/>
        <v>1.7615760001669756E-2</v>
      </c>
      <c r="I1761" s="2">
        <f t="shared" ref="I1761:J1761" si="1868">LN(C1760)-LN(C1759)</f>
        <v>9.6745271893732276E-3</v>
      </c>
      <c r="J1761" s="2">
        <f t="shared" si="1868"/>
        <v>1.4750703539565424E-2</v>
      </c>
    </row>
    <row r="1762" spans="1:10" x14ac:dyDescent="0.45">
      <c r="A1762" s="1">
        <v>42741</v>
      </c>
      <c r="B1762">
        <v>53.99</v>
      </c>
      <c r="C1762">
        <v>1.7032</v>
      </c>
      <c r="D1762">
        <v>1.6339999999999999</v>
      </c>
      <c r="E1762" s="2">
        <f t="shared" si="1834"/>
        <v>15.606800000000002</v>
      </c>
      <c r="F1762" s="2">
        <f t="shared" si="1836"/>
        <v>15.814399999999997</v>
      </c>
      <c r="G1762" s="2">
        <f t="shared" si="1838"/>
        <v>16.527200000000004</v>
      </c>
      <c r="H1762" s="2">
        <f t="shared" si="1839"/>
        <v>9.3441158291076576E-3</v>
      </c>
      <c r="I1762" s="2">
        <f t="shared" ref="I1762:J1762" si="1869">LN(C1761)-LN(C1760)</f>
        <v>7.0854986431512224E-4</v>
      </c>
      <c r="J1762" s="2">
        <f t="shared" si="1869"/>
        <v>-4.9945285942007422E-3</v>
      </c>
    </row>
    <row r="1763" spans="1:10" x14ac:dyDescent="0.45">
      <c r="A1763" s="1">
        <v>42744</v>
      </c>
      <c r="B1763">
        <v>51.96</v>
      </c>
      <c r="C1763">
        <v>1.6375999999999999</v>
      </c>
      <c r="D1763">
        <v>1.5707</v>
      </c>
      <c r="E1763" s="2">
        <f t="shared" si="1834"/>
        <v>14.945999999999998</v>
      </c>
      <c r="F1763" s="2">
        <f t="shared" si="1836"/>
        <v>15.606800000000002</v>
      </c>
      <c r="G1763" s="2">
        <f t="shared" si="1838"/>
        <v>15.814399999999997</v>
      </c>
      <c r="H1763" s="2">
        <f t="shared" si="1839"/>
        <v>4.2691480153016492E-3</v>
      </c>
      <c r="I1763" s="2">
        <f t="shared" ref="I1763:J1763" si="1870">LN(C1762)-LN(C1761)</f>
        <v>5.2981815818192723E-3</v>
      </c>
      <c r="J1763" s="2">
        <f t="shared" si="1870"/>
        <v>-2.2618220358734398E-3</v>
      </c>
    </row>
    <row r="1764" spans="1:10" x14ac:dyDescent="0.45">
      <c r="A1764" s="1">
        <v>42745</v>
      </c>
      <c r="B1764">
        <v>50.82</v>
      </c>
      <c r="C1764">
        <v>1.6113999999999999</v>
      </c>
      <c r="D1764">
        <v>1.5467</v>
      </c>
      <c r="E1764" s="2">
        <f t="shared" si="1834"/>
        <v>15.047199999999995</v>
      </c>
      <c r="F1764" s="2">
        <f t="shared" si="1836"/>
        <v>14.945999999999998</v>
      </c>
      <c r="G1764" s="2">
        <f t="shared" si="1838"/>
        <v>15.606800000000002</v>
      </c>
      <c r="H1764" s="2">
        <f t="shared" si="1839"/>
        <v>-3.8324652427796924E-2</v>
      </c>
      <c r="I1764" s="2">
        <f t="shared" ref="I1764:J1764" si="1871">LN(C1763)-LN(C1762)</f>
        <v>-3.9277079232190037E-2</v>
      </c>
      <c r="J1764" s="2">
        <f t="shared" si="1871"/>
        <v>-3.950961657096147E-2</v>
      </c>
    </row>
    <row r="1765" spans="1:10" x14ac:dyDescent="0.45">
      <c r="A1765" s="1">
        <v>42746</v>
      </c>
      <c r="B1765">
        <v>52.25</v>
      </c>
      <c r="C1765">
        <v>1.6524000000000001</v>
      </c>
      <c r="D1765">
        <v>1.5929</v>
      </c>
      <c r="E1765" s="2">
        <f t="shared" si="1834"/>
        <v>15.484799999999998</v>
      </c>
      <c r="F1765" s="2">
        <f t="shared" si="1836"/>
        <v>15.047199999999995</v>
      </c>
      <c r="G1765" s="2">
        <f t="shared" si="1838"/>
        <v>14.945999999999998</v>
      </c>
      <c r="H1765" s="2">
        <f t="shared" si="1839"/>
        <v>-2.2184213910380723E-2</v>
      </c>
      <c r="I1765" s="2">
        <f t="shared" ref="I1765:J1765" si="1872">LN(C1764)-LN(C1763)</f>
        <v>-1.6128389003984167E-2</v>
      </c>
      <c r="J1765" s="2">
        <f t="shared" si="1872"/>
        <v>-1.5397750804892529E-2</v>
      </c>
    </row>
    <row r="1766" spans="1:10" x14ac:dyDescent="0.45">
      <c r="A1766" s="1">
        <v>42747</v>
      </c>
      <c r="B1766">
        <v>53.01</v>
      </c>
      <c r="C1766">
        <v>1.6756</v>
      </c>
      <c r="D1766">
        <v>1.6108</v>
      </c>
      <c r="E1766" s="2">
        <f t="shared" si="1834"/>
        <v>15.55079999999999</v>
      </c>
      <c r="F1766" s="2">
        <f t="shared" si="1836"/>
        <v>15.484799999999998</v>
      </c>
      <c r="G1766" s="2">
        <f t="shared" si="1838"/>
        <v>15.047199999999995</v>
      </c>
      <c r="H1766" s="2">
        <f t="shared" si="1839"/>
        <v>2.7749912952902633E-2</v>
      </c>
      <c r="I1766" s="2">
        <f t="shared" ref="I1766:J1766" si="1873">LN(C1765)-LN(C1764)</f>
        <v>2.5125410179513974E-2</v>
      </c>
      <c r="J1766" s="2">
        <f t="shared" si="1873"/>
        <v>2.9432625256498479E-2</v>
      </c>
    </row>
    <row r="1767" spans="1:10" x14ac:dyDescent="0.45">
      <c r="A1767" s="1">
        <v>42748</v>
      </c>
      <c r="B1767">
        <v>52.37</v>
      </c>
      <c r="C1767">
        <v>1.6514</v>
      </c>
      <c r="D1767">
        <v>1.6116999999999999</v>
      </c>
      <c r="E1767" s="2">
        <f t="shared" si="1834"/>
        <v>15.877200000000007</v>
      </c>
      <c r="F1767" s="2">
        <f t="shared" si="1836"/>
        <v>15.55079999999999</v>
      </c>
      <c r="G1767" s="2">
        <f t="shared" si="1838"/>
        <v>15.484799999999998</v>
      </c>
      <c r="H1767" s="2">
        <f t="shared" si="1839"/>
        <v>1.4440684154794159E-2</v>
      </c>
      <c r="I1767" s="2">
        <f t="shared" ref="I1767:J1767" si="1874">LN(C1766)-LN(C1765)</f>
        <v>1.3942533550270308E-2</v>
      </c>
      <c r="J1767" s="2">
        <f t="shared" si="1874"/>
        <v>1.1174695676706536E-2</v>
      </c>
    </row>
    <row r="1768" spans="1:10" x14ac:dyDescent="0.45">
      <c r="A1768" s="1">
        <v>42752</v>
      </c>
      <c r="B1768">
        <v>52.48</v>
      </c>
      <c r="C1768">
        <v>1.6486000000000001</v>
      </c>
      <c r="D1768">
        <v>1.6004</v>
      </c>
      <c r="E1768" s="2">
        <f t="shared" si="1834"/>
        <v>15.411600000000002</v>
      </c>
      <c r="F1768" s="2">
        <f t="shared" si="1836"/>
        <v>15.877200000000007</v>
      </c>
      <c r="G1768" s="2">
        <f t="shared" si="1838"/>
        <v>15.55079999999999</v>
      </c>
      <c r="H1768" s="2">
        <f t="shared" si="1839"/>
        <v>-1.2146666708318321E-2</v>
      </c>
      <c r="I1768" s="2">
        <f t="shared" ref="I1768:J1768" si="1875">LN(C1767)-LN(C1766)</f>
        <v>-1.454789708955162E-2</v>
      </c>
      <c r="J1768" s="2">
        <f t="shared" si="1875"/>
        <v>5.5857255137320427E-4</v>
      </c>
    </row>
    <row r="1769" spans="1:10" x14ac:dyDescent="0.45">
      <c r="A1769" s="1">
        <v>42753</v>
      </c>
      <c r="B1769">
        <v>51.89</v>
      </c>
      <c r="C1769">
        <v>1.6092</v>
      </c>
      <c r="D1769">
        <v>1.5773999999999999</v>
      </c>
      <c r="E1769" s="2">
        <f t="shared" si="1834"/>
        <v>14.805999999999992</v>
      </c>
      <c r="F1769" s="2">
        <f t="shared" si="1836"/>
        <v>15.411600000000002</v>
      </c>
      <c r="G1769" s="2">
        <f t="shared" si="1838"/>
        <v>15.877200000000007</v>
      </c>
      <c r="H1769" s="2">
        <f t="shared" si="1839"/>
        <v>2.0982363444370655E-3</v>
      </c>
      <c r="I1769" s="2">
        <f t="shared" ref="I1769:J1769" si="1876">LN(C1768)-LN(C1767)</f>
        <v>-1.6969701042010565E-3</v>
      </c>
      <c r="J1769" s="2">
        <f t="shared" si="1876"/>
        <v>-7.0359245455923203E-3</v>
      </c>
    </row>
    <row r="1770" spans="1:10" x14ac:dyDescent="0.45">
      <c r="A1770" s="1">
        <v>42754</v>
      </c>
      <c r="B1770">
        <v>52.12</v>
      </c>
      <c r="C1770">
        <v>1.6329</v>
      </c>
      <c r="D1770">
        <v>1.5640000000000001</v>
      </c>
      <c r="E1770" s="2">
        <f t="shared" si="1834"/>
        <v>14.532600000000011</v>
      </c>
      <c r="F1770" s="2">
        <f t="shared" si="1836"/>
        <v>14.805999999999992</v>
      </c>
      <c r="G1770" s="2">
        <f t="shared" si="1838"/>
        <v>15.411600000000002</v>
      </c>
      <c r="H1770" s="2">
        <f t="shared" si="1839"/>
        <v>-1.1306051256185334E-2</v>
      </c>
      <c r="I1770" s="2">
        <f t="shared" ref="I1770:J1770" si="1877">LN(C1769)-LN(C1768)</f>
        <v>-2.4189281803494056E-2</v>
      </c>
      <c r="J1770" s="2">
        <f t="shared" si="1877"/>
        <v>-1.4475676019189532E-2</v>
      </c>
    </row>
    <row r="1771" spans="1:10" x14ac:dyDescent="0.45">
      <c r="A1771" s="1">
        <v>42755</v>
      </c>
      <c r="B1771">
        <v>53.22</v>
      </c>
      <c r="C1771">
        <v>1.6628000000000001</v>
      </c>
      <c r="D1771">
        <v>1.5940000000000001</v>
      </c>
      <c r="E1771" s="2">
        <f t="shared" si="1834"/>
        <v>14.691200000000009</v>
      </c>
      <c r="F1771" s="2">
        <f t="shared" si="1836"/>
        <v>14.532600000000011</v>
      </c>
      <c r="G1771" s="2">
        <f t="shared" si="1838"/>
        <v>14.805999999999992</v>
      </c>
      <c r="H1771" s="2">
        <f t="shared" si="1839"/>
        <v>4.4226588769959996E-3</v>
      </c>
      <c r="I1771" s="2">
        <f t="shared" ref="I1771:J1771" si="1878">LN(C1770)-LN(C1769)</f>
        <v>1.4620414032630924E-2</v>
      </c>
      <c r="J1771" s="2">
        <f t="shared" si="1878"/>
        <v>-8.5312798586340555E-3</v>
      </c>
    </row>
    <row r="1772" spans="1:10" x14ac:dyDescent="0.45">
      <c r="A1772" s="1">
        <v>42758</v>
      </c>
      <c r="B1772">
        <v>52.75</v>
      </c>
      <c r="C1772">
        <v>1.6456</v>
      </c>
      <c r="D1772">
        <v>1.5926</v>
      </c>
      <c r="E1772" s="2">
        <f t="shared" si="1834"/>
        <v>14.881199999999998</v>
      </c>
      <c r="F1772" s="2">
        <f t="shared" si="1836"/>
        <v>14.691200000000009</v>
      </c>
      <c r="G1772" s="2">
        <f t="shared" si="1838"/>
        <v>14.532600000000011</v>
      </c>
      <c r="H1772" s="2">
        <f t="shared" si="1839"/>
        <v>2.0885513292899116E-2</v>
      </c>
      <c r="I1772" s="2">
        <f t="shared" ref="I1772:J1772" si="1879">LN(C1771)-LN(C1770)</f>
        <v>1.8145353270218378E-2</v>
      </c>
      <c r="J1772" s="2">
        <f t="shared" si="1879"/>
        <v>1.899993824490398E-2</v>
      </c>
    </row>
    <row r="1773" spans="1:10" x14ac:dyDescent="0.45">
      <c r="A1773" s="1">
        <v>42759</v>
      </c>
      <c r="B1773">
        <v>53.18</v>
      </c>
      <c r="C1773">
        <v>1.6588000000000001</v>
      </c>
      <c r="D1773">
        <v>1.6017999999999999</v>
      </c>
      <c r="E1773" s="2">
        <f t="shared" si="1834"/>
        <v>14.893600000000001</v>
      </c>
      <c r="F1773" s="2">
        <f t="shared" si="1836"/>
        <v>14.881199999999998</v>
      </c>
      <c r="G1773" s="2">
        <f t="shared" si="1838"/>
        <v>14.691200000000009</v>
      </c>
      <c r="H1773" s="2">
        <f t="shared" si="1839"/>
        <v>-8.8704931933674125E-3</v>
      </c>
      <c r="I1773" s="2">
        <f t="shared" ref="I1773:J1773" si="1880">LN(C1772)-LN(C1771)</f>
        <v>-1.0397869039735053E-2</v>
      </c>
      <c r="J1773" s="2">
        <f t="shared" si="1880"/>
        <v>-8.7867952681591754E-4</v>
      </c>
    </row>
    <row r="1774" spans="1:10" x14ac:dyDescent="0.45">
      <c r="A1774" s="1">
        <v>42760</v>
      </c>
      <c r="B1774">
        <v>52.75</v>
      </c>
      <c r="C1774">
        <v>1.6292</v>
      </c>
      <c r="D1774">
        <v>1.5524</v>
      </c>
      <c r="E1774" s="2">
        <f t="shared" si="1834"/>
        <v>13.526000000000002</v>
      </c>
      <c r="F1774" s="2">
        <f t="shared" si="1836"/>
        <v>14.893600000000001</v>
      </c>
      <c r="G1774" s="2">
        <f t="shared" si="1838"/>
        <v>14.881199999999998</v>
      </c>
      <c r="H1774" s="2">
        <f t="shared" si="1839"/>
        <v>8.1186134586976877E-3</v>
      </c>
      <c r="I1774" s="2">
        <f t="shared" ref="I1774:J1774" si="1881">LN(C1773)-LN(C1772)</f>
        <v>7.9893900334788714E-3</v>
      </c>
      <c r="J1774" s="2">
        <f t="shared" si="1881"/>
        <v>5.7600960662373413E-3</v>
      </c>
    </row>
    <row r="1775" spans="1:10" x14ac:dyDescent="0.45">
      <c r="A1775" s="1">
        <v>42761</v>
      </c>
      <c r="B1775">
        <v>53.78</v>
      </c>
      <c r="C1775">
        <v>1.6577</v>
      </c>
      <c r="D1775">
        <v>1.5692999999999999</v>
      </c>
      <c r="E1775" s="2">
        <f t="shared" si="1834"/>
        <v>13.368200000000002</v>
      </c>
      <c r="F1775" s="2">
        <f t="shared" si="1836"/>
        <v>13.526000000000002</v>
      </c>
      <c r="G1775" s="2">
        <f t="shared" si="1838"/>
        <v>14.893600000000001</v>
      </c>
      <c r="H1775" s="2">
        <f t="shared" si="1839"/>
        <v>-8.1186134586976877E-3</v>
      </c>
      <c r="I1775" s="2">
        <f t="shared" ref="I1775:J1775" si="1882">LN(C1774)-LN(C1773)</f>
        <v>-1.800535259796876E-2</v>
      </c>
      <c r="J1775" s="2">
        <f t="shared" si="1882"/>
        <v>-3.1325876394830587E-2</v>
      </c>
    </row>
    <row r="1776" spans="1:10" x14ac:dyDescent="0.45">
      <c r="A1776" s="1">
        <v>42762</v>
      </c>
      <c r="B1776">
        <v>53.17</v>
      </c>
      <c r="C1776">
        <v>1.6343000000000001</v>
      </c>
      <c r="D1776">
        <v>1.5518000000000001</v>
      </c>
      <c r="E1776" s="2">
        <f t="shared" si="1834"/>
        <v>13.160600000000008</v>
      </c>
      <c r="F1776" s="2">
        <f t="shared" si="1836"/>
        <v>13.368200000000002</v>
      </c>
      <c r="G1776" s="2">
        <f t="shared" si="1838"/>
        <v>13.526000000000002</v>
      </c>
      <c r="H1776" s="2">
        <f t="shared" si="1839"/>
        <v>1.9337878484542603E-2</v>
      </c>
      <c r="I1776" s="2">
        <f t="shared" ref="I1776:J1776" si="1883">LN(C1775)-LN(C1774)</f>
        <v>1.7342002656562827E-2</v>
      </c>
      <c r="J1776" s="2">
        <f t="shared" si="1883"/>
        <v>1.082753954992377E-2</v>
      </c>
    </row>
    <row r="1777" spans="1:10" x14ac:dyDescent="0.45">
      <c r="A1777" s="1">
        <v>42765</v>
      </c>
      <c r="B1777">
        <v>52.63</v>
      </c>
      <c r="C1777">
        <v>1.6242000000000001</v>
      </c>
      <c r="D1777">
        <v>1.5330999999999999</v>
      </c>
      <c r="E1777" s="2">
        <f t="shared" si="1834"/>
        <v>13.035599999999997</v>
      </c>
      <c r="F1777" s="2">
        <f t="shared" si="1836"/>
        <v>13.160600000000008</v>
      </c>
      <c r="G1777" s="2">
        <f t="shared" si="1838"/>
        <v>13.368200000000002</v>
      </c>
      <c r="H1777" s="2">
        <f t="shared" si="1839"/>
        <v>-1.1407323324471363E-2</v>
      </c>
      <c r="I1777" s="2">
        <f t="shared" ref="I1777:J1777" si="1884">LN(C1776)-LN(C1775)</f>
        <v>-1.4216521331808007E-2</v>
      </c>
      <c r="J1777" s="2">
        <f t="shared" si="1884"/>
        <v>-1.1214112584826075E-2</v>
      </c>
    </row>
    <row r="1778" spans="1:10" x14ac:dyDescent="0.45">
      <c r="A1778" s="1">
        <v>42766</v>
      </c>
      <c r="B1778">
        <v>52.81</v>
      </c>
      <c r="C1778">
        <v>1.6308</v>
      </c>
      <c r="D1778">
        <v>1.5501</v>
      </c>
      <c r="E1778" s="2">
        <f t="shared" si="1834"/>
        <v>13.423999999999998</v>
      </c>
      <c r="F1778" s="2">
        <f t="shared" si="1836"/>
        <v>13.035599999999997</v>
      </c>
      <c r="G1778" s="2">
        <f t="shared" si="1838"/>
        <v>13.160600000000008</v>
      </c>
      <c r="H1778" s="2">
        <f t="shared" si="1839"/>
        <v>-1.0208028150559656E-2</v>
      </c>
      <c r="I1778" s="2">
        <f t="shared" ref="I1778:J1778" si="1885">LN(C1777)-LN(C1776)</f>
        <v>-6.1991912507017299E-3</v>
      </c>
      <c r="J1778" s="2">
        <f t="shared" si="1885"/>
        <v>-1.2123718143440487E-2</v>
      </c>
    </row>
    <row r="1779" spans="1:10" x14ac:dyDescent="0.45">
      <c r="A1779" s="1">
        <v>42767</v>
      </c>
      <c r="B1779">
        <v>53.88</v>
      </c>
      <c r="C1779">
        <v>1.6739999999999999</v>
      </c>
      <c r="D1779">
        <v>1.5790999999999999</v>
      </c>
      <c r="E1779" s="2">
        <f t="shared" si="1834"/>
        <v>13.770799999999989</v>
      </c>
      <c r="F1779" s="2">
        <f t="shared" si="1836"/>
        <v>13.423999999999998</v>
      </c>
      <c r="G1779" s="2">
        <f t="shared" si="1838"/>
        <v>13.035599999999997</v>
      </c>
      <c r="H1779" s="2">
        <f t="shared" si="1839"/>
        <v>3.414267353154532E-3</v>
      </c>
      <c r="I1779" s="2">
        <f t="shared" ref="I1779:J1779" si="1886">LN(C1778)-LN(C1777)</f>
        <v>4.055305096787809E-3</v>
      </c>
      <c r="J1779" s="2">
        <f t="shared" si="1886"/>
        <v>1.1027615644840172E-2</v>
      </c>
    </row>
    <row r="1780" spans="1:10" x14ac:dyDescent="0.45">
      <c r="A1780" s="1">
        <v>42768</v>
      </c>
      <c r="B1780">
        <v>53.54</v>
      </c>
      <c r="C1780">
        <v>1.6517999999999999</v>
      </c>
      <c r="D1780">
        <v>1.5328999999999999</v>
      </c>
      <c r="E1780" s="2">
        <f t="shared" si="1834"/>
        <v>12.506399999999994</v>
      </c>
      <c r="F1780" s="2">
        <f t="shared" si="1836"/>
        <v>13.770799999999989</v>
      </c>
      <c r="G1780" s="2">
        <f t="shared" si="1838"/>
        <v>13.423999999999998</v>
      </c>
      <c r="H1780" s="2">
        <f t="shared" si="1839"/>
        <v>2.005878482332113E-2</v>
      </c>
      <c r="I1780" s="2">
        <f t="shared" ref="I1780:J1780" si="1887">LN(C1779)-LN(C1778)</f>
        <v>2.6145280104322211E-2</v>
      </c>
      <c r="J1780" s="2">
        <f t="shared" si="1887"/>
        <v>1.8535619511348855E-2</v>
      </c>
    </row>
    <row r="1781" spans="1:10" x14ac:dyDescent="0.45">
      <c r="A1781" s="1">
        <v>42769</v>
      </c>
      <c r="B1781">
        <v>53.83</v>
      </c>
      <c r="C1781">
        <v>1.6651</v>
      </c>
      <c r="D1781">
        <v>1.5537000000000001</v>
      </c>
      <c r="E1781" s="2">
        <f t="shared" si="1834"/>
        <v>12.985000000000005</v>
      </c>
      <c r="F1781" s="2">
        <f t="shared" si="1836"/>
        <v>12.506399999999994</v>
      </c>
      <c r="G1781" s="2">
        <f t="shared" si="1838"/>
        <v>13.770799999999989</v>
      </c>
      <c r="H1781" s="2">
        <f t="shared" si="1839"/>
        <v>-6.3303134499568259E-3</v>
      </c>
      <c r="I1781" s="2">
        <f t="shared" ref="I1781:J1781" si="1888">LN(C1780)-LN(C1779)</f>
        <v>-1.3350369672804008E-2</v>
      </c>
      <c r="J1781" s="2">
        <f t="shared" si="1888"/>
        <v>-2.9693698300535809E-2</v>
      </c>
    </row>
    <row r="1782" spans="1:10" x14ac:dyDescent="0.45">
      <c r="A1782" s="1">
        <v>42772</v>
      </c>
      <c r="B1782">
        <v>53.01</v>
      </c>
      <c r="C1782">
        <v>1.6352</v>
      </c>
      <c r="D1782">
        <v>1.5103</v>
      </c>
      <c r="E1782" s="2">
        <f t="shared" si="1834"/>
        <v>12.171199999999999</v>
      </c>
      <c r="F1782" s="2">
        <f t="shared" si="1836"/>
        <v>12.985000000000005</v>
      </c>
      <c r="G1782" s="2">
        <f t="shared" si="1838"/>
        <v>12.506399999999994</v>
      </c>
      <c r="H1782" s="2">
        <f t="shared" si="1839"/>
        <v>5.4018944806597524E-3</v>
      </c>
      <c r="I1782" s="2">
        <f t="shared" ref="I1782:J1782" si="1889">LN(C1781)-LN(C1780)</f>
        <v>8.0195792944545152E-3</v>
      </c>
      <c r="J1782" s="2">
        <f t="shared" si="1889"/>
        <v>1.3477816925893837E-2</v>
      </c>
    </row>
    <row r="1783" spans="1:10" x14ac:dyDescent="0.45">
      <c r="A1783" s="1">
        <v>42773</v>
      </c>
      <c r="B1783">
        <v>52.17</v>
      </c>
      <c r="C1783">
        <v>1.6221000000000001</v>
      </c>
      <c r="D1783">
        <v>1.4875</v>
      </c>
      <c r="E1783" s="2">
        <f t="shared" si="1834"/>
        <v>12.189400000000006</v>
      </c>
      <c r="F1783" s="2">
        <f t="shared" si="1836"/>
        <v>12.171199999999999</v>
      </c>
      <c r="G1783" s="2">
        <f t="shared" si="1838"/>
        <v>12.985000000000005</v>
      </c>
      <c r="H1783" s="2">
        <f t="shared" si="1839"/>
        <v>-1.5350357573151285E-2</v>
      </c>
      <c r="I1783" s="2">
        <f t="shared" ref="I1783:J1783" si="1890">LN(C1782)-LN(C1781)</f>
        <v>-1.8120060661685811E-2</v>
      </c>
      <c r="J1783" s="2">
        <f t="shared" si="1890"/>
        <v>-2.8330876525659632E-2</v>
      </c>
    </row>
    <row r="1784" spans="1:10" x14ac:dyDescent="0.45">
      <c r="A1784" s="1">
        <v>42774</v>
      </c>
      <c r="B1784">
        <v>52.34</v>
      </c>
      <c r="C1784">
        <v>1.6359999999999999</v>
      </c>
      <c r="D1784">
        <v>1.5527</v>
      </c>
      <c r="E1784" s="2">
        <f t="shared" si="1834"/>
        <v>14.039599999999988</v>
      </c>
      <c r="F1784" s="2">
        <f t="shared" si="1836"/>
        <v>12.189400000000006</v>
      </c>
      <c r="G1784" s="2">
        <f t="shared" si="1838"/>
        <v>12.171199999999999</v>
      </c>
      <c r="H1784" s="2">
        <f t="shared" si="1839"/>
        <v>-1.5972957965413315E-2</v>
      </c>
      <c r="I1784" s="2">
        <f t="shared" ref="I1784:J1784" si="1891">LN(C1783)-LN(C1782)</f>
        <v>-8.0435149533163441E-3</v>
      </c>
      <c r="J1784" s="2">
        <f t="shared" si="1891"/>
        <v>-1.521144815251102E-2</v>
      </c>
    </row>
    <row r="1785" spans="1:10" x14ac:dyDescent="0.45">
      <c r="A1785" s="1">
        <v>42775</v>
      </c>
      <c r="B1785">
        <v>53</v>
      </c>
      <c r="C1785">
        <v>1.6415</v>
      </c>
      <c r="D1785">
        <v>1.5702</v>
      </c>
      <c r="E1785" s="2">
        <f t="shared" si="1834"/>
        <v>13.946600000000009</v>
      </c>
      <c r="F1785" s="2">
        <f t="shared" si="1836"/>
        <v>14.039599999999988</v>
      </c>
      <c r="G1785" s="2">
        <f t="shared" si="1838"/>
        <v>12.189400000000006</v>
      </c>
      <c r="H1785" s="2">
        <f t="shared" si="1839"/>
        <v>3.2532800676983165E-3</v>
      </c>
      <c r="I1785" s="2">
        <f t="shared" ref="I1785:J1785" si="1892">LN(C1784)-LN(C1783)</f>
        <v>8.5326321066233612E-3</v>
      </c>
      <c r="J1785" s="2">
        <f t="shared" si="1892"/>
        <v>4.2898492567339186E-2</v>
      </c>
    </row>
    <row r="1786" spans="1:10" x14ac:dyDescent="0.45">
      <c r="A1786" s="1">
        <v>42776</v>
      </c>
      <c r="B1786">
        <v>53.86</v>
      </c>
      <c r="C1786">
        <v>1.6658999999999999</v>
      </c>
      <c r="D1786">
        <v>1.5895999999999999</v>
      </c>
      <c r="E1786" s="2">
        <f t="shared" si="1834"/>
        <v>13.971399999999997</v>
      </c>
      <c r="F1786" s="2">
        <f t="shared" si="1836"/>
        <v>13.946600000000009</v>
      </c>
      <c r="G1786" s="2">
        <f t="shared" si="1838"/>
        <v>14.039599999999988</v>
      </c>
      <c r="H1786" s="2">
        <f t="shared" si="1839"/>
        <v>1.2531016450122223E-2</v>
      </c>
      <c r="I1786" s="2">
        <f t="shared" ref="I1786:J1786" si="1893">LN(C1785)-LN(C1784)</f>
        <v>3.3562197789550607E-3</v>
      </c>
      <c r="J1786" s="2">
        <f t="shared" si="1893"/>
        <v>1.1207648777031176E-2</v>
      </c>
    </row>
    <row r="1787" spans="1:10" x14ac:dyDescent="0.45">
      <c r="A1787" s="1">
        <v>42779</v>
      </c>
      <c r="B1787">
        <v>52.93</v>
      </c>
      <c r="C1787">
        <v>1.6273</v>
      </c>
      <c r="D1787">
        <v>1.5446</v>
      </c>
      <c r="E1787" s="2">
        <f t="shared" si="1834"/>
        <v>13.100999999999999</v>
      </c>
      <c r="F1787" s="2">
        <f t="shared" si="1836"/>
        <v>13.971399999999997</v>
      </c>
      <c r="G1787" s="2">
        <f t="shared" si="1838"/>
        <v>13.946600000000009</v>
      </c>
      <c r="H1787" s="2">
        <f t="shared" si="1839"/>
        <v>1.6096173831330773E-2</v>
      </c>
      <c r="I1787" s="2">
        <f t="shared" ref="I1787:J1787" si="1894">LN(C1786)-LN(C1785)</f>
        <v>1.4755059974023821E-2</v>
      </c>
      <c r="J1787" s="2">
        <f t="shared" si="1894"/>
        <v>1.2279412473451823E-2</v>
      </c>
    </row>
    <row r="1788" spans="1:10" x14ac:dyDescent="0.45">
      <c r="A1788" s="1">
        <v>42780</v>
      </c>
      <c r="B1788">
        <v>53.2</v>
      </c>
      <c r="C1788">
        <v>1.6382000000000001</v>
      </c>
      <c r="D1788">
        <v>1.5467</v>
      </c>
      <c r="E1788" s="2">
        <f t="shared" si="1834"/>
        <v>13.042399999999986</v>
      </c>
      <c r="F1788" s="2">
        <f t="shared" si="1836"/>
        <v>13.100999999999999</v>
      </c>
      <c r="G1788" s="2">
        <f t="shared" si="1838"/>
        <v>13.971399999999997</v>
      </c>
      <c r="H1788" s="2">
        <f t="shared" si="1839"/>
        <v>-1.741780151355643E-2</v>
      </c>
      <c r="I1788" s="2">
        <f t="shared" ref="I1788:J1788" si="1895">LN(C1787)-LN(C1786)</f>
        <v>-2.3443318249102563E-2</v>
      </c>
      <c r="J1788" s="2">
        <f t="shared" si="1895"/>
        <v>-2.8717435102443567E-2</v>
      </c>
    </row>
    <row r="1789" spans="1:10" x14ac:dyDescent="0.45">
      <c r="A1789" s="1">
        <v>42781</v>
      </c>
      <c r="B1789">
        <v>53.11</v>
      </c>
      <c r="C1789">
        <v>1.6305000000000001</v>
      </c>
      <c r="D1789">
        <v>1.7663</v>
      </c>
      <c r="E1789" s="2">
        <f t="shared" si="1834"/>
        <v>19.173400000000015</v>
      </c>
      <c r="F1789" s="2">
        <f t="shared" si="1836"/>
        <v>13.042399999999986</v>
      </c>
      <c r="G1789" s="2">
        <f t="shared" si="1838"/>
        <v>13.100999999999999</v>
      </c>
      <c r="H1789" s="2">
        <f t="shared" si="1839"/>
        <v>5.0881104777023012E-3</v>
      </c>
      <c r="I1789" s="2">
        <f t="shared" ref="I1789:J1789" si="1896">LN(C1788)-LN(C1787)</f>
        <v>6.6758784149331118E-3</v>
      </c>
      <c r="J1789" s="2">
        <f t="shared" si="1896"/>
        <v>1.3586519089306415E-3</v>
      </c>
    </row>
    <row r="1790" spans="1:10" x14ac:dyDescent="0.45">
      <c r="A1790" s="1">
        <v>42782</v>
      </c>
      <c r="B1790">
        <v>53.75</v>
      </c>
      <c r="C1790">
        <v>1.6407</v>
      </c>
      <c r="D1790">
        <v>1.7463</v>
      </c>
      <c r="E1790" s="2">
        <f t="shared" si="1834"/>
        <v>18.116200000000003</v>
      </c>
      <c r="F1790" s="2">
        <f t="shared" si="1836"/>
        <v>19.173400000000015</v>
      </c>
      <c r="G1790" s="2">
        <f t="shared" si="1838"/>
        <v>13.042399999999986</v>
      </c>
      <c r="H1790" s="2">
        <f t="shared" si="1839"/>
        <v>-1.6931619132907194E-3</v>
      </c>
      <c r="I1790" s="2">
        <f t="shared" ref="I1790:J1790" si="1897">LN(C1789)-LN(C1788)</f>
        <v>-4.7113618521278933E-3</v>
      </c>
      <c r="J1790" s="2">
        <f t="shared" si="1897"/>
        <v>0.13276333411730362</v>
      </c>
    </row>
    <row r="1791" spans="1:10" x14ac:dyDescent="0.45">
      <c r="A1791" s="1">
        <v>42783</v>
      </c>
      <c r="B1791">
        <v>53.78</v>
      </c>
      <c r="C1791">
        <v>1.6466000000000001</v>
      </c>
      <c r="D1791">
        <v>1.7423999999999999</v>
      </c>
      <c r="E1791" s="2">
        <f t="shared" si="1834"/>
        <v>18.0596</v>
      </c>
      <c r="F1791" s="2">
        <f t="shared" si="1836"/>
        <v>18.116200000000003</v>
      </c>
      <c r="G1791" s="2">
        <f t="shared" si="1838"/>
        <v>19.173400000000015</v>
      </c>
      <c r="H1791" s="2">
        <f t="shared" si="1839"/>
        <v>1.1978432573464204E-2</v>
      </c>
      <c r="I1791" s="2">
        <f t="shared" ref="I1791:J1791" si="1898">LN(C1790)-LN(C1789)</f>
        <v>6.2362637914629149E-3</v>
      </c>
      <c r="J1791" s="2">
        <f t="shared" si="1898"/>
        <v>-1.1387699215598235E-2</v>
      </c>
    </row>
    <row r="1792" spans="1:10" x14ac:dyDescent="0.45">
      <c r="A1792" s="1">
        <v>42787</v>
      </c>
      <c r="B1792">
        <v>54.33</v>
      </c>
      <c r="C1792">
        <v>1.6528</v>
      </c>
      <c r="D1792">
        <v>1.7239</v>
      </c>
      <c r="E1792" s="2">
        <f t="shared" si="1834"/>
        <v>17.078400000000006</v>
      </c>
      <c r="F1792" s="2">
        <f t="shared" si="1836"/>
        <v>18.0596</v>
      </c>
      <c r="G1792" s="2">
        <f t="shared" si="1838"/>
        <v>18.116200000000003</v>
      </c>
      <c r="H1792" s="2">
        <f t="shared" si="1839"/>
        <v>5.5798383294636267E-4</v>
      </c>
      <c r="I1792" s="2">
        <f t="shared" ref="I1792:J1792" si="1899">LN(C1791)-LN(C1790)</f>
        <v>3.5895758434889569E-3</v>
      </c>
      <c r="J1792" s="2">
        <f t="shared" si="1899"/>
        <v>-2.2357907671035626E-3</v>
      </c>
    </row>
    <row r="1793" spans="1:10" x14ac:dyDescent="0.45">
      <c r="A1793" s="1">
        <v>42788</v>
      </c>
      <c r="B1793">
        <v>53.59</v>
      </c>
      <c r="C1793">
        <v>1.6391</v>
      </c>
      <c r="D1793">
        <v>1.7347999999999999</v>
      </c>
      <c r="E1793" s="2">
        <f t="shared" si="1834"/>
        <v>17.931799999999999</v>
      </c>
      <c r="F1793" s="2">
        <f t="shared" si="1836"/>
        <v>17.078400000000006</v>
      </c>
      <c r="G1793" s="2">
        <f t="shared" si="1838"/>
        <v>18.0596</v>
      </c>
      <c r="H1793" s="2">
        <f t="shared" si="1839"/>
        <v>1.0174909722713288E-2</v>
      </c>
      <c r="I1793" s="2">
        <f t="shared" ref="I1793:J1793" si="1900">LN(C1792)-LN(C1791)</f>
        <v>3.7582635010484644E-3</v>
      </c>
      <c r="J1793" s="2">
        <f t="shared" si="1900"/>
        <v>-1.0674307277762973E-2</v>
      </c>
    </row>
    <row r="1794" spans="1:10" x14ac:dyDescent="0.45">
      <c r="A1794" s="1">
        <v>42789</v>
      </c>
      <c r="B1794">
        <v>54.45</v>
      </c>
      <c r="C1794">
        <v>1.6657</v>
      </c>
      <c r="D1794">
        <v>1.7476</v>
      </c>
      <c r="E1794" s="2">
        <f t="shared" si="1834"/>
        <v>17.802600000000002</v>
      </c>
      <c r="F1794" s="2">
        <f t="shared" si="1836"/>
        <v>17.931799999999999</v>
      </c>
      <c r="G1794" s="2">
        <f t="shared" si="1838"/>
        <v>17.078400000000006</v>
      </c>
      <c r="H1794" s="2">
        <f t="shared" si="1839"/>
        <v>-1.3714077056672824E-2</v>
      </c>
      <c r="I1794" s="2">
        <f t="shared" ref="I1794:J1794" si="1901">LN(C1793)-LN(C1792)</f>
        <v>-8.3235086700597649E-3</v>
      </c>
      <c r="J1794" s="2">
        <f t="shared" si="1901"/>
        <v>6.3029670602781085E-3</v>
      </c>
    </row>
    <row r="1795" spans="1:10" x14ac:dyDescent="0.45">
      <c r="A1795" s="1">
        <v>42790</v>
      </c>
      <c r="B1795">
        <v>53.99</v>
      </c>
      <c r="C1795">
        <v>1.6482000000000001</v>
      </c>
      <c r="D1795">
        <v>1.7364999999999999</v>
      </c>
      <c r="E1795" s="2">
        <f t="shared" ref="E1795:E1858" si="1902">(2*D1795*42+1*C1795*42-3*B1795)/3</f>
        <v>17.706799999999998</v>
      </c>
      <c r="F1795" s="2">
        <f t="shared" si="1836"/>
        <v>17.802600000000002</v>
      </c>
      <c r="G1795" s="2">
        <f t="shared" si="1838"/>
        <v>17.931799999999999</v>
      </c>
      <c r="H1795" s="2">
        <f t="shared" si="1839"/>
        <v>1.5920365872210684E-2</v>
      </c>
      <c r="I1795" s="2">
        <f t="shared" ref="I1795:J1795" si="1903">LN(C1794)-LN(C1793)</f>
        <v>1.6098144787747681E-2</v>
      </c>
      <c r="J1795" s="2">
        <f t="shared" si="1903"/>
        <v>7.3512851160697501E-3</v>
      </c>
    </row>
    <row r="1796" spans="1:10" x14ac:dyDescent="0.45">
      <c r="A1796" s="1">
        <v>42793</v>
      </c>
      <c r="B1796">
        <v>54.05</v>
      </c>
      <c r="C1796">
        <v>1.6483000000000001</v>
      </c>
      <c r="D1796">
        <v>1.7417</v>
      </c>
      <c r="E1796" s="2">
        <f t="shared" si="1902"/>
        <v>17.793800000000005</v>
      </c>
      <c r="F1796" s="2">
        <f t="shared" ref="F1796:F1859" si="1904">E1795</f>
        <v>17.706799999999998</v>
      </c>
      <c r="G1796" s="2">
        <f t="shared" si="1838"/>
        <v>17.802600000000002</v>
      </c>
      <c r="H1796" s="2">
        <f t="shared" si="1839"/>
        <v>-8.4840051487740098E-3</v>
      </c>
      <c r="I1796" s="2">
        <f t="shared" ref="I1796:J1796" si="1905">LN(C1795)-LN(C1794)</f>
        <v>-1.0561672153778845E-2</v>
      </c>
      <c r="J1796" s="2">
        <f t="shared" si="1905"/>
        <v>-6.3718248931521337E-3</v>
      </c>
    </row>
    <row r="1797" spans="1:10" x14ac:dyDescent="0.45">
      <c r="A1797" s="1">
        <v>42794</v>
      </c>
      <c r="B1797">
        <v>54.01</v>
      </c>
      <c r="C1797">
        <v>1.6398999999999999</v>
      </c>
      <c r="D1797">
        <v>1.7294</v>
      </c>
      <c r="E1797" s="2">
        <f t="shared" si="1902"/>
        <v>17.371799999999997</v>
      </c>
      <c r="F1797" s="2">
        <f t="shared" si="1904"/>
        <v>17.793800000000005</v>
      </c>
      <c r="G1797" s="2">
        <f t="shared" ref="G1797:G1860" si="1906">E1795</f>
        <v>17.706799999999998</v>
      </c>
      <c r="H1797" s="2">
        <f t="shared" ref="H1797:H1860" si="1907">LN(B1796)-LN(B1795)</f>
        <v>1.1106998550216574E-3</v>
      </c>
      <c r="I1797" s="2">
        <f t="shared" ref="I1797:J1797" si="1908">LN(C1796)-LN(C1795)</f>
        <v>6.0670408027097E-5</v>
      </c>
      <c r="J1797" s="2">
        <f t="shared" si="1908"/>
        <v>2.990054553610566E-3</v>
      </c>
    </row>
    <row r="1798" spans="1:10" x14ac:dyDescent="0.45">
      <c r="A1798" s="1">
        <v>42795</v>
      </c>
      <c r="B1798">
        <v>53.83</v>
      </c>
      <c r="C1798">
        <v>1.6241000000000001</v>
      </c>
      <c r="D1798">
        <v>1.6779999999999999</v>
      </c>
      <c r="E1798" s="2">
        <f t="shared" si="1902"/>
        <v>15.891399999999996</v>
      </c>
      <c r="F1798" s="2">
        <f t="shared" si="1904"/>
        <v>17.371799999999997</v>
      </c>
      <c r="G1798" s="2">
        <f t="shared" si="1906"/>
        <v>17.793800000000005</v>
      </c>
      <c r="H1798" s="2">
        <f t="shared" si="1907"/>
        <v>-7.4032948041757862E-4</v>
      </c>
      <c r="I1798" s="2">
        <f t="shared" ref="I1798:J1798" si="1909">LN(C1797)-LN(C1796)</f>
        <v>-5.10918938791044E-3</v>
      </c>
      <c r="J1798" s="2">
        <f t="shared" si="1909"/>
        <v>-7.0871202114093368E-3</v>
      </c>
    </row>
    <row r="1799" spans="1:10" x14ac:dyDescent="0.45">
      <c r="A1799" s="1">
        <v>42796</v>
      </c>
      <c r="B1799">
        <v>52.61</v>
      </c>
      <c r="C1799">
        <v>1.5790999999999999</v>
      </c>
      <c r="D1799">
        <v>1.6433</v>
      </c>
      <c r="E1799" s="2">
        <f t="shared" si="1902"/>
        <v>15.509800000000004</v>
      </c>
      <c r="F1799" s="2">
        <f t="shared" si="1904"/>
        <v>15.891399999999996</v>
      </c>
      <c r="G1799" s="2">
        <f t="shared" si="1906"/>
        <v>17.371799999999997</v>
      </c>
      <c r="H1799" s="2">
        <f t="shared" si="1907"/>
        <v>-3.3382820319336481E-3</v>
      </c>
      <c r="I1799" s="2">
        <f t="shared" ref="I1799:J1799" si="1910">LN(C1798)-LN(C1797)</f>
        <v>-9.681448168842699E-3</v>
      </c>
      <c r="J1799" s="2">
        <f t="shared" si="1910"/>
        <v>-3.0171919499178523E-2</v>
      </c>
    </row>
    <row r="1800" spans="1:10" x14ac:dyDescent="0.45">
      <c r="A1800" s="1">
        <v>42797</v>
      </c>
      <c r="B1800">
        <v>53.33</v>
      </c>
      <c r="C1800">
        <v>1.5935999999999999</v>
      </c>
      <c r="D1800">
        <v>1.6531</v>
      </c>
      <c r="E1800" s="2">
        <f t="shared" si="1902"/>
        <v>15.267199999999994</v>
      </c>
      <c r="F1800" s="2">
        <f t="shared" si="1904"/>
        <v>15.509800000000004</v>
      </c>
      <c r="G1800" s="2">
        <f t="shared" si="1906"/>
        <v>15.891399999999996</v>
      </c>
      <c r="H1800" s="2">
        <f t="shared" si="1907"/>
        <v>-2.2924716830150071E-2</v>
      </c>
      <c r="I1800" s="2">
        <f t="shared" ref="I1800:J1800" si="1911">LN(C1799)-LN(C1798)</f>
        <v>-2.8098751707959724E-2</v>
      </c>
      <c r="J1800" s="2">
        <f t="shared" si="1911"/>
        <v>-2.0896192839907179E-2</v>
      </c>
    </row>
    <row r="1801" spans="1:10" x14ac:dyDescent="0.45">
      <c r="A1801" s="1">
        <v>42800</v>
      </c>
      <c r="B1801">
        <v>53.2</v>
      </c>
      <c r="C1801">
        <v>1.6045</v>
      </c>
      <c r="D1801">
        <v>1.6722999999999999</v>
      </c>
      <c r="E1801" s="2">
        <f t="shared" si="1902"/>
        <v>16.087399999999985</v>
      </c>
      <c r="F1801" s="2">
        <f t="shared" si="1904"/>
        <v>15.267199999999994</v>
      </c>
      <c r="G1801" s="2">
        <f t="shared" si="1906"/>
        <v>15.509800000000004</v>
      </c>
      <c r="H1801" s="2">
        <f t="shared" si="1907"/>
        <v>1.3592808869794748E-2</v>
      </c>
      <c r="I1801" s="2">
        <f t="shared" ref="I1801:J1801" si="1912">LN(C1800)-LN(C1799)</f>
        <v>9.1405433577362305E-3</v>
      </c>
      <c r="J1801" s="2">
        <f t="shared" si="1912"/>
        <v>5.9458978717222832E-3</v>
      </c>
    </row>
    <row r="1802" spans="1:10" x14ac:dyDescent="0.45">
      <c r="A1802" s="1">
        <v>42801</v>
      </c>
      <c r="B1802">
        <v>53.14</v>
      </c>
      <c r="C1802">
        <v>1.6138999999999999</v>
      </c>
      <c r="D1802">
        <v>1.6798</v>
      </c>
      <c r="E1802" s="2">
        <f t="shared" si="1902"/>
        <v>16.488999999999994</v>
      </c>
      <c r="F1802" s="2">
        <f t="shared" si="1904"/>
        <v>16.087399999999985</v>
      </c>
      <c r="G1802" s="2">
        <f t="shared" si="1906"/>
        <v>15.267199999999994</v>
      </c>
      <c r="H1802" s="2">
        <f t="shared" si="1907"/>
        <v>-2.4406282649120925E-3</v>
      </c>
      <c r="I1802" s="2">
        <f t="shared" ref="I1802:J1802" si="1913">LN(C1801)-LN(C1800)</f>
        <v>6.8165737195778897E-3</v>
      </c>
      <c r="J1802" s="2">
        <f t="shared" si="1913"/>
        <v>1.1547611328110552E-2</v>
      </c>
    </row>
    <row r="1803" spans="1:10" x14ac:dyDescent="0.45">
      <c r="A1803" s="1">
        <v>42802</v>
      </c>
      <c r="B1803">
        <v>50.28</v>
      </c>
      <c r="C1803">
        <v>1.5567</v>
      </c>
      <c r="D1803">
        <v>1.6526000000000001</v>
      </c>
      <c r="E1803" s="2">
        <f t="shared" si="1902"/>
        <v>17.786599999999993</v>
      </c>
      <c r="F1803" s="2">
        <f t="shared" si="1904"/>
        <v>16.488999999999994</v>
      </c>
      <c r="G1803" s="2">
        <f t="shared" si="1906"/>
        <v>16.087399999999985</v>
      </c>
      <c r="H1803" s="2">
        <f t="shared" si="1907"/>
        <v>-1.1284560159312562E-3</v>
      </c>
      <c r="I1803" s="2">
        <f t="shared" ref="I1803:J1803" si="1914">LN(C1802)-LN(C1801)</f>
        <v>5.8414284918650861E-3</v>
      </c>
      <c r="J1803" s="2">
        <f t="shared" si="1914"/>
        <v>4.4748143044496258E-3</v>
      </c>
    </row>
    <row r="1804" spans="1:10" x14ac:dyDescent="0.45">
      <c r="A1804" s="1">
        <v>42803</v>
      </c>
      <c r="B1804">
        <v>49.28</v>
      </c>
      <c r="C1804">
        <v>1.5295000000000001</v>
      </c>
      <c r="D1804">
        <v>1.6243000000000001</v>
      </c>
      <c r="E1804" s="2">
        <f t="shared" si="1902"/>
        <v>17.613400000000002</v>
      </c>
      <c r="F1804" s="2">
        <f t="shared" si="1904"/>
        <v>17.786599999999993</v>
      </c>
      <c r="G1804" s="2">
        <f t="shared" si="1906"/>
        <v>16.488999999999994</v>
      </c>
      <c r="H1804" s="2">
        <f t="shared" si="1907"/>
        <v>-5.5322556609620488E-2</v>
      </c>
      <c r="I1804" s="2">
        <f t="shared" ref="I1804:J1804" si="1915">LN(C1803)-LN(C1802)</f>
        <v>-3.6085413999973059E-2</v>
      </c>
      <c r="J1804" s="2">
        <f t="shared" si="1915"/>
        <v>-1.6324933424442634E-2</v>
      </c>
    </row>
    <row r="1805" spans="1:10" x14ac:dyDescent="0.45">
      <c r="A1805" s="1">
        <v>42804</v>
      </c>
      <c r="B1805">
        <v>48.49</v>
      </c>
      <c r="C1805">
        <v>1.5036</v>
      </c>
      <c r="D1805">
        <v>1.6001000000000001</v>
      </c>
      <c r="E1805" s="2">
        <f t="shared" si="1902"/>
        <v>17.363199999999996</v>
      </c>
      <c r="F1805" s="2">
        <f t="shared" si="1904"/>
        <v>17.613400000000002</v>
      </c>
      <c r="G1805" s="2">
        <f t="shared" si="1906"/>
        <v>17.786599999999993</v>
      </c>
      <c r="H1805" s="2">
        <f t="shared" si="1907"/>
        <v>-2.0089064496782605E-2</v>
      </c>
      <c r="I1805" s="2">
        <f t="shared" ref="I1805:J1805" si="1916">LN(C1804)-LN(C1803)</f>
        <v>-1.7627311450845451E-2</v>
      </c>
      <c r="J1805" s="2">
        <f t="shared" si="1916"/>
        <v>-1.7272851541733913E-2</v>
      </c>
    </row>
    <row r="1806" spans="1:10" x14ac:dyDescent="0.45">
      <c r="A1806" s="1">
        <v>42807</v>
      </c>
      <c r="B1806">
        <v>48.4</v>
      </c>
      <c r="C1806">
        <v>1.5005999999999999</v>
      </c>
      <c r="D1806">
        <v>1.5807</v>
      </c>
      <c r="E1806" s="2">
        <f t="shared" si="1902"/>
        <v>16.867999999999995</v>
      </c>
      <c r="F1806" s="2">
        <f t="shared" si="1904"/>
        <v>17.363199999999996</v>
      </c>
      <c r="G1806" s="2">
        <f t="shared" si="1906"/>
        <v>17.613400000000002</v>
      </c>
      <c r="H1806" s="2">
        <f t="shared" si="1907"/>
        <v>-1.6160728108003397E-2</v>
      </c>
      <c r="I1806" s="2">
        <f t="shared" ref="I1806:J1806" si="1917">LN(C1805)-LN(C1804)</f>
        <v>-1.7078651900935216E-2</v>
      </c>
      <c r="J1806" s="2">
        <f t="shared" si="1917"/>
        <v>-1.5010826450521098E-2</v>
      </c>
    </row>
    <row r="1807" spans="1:10" x14ac:dyDescent="0.45">
      <c r="A1807" s="1">
        <v>42808</v>
      </c>
      <c r="B1807">
        <v>47.72</v>
      </c>
      <c r="C1807">
        <v>1.4919</v>
      </c>
      <c r="D1807">
        <v>1.5834999999999999</v>
      </c>
      <c r="E1807" s="2">
        <f t="shared" si="1902"/>
        <v>17.504599999999993</v>
      </c>
      <c r="F1807" s="2">
        <f t="shared" si="1904"/>
        <v>16.867999999999995</v>
      </c>
      <c r="G1807" s="2">
        <f t="shared" si="1906"/>
        <v>17.363199999999996</v>
      </c>
      <c r="H1807" s="2">
        <f t="shared" si="1907"/>
        <v>-1.8577773946750753E-3</v>
      </c>
      <c r="I1807" s="2">
        <f t="shared" ref="I1807:J1807" si="1918">LN(C1806)-LN(C1805)</f>
        <v>-1.9972045783946402E-3</v>
      </c>
      <c r="J1807" s="2">
        <f t="shared" si="1918"/>
        <v>-1.2198340391479268E-2</v>
      </c>
    </row>
    <row r="1808" spans="1:10" x14ac:dyDescent="0.45">
      <c r="A1808" s="1">
        <v>42809</v>
      </c>
      <c r="B1808">
        <v>48.86</v>
      </c>
      <c r="C1808">
        <v>1.5124</v>
      </c>
      <c r="D1808">
        <v>1.5833999999999999</v>
      </c>
      <c r="E1808" s="2">
        <f t="shared" si="1902"/>
        <v>16.648800000000005</v>
      </c>
      <c r="F1808" s="2">
        <f t="shared" si="1904"/>
        <v>17.504599999999993</v>
      </c>
      <c r="G1808" s="2">
        <f t="shared" si="1906"/>
        <v>16.867999999999995</v>
      </c>
      <c r="H1808" s="2">
        <f t="shared" si="1907"/>
        <v>-1.4149216492870487E-2</v>
      </c>
      <c r="I1808" s="2">
        <f t="shared" ref="I1808:J1808" si="1919">LN(C1807)-LN(C1806)</f>
        <v>-5.8145527228257721E-3</v>
      </c>
      <c r="J1808" s="2">
        <f t="shared" si="1919"/>
        <v>1.7698000953446646E-3</v>
      </c>
    </row>
    <row r="1809" spans="1:10" x14ac:dyDescent="0.45">
      <c r="A1809" s="1">
        <v>42810</v>
      </c>
      <c r="B1809">
        <v>48.75</v>
      </c>
      <c r="C1809">
        <v>1.5043</v>
      </c>
      <c r="D1809">
        <v>1.5942000000000001</v>
      </c>
      <c r="E1809" s="2">
        <f t="shared" si="1902"/>
        <v>16.947800000000001</v>
      </c>
      <c r="F1809" s="2">
        <f t="shared" si="1904"/>
        <v>16.648800000000005</v>
      </c>
      <c r="G1809" s="2">
        <f t="shared" si="1906"/>
        <v>17.504599999999993</v>
      </c>
      <c r="H1809" s="2">
        <f t="shared" si="1907"/>
        <v>2.3608468599879195E-2</v>
      </c>
      <c r="I1809" s="2">
        <f t="shared" ref="I1809:J1809" si="1920">LN(C1808)-LN(C1807)</f>
        <v>1.364731762797522E-2</v>
      </c>
      <c r="J1809" s="2">
        <f t="shared" si="1920"/>
        <v>-6.3153241361080248E-5</v>
      </c>
    </row>
    <row r="1810" spans="1:10" x14ac:dyDescent="0.45">
      <c r="A1810" s="1">
        <v>42811</v>
      </c>
      <c r="B1810">
        <v>49.31</v>
      </c>
      <c r="C1810">
        <v>1.5085</v>
      </c>
      <c r="D1810">
        <v>1.5989</v>
      </c>
      <c r="E1810" s="2">
        <f t="shared" si="1902"/>
        <v>16.578199999999999</v>
      </c>
      <c r="F1810" s="2">
        <f t="shared" si="1904"/>
        <v>16.947800000000001</v>
      </c>
      <c r="G1810" s="2">
        <f t="shared" si="1906"/>
        <v>16.648800000000005</v>
      </c>
      <c r="H1810" s="2">
        <f t="shared" si="1907"/>
        <v>-2.2538683857384889E-3</v>
      </c>
      <c r="I1810" s="2">
        <f t="shared" ref="I1810:J1810" si="1921">LN(C1809)-LN(C1808)</f>
        <v>-5.3701193129996883E-3</v>
      </c>
      <c r="J1810" s="2">
        <f t="shared" si="1921"/>
        <v>6.7976092564895341E-3</v>
      </c>
    </row>
    <row r="1811" spans="1:10" x14ac:dyDescent="0.45">
      <c r="A1811" s="1">
        <v>42814</v>
      </c>
      <c r="B1811">
        <v>48.91</v>
      </c>
      <c r="C1811">
        <v>1.5141</v>
      </c>
      <c r="D1811">
        <v>1.6248</v>
      </c>
      <c r="E1811" s="2">
        <f t="shared" si="1902"/>
        <v>17.781800000000004</v>
      </c>
      <c r="F1811" s="2">
        <f t="shared" si="1904"/>
        <v>16.578199999999999</v>
      </c>
      <c r="G1811" s="2">
        <f t="shared" si="1906"/>
        <v>16.947800000000001</v>
      </c>
      <c r="H1811" s="2">
        <f t="shared" si="1907"/>
        <v>1.1421702792178579E-2</v>
      </c>
      <c r="I1811" s="2">
        <f t="shared" ref="I1811:J1811" si="1922">LN(C1810)-LN(C1809)</f>
        <v>2.7881058953376781E-3</v>
      </c>
      <c r="J1811" s="2">
        <f t="shared" si="1922"/>
        <v>2.9438497975518008E-3</v>
      </c>
    </row>
    <row r="1812" spans="1:10" x14ac:dyDescent="0.45">
      <c r="A1812" s="1">
        <v>42815</v>
      </c>
      <c r="B1812">
        <v>48.24</v>
      </c>
      <c r="C1812">
        <v>1.5103</v>
      </c>
      <c r="D1812">
        <v>1.617</v>
      </c>
      <c r="E1812" s="2">
        <f t="shared" si="1902"/>
        <v>18.180200000000003</v>
      </c>
      <c r="F1812" s="2">
        <f t="shared" si="1904"/>
        <v>17.781800000000004</v>
      </c>
      <c r="G1812" s="2">
        <f t="shared" si="1906"/>
        <v>16.578199999999999</v>
      </c>
      <c r="H1812" s="2">
        <f t="shared" si="1907"/>
        <v>-8.1450256847688252E-3</v>
      </c>
      <c r="I1812" s="2">
        <f t="shared" ref="I1812:J1812" si="1923">LN(C1811)-LN(C1810)</f>
        <v>3.7054234152106291E-3</v>
      </c>
      <c r="J1812" s="2">
        <f t="shared" si="1923"/>
        <v>1.6068838474800284E-2</v>
      </c>
    </row>
    <row r="1813" spans="1:10" x14ac:dyDescent="0.45">
      <c r="A1813" s="1">
        <v>42816</v>
      </c>
      <c r="B1813">
        <v>48.04</v>
      </c>
      <c r="C1813">
        <v>1.5042</v>
      </c>
      <c r="D1813">
        <v>1.6125</v>
      </c>
      <c r="E1813" s="2">
        <f t="shared" si="1902"/>
        <v>18.168800000000005</v>
      </c>
      <c r="F1813" s="2">
        <f t="shared" si="1904"/>
        <v>18.180200000000003</v>
      </c>
      <c r="G1813" s="2">
        <f t="shared" si="1906"/>
        <v>17.781800000000004</v>
      </c>
      <c r="H1813" s="2">
        <f t="shared" si="1907"/>
        <v>-1.3793322132335639E-2</v>
      </c>
      <c r="I1813" s="2">
        <f t="shared" ref="I1813:J1813" si="1924">LN(C1812)-LN(C1811)</f>
        <v>-2.51289644203051E-3</v>
      </c>
      <c r="J1813" s="2">
        <f t="shared" si="1924"/>
        <v>-4.8121506890681509E-3</v>
      </c>
    </row>
    <row r="1814" spans="1:10" x14ac:dyDescent="0.45">
      <c r="A1814" s="1">
        <v>42817</v>
      </c>
      <c r="B1814">
        <v>47.7</v>
      </c>
      <c r="C1814">
        <v>1.4970000000000001</v>
      </c>
      <c r="D1814">
        <v>1.6012999999999999</v>
      </c>
      <c r="E1814" s="2">
        <f t="shared" si="1902"/>
        <v>18.09439999999999</v>
      </c>
      <c r="F1814" s="2">
        <f t="shared" si="1904"/>
        <v>18.168800000000005</v>
      </c>
      <c r="G1814" s="2">
        <f t="shared" si="1906"/>
        <v>18.180200000000003</v>
      </c>
      <c r="H1814" s="2">
        <f t="shared" si="1907"/>
        <v>-4.154555207147137E-3</v>
      </c>
      <c r="I1814" s="2">
        <f t="shared" ref="I1814:J1814" si="1925">LN(C1813)-LN(C1812)</f>
        <v>-4.0471111799931792E-3</v>
      </c>
      <c r="J1814" s="2">
        <f t="shared" si="1925"/>
        <v>-2.7868109071792491E-3</v>
      </c>
    </row>
    <row r="1815" spans="1:10" x14ac:dyDescent="0.45">
      <c r="A1815" s="1">
        <v>42818</v>
      </c>
      <c r="B1815">
        <v>47.97</v>
      </c>
      <c r="C1815">
        <v>1.5039</v>
      </c>
      <c r="D1815">
        <v>1.6153999999999999</v>
      </c>
      <c r="E1815" s="2">
        <f t="shared" si="1902"/>
        <v>18.315800000000007</v>
      </c>
      <c r="F1815" s="2">
        <f t="shared" si="1904"/>
        <v>18.09439999999999</v>
      </c>
      <c r="G1815" s="2">
        <f t="shared" si="1906"/>
        <v>18.168800000000005</v>
      </c>
      <c r="H1815" s="2">
        <f t="shared" si="1907"/>
        <v>-7.102599317487357E-3</v>
      </c>
      <c r="I1815" s="2">
        <f t="shared" ref="I1815:J1815" si="1926">LN(C1814)-LN(C1813)</f>
        <v>-4.7980899726742798E-3</v>
      </c>
      <c r="J1815" s="2">
        <f t="shared" si="1926"/>
        <v>-6.9699703414965453E-3</v>
      </c>
    </row>
    <row r="1816" spans="1:10" x14ac:dyDescent="0.45">
      <c r="A1816" s="1">
        <v>42821</v>
      </c>
      <c r="B1816">
        <v>47.73</v>
      </c>
      <c r="C1816">
        <v>1.5085</v>
      </c>
      <c r="D1816">
        <v>1.6263000000000001</v>
      </c>
      <c r="E1816" s="2">
        <f t="shared" si="1902"/>
        <v>18.925400000000007</v>
      </c>
      <c r="F1816" s="2">
        <f t="shared" si="1904"/>
        <v>18.315800000000007</v>
      </c>
      <c r="G1816" s="2">
        <f t="shared" si="1906"/>
        <v>18.09439999999999</v>
      </c>
      <c r="H1816" s="2">
        <f t="shared" si="1907"/>
        <v>5.6444176196768225E-3</v>
      </c>
      <c r="I1816" s="2">
        <f t="shared" ref="I1816:J1816" si="1927">LN(C1815)-LN(C1814)</f>
        <v>4.5986285179390185E-3</v>
      </c>
      <c r="J1816" s="2">
        <f t="shared" si="1927"/>
        <v>8.7668046797648724E-3</v>
      </c>
    </row>
    <row r="1817" spans="1:10" x14ac:dyDescent="0.45">
      <c r="A1817" s="1">
        <v>42822</v>
      </c>
      <c r="B1817">
        <v>48.37</v>
      </c>
      <c r="C1817">
        <v>1.5201</v>
      </c>
      <c r="D1817">
        <v>1.6364000000000001</v>
      </c>
      <c r="E1817" s="2">
        <f t="shared" si="1902"/>
        <v>18.73060000000001</v>
      </c>
      <c r="F1817" s="2">
        <f t="shared" si="1904"/>
        <v>18.925400000000007</v>
      </c>
      <c r="G1817" s="2">
        <f t="shared" si="1906"/>
        <v>18.315800000000007</v>
      </c>
      <c r="H1817" s="2">
        <f t="shared" si="1907"/>
        <v>-5.0156844961675162E-3</v>
      </c>
      <c r="I1817" s="2">
        <f t="shared" ref="I1817:J1817" si="1928">LN(C1816)-LN(C1815)</f>
        <v>3.0540456615483214E-3</v>
      </c>
      <c r="J1817" s="2">
        <f t="shared" si="1928"/>
        <v>6.7248919262063445E-3</v>
      </c>
    </row>
    <row r="1818" spans="1:10" x14ac:dyDescent="0.45">
      <c r="A1818" s="1">
        <v>42823</v>
      </c>
      <c r="B1818">
        <v>49.51</v>
      </c>
      <c r="C1818">
        <v>1.546</v>
      </c>
      <c r="D1818">
        <v>1.6734</v>
      </c>
      <c r="E1818" s="2">
        <f t="shared" si="1902"/>
        <v>18.989199999999993</v>
      </c>
      <c r="F1818" s="2">
        <f t="shared" si="1904"/>
        <v>18.73060000000001</v>
      </c>
      <c r="G1818" s="2">
        <f t="shared" si="1906"/>
        <v>18.925400000000007</v>
      </c>
      <c r="H1818" s="2">
        <f t="shared" si="1907"/>
        <v>1.3319655817086939E-2</v>
      </c>
      <c r="I1818" s="2">
        <f t="shared" ref="I1818:J1818" si="1929">LN(C1817)-LN(C1816)</f>
        <v>7.6603425508580125E-3</v>
      </c>
      <c r="J1818" s="2">
        <f t="shared" si="1929"/>
        <v>6.1912111208413112E-3</v>
      </c>
    </row>
    <row r="1819" spans="1:10" x14ac:dyDescent="0.45">
      <c r="A1819" s="1">
        <v>42824</v>
      </c>
      <c r="B1819">
        <v>50.35</v>
      </c>
      <c r="C1819">
        <v>1.5605</v>
      </c>
      <c r="D1819">
        <v>1.6837</v>
      </c>
      <c r="E1819" s="2">
        <f t="shared" si="1902"/>
        <v>18.640599999999996</v>
      </c>
      <c r="F1819" s="2">
        <f t="shared" si="1904"/>
        <v>18.989199999999993</v>
      </c>
      <c r="G1819" s="2">
        <f t="shared" si="1906"/>
        <v>18.73060000000001</v>
      </c>
      <c r="H1819" s="2">
        <f t="shared" si="1907"/>
        <v>2.3294882538439587E-2</v>
      </c>
      <c r="I1819" s="2">
        <f t="shared" ref="I1819:J1819" si="1930">LN(C1818)-LN(C1817)</f>
        <v>1.6894827997393502E-2</v>
      </c>
      <c r="J1819" s="2">
        <f t="shared" si="1930"/>
        <v>2.2358777806254726E-2</v>
      </c>
    </row>
    <row r="1820" spans="1:10" x14ac:dyDescent="0.45">
      <c r="A1820" s="1">
        <v>42825</v>
      </c>
      <c r="B1820">
        <v>50.6</v>
      </c>
      <c r="C1820">
        <v>1.5746</v>
      </c>
      <c r="D1820">
        <v>1.7030000000000001</v>
      </c>
      <c r="E1820" s="2">
        <f t="shared" si="1902"/>
        <v>19.128399999999999</v>
      </c>
      <c r="F1820" s="2">
        <f t="shared" si="1904"/>
        <v>18.640599999999996</v>
      </c>
      <c r="G1820" s="2">
        <f t="shared" si="1906"/>
        <v>18.989199999999993</v>
      </c>
      <c r="H1820" s="2">
        <f t="shared" si="1907"/>
        <v>1.6823949791239912E-2</v>
      </c>
      <c r="I1820" s="2">
        <f t="shared" ref="I1820:J1820" si="1931">LN(C1819)-LN(C1818)</f>
        <v>9.3353325634668582E-3</v>
      </c>
      <c r="J1820" s="2">
        <f t="shared" si="1931"/>
        <v>6.1362678022557349E-3</v>
      </c>
    </row>
    <row r="1821" spans="1:10" x14ac:dyDescent="0.45">
      <c r="A1821" s="1">
        <v>42828</v>
      </c>
      <c r="B1821">
        <v>50.24</v>
      </c>
      <c r="C1821">
        <v>1.5633999999999999</v>
      </c>
      <c r="D1821">
        <v>1.6937</v>
      </c>
      <c r="E1821" s="2">
        <f t="shared" si="1902"/>
        <v>19.071200000000005</v>
      </c>
      <c r="F1821" s="2">
        <f t="shared" si="1904"/>
        <v>19.128399999999999</v>
      </c>
      <c r="G1821" s="2">
        <f t="shared" si="1906"/>
        <v>18.640599999999996</v>
      </c>
      <c r="H1821" s="2">
        <f t="shared" si="1907"/>
        <v>4.9529571288484675E-3</v>
      </c>
      <c r="I1821" s="2">
        <f t="shared" ref="I1821:J1821" si="1932">LN(C1820)-LN(C1819)</f>
        <v>8.9949890395327192E-3</v>
      </c>
      <c r="J1821" s="2">
        <f t="shared" si="1932"/>
        <v>1.1397648998934362E-2</v>
      </c>
    </row>
    <row r="1822" spans="1:10" x14ac:dyDescent="0.45">
      <c r="A1822" s="1">
        <v>42829</v>
      </c>
      <c r="B1822">
        <v>51.03</v>
      </c>
      <c r="C1822">
        <v>1.5923</v>
      </c>
      <c r="D1822">
        <v>1.7217</v>
      </c>
      <c r="E1822" s="2">
        <f t="shared" si="1902"/>
        <v>19.469800000000003</v>
      </c>
      <c r="F1822" s="2">
        <f t="shared" si="1904"/>
        <v>19.071200000000005</v>
      </c>
      <c r="G1822" s="2">
        <f t="shared" si="1906"/>
        <v>19.128399999999999</v>
      </c>
      <c r="H1822" s="2">
        <f t="shared" si="1907"/>
        <v>-7.1400541334765144E-3</v>
      </c>
      <c r="I1822" s="2">
        <f t="shared" ref="I1822:J1822" si="1933">LN(C1821)-LN(C1820)</f>
        <v>-7.1383349641368499E-3</v>
      </c>
      <c r="J1822" s="2">
        <f t="shared" si="1933"/>
        <v>-5.475916765612765E-3</v>
      </c>
    </row>
    <row r="1823" spans="1:10" x14ac:dyDescent="0.45">
      <c r="A1823" s="1">
        <v>42830</v>
      </c>
      <c r="B1823">
        <v>51.15</v>
      </c>
      <c r="C1823">
        <v>1.6034999999999999</v>
      </c>
      <c r="D1823">
        <v>1.7153</v>
      </c>
      <c r="E1823" s="2">
        <f t="shared" si="1902"/>
        <v>19.327400000000011</v>
      </c>
      <c r="F1823" s="2">
        <f t="shared" si="1904"/>
        <v>19.469800000000003</v>
      </c>
      <c r="G1823" s="2">
        <f t="shared" si="1906"/>
        <v>19.071200000000005</v>
      </c>
      <c r="H1823" s="2">
        <f t="shared" si="1907"/>
        <v>1.5602172915936574E-2</v>
      </c>
      <c r="I1823" s="2">
        <f t="shared" ref="I1823:J1823" si="1934">LN(C1822)-LN(C1821)</f>
        <v>1.8316575076150421E-2</v>
      </c>
      <c r="J1823" s="2">
        <f t="shared" si="1934"/>
        <v>1.6396689885350924E-2</v>
      </c>
    </row>
    <row r="1824" spans="1:10" x14ac:dyDescent="0.45">
      <c r="A1824" s="1">
        <v>42831</v>
      </c>
      <c r="B1824">
        <v>51.7</v>
      </c>
      <c r="C1824">
        <v>1.6129</v>
      </c>
      <c r="D1824">
        <v>1.7296</v>
      </c>
      <c r="E1824" s="2">
        <f t="shared" si="1902"/>
        <v>19.3094</v>
      </c>
      <c r="F1824" s="2">
        <f t="shared" si="1904"/>
        <v>19.327400000000011</v>
      </c>
      <c r="G1824" s="2">
        <f t="shared" si="1906"/>
        <v>19.469800000000003</v>
      </c>
      <c r="H1824" s="2">
        <f t="shared" si="1907"/>
        <v>2.3487973217557467E-3</v>
      </c>
      <c r="I1824" s="2">
        <f t="shared" ref="I1824:J1824" si="1935">LN(C1823)-LN(C1822)</f>
        <v>7.0092282708291154E-3</v>
      </c>
      <c r="J1824" s="2">
        <f t="shared" si="1935"/>
        <v>-3.7241823666471774E-3</v>
      </c>
    </row>
    <row r="1825" spans="1:10" x14ac:dyDescent="0.45">
      <c r="A1825" s="1">
        <v>42832</v>
      </c>
      <c r="B1825">
        <v>52.24</v>
      </c>
      <c r="C1825">
        <v>1.6284000000000001</v>
      </c>
      <c r="D1825">
        <v>1.7462</v>
      </c>
      <c r="E1825" s="2">
        <f t="shared" si="1902"/>
        <v>19.4512</v>
      </c>
      <c r="F1825" s="2">
        <f t="shared" si="1904"/>
        <v>19.3094</v>
      </c>
      <c r="G1825" s="2">
        <f t="shared" si="1906"/>
        <v>19.327400000000011</v>
      </c>
      <c r="H1825" s="2">
        <f t="shared" si="1907"/>
        <v>1.0695289116747997E-2</v>
      </c>
      <c r="I1825" s="2">
        <f t="shared" ref="I1825:J1825" si="1936">LN(C1824)-LN(C1823)</f>
        <v>5.8450607899273033E-3</v>
      </c>
      <c r="J1825" s="2">
        <f t="shared" si="1936"/>
        <v>8.3021754691644523E-3</v>
      </c>
    </row>
    <row r="1826" spans="1:10" x14ac:dyDescent="0.45">
      <c r="A1826" s="1">
        <v>42835</v>
      </c>
      <c r="B1826">
        <v>53.08</v>
      </c>
      <c r="C1826">
        <v>1.6473</v>
      </c>
      <c r="D1826">
        <v>1.7581</v>
      </c>
      <c r="E1826" s="2">
        <f t="shared" si="1902"/>
        <v>19.208999999999993</v>
      </c>
      <c r="F1826" s="2">
        <f t="shared" si="1904"/>
        <v>19.4512</v>
      </c>
      <c r="G1826" s="2">
        <f t="shared" si="1906"/>
        <v>19.3094</v>
      </c>
      <c r="H1826" s="2">
        <f t="shared" si="1907"/>
        <v>1.0390703453792227E-2</v>
      </c>
      <c r="I1826" s="2">
        <f t="shared" ref="I1826:J1826" si="1937">LN(C1825)-LN(C1824)</f>
        <v>9.5641367056869542E-3</v>
      </c>
      <c r="J1826" s="2">
        <f t="shared" si="1937"/>
        <v>9.5518304917634467E-3</v>
      </c>
    </row>
    <row r="1827" spans="1:10" x14ac:dyDescent="0.45">
      <c r="A1827" s="1">
        <v>42836</v>
      </c>
      <c r="B1827">
        <v>53.4</v>
      </c>
      <c r="C1827">
        <v>1.6506000000000001</v>
      </c>
      <c r="D1827">
        <v>1.7577</v>
      </c>
      <c r="E1827" s="2">
        <f t="shared" si="1902"/>
        <v>18.924000000000017</v>
      </c>
      <c r="F1827" s="2">
        <f t="shared" si="1904"/>
        <v>19.208999999999993</v>
      </c>
      <c r="G1827" s="2">
        <f t="shared" si="1906"/>
        <v>19.4512</v>
      </c>
      <c r="H1827" s="2">
        <f t="shared" si="1907"/>
        <v>1.595172449583071E-2</v>
      </c>
      <c r="I1827" s="2">
        <f t="shared" ref="I1827:J1827" si="1938">LN(C1826)-LN(C1825)</f>
        <v>1.1539646324112807E-2</v>
      </c>
      <c r="J1827" s="2">
        <f t="shared" si="1938"/>
        <v>6.79168207203662E-3</v>
      </c>
    </row>
    <row r="1828" spans="1:10" x14ac:dyDescent="0.45">
      <c r="A1828" s="1">
        <v>42837</v>
      </c>
      <c r="B1828">
        <v>53.11</v>
      </c>
      <c r="C1828">
        <v>1.6519999999999999</v>
      </c>
      <c r="D1828">
        <v>1.7445999999999999</v>
      </c>
      <c r="E1828" s="2">
        <f t="shared" si="1902"/>
        <v>18.866800000000012</v>
      </c>
      <c r="F1828" s="2">
        <f t="shared" si="1904"/>
        <v>18.924000000000017</v>
      </c>
      <c r="G1828" s="2">
        <f t="shared" si="1906"/>
        <v>19.208999999999993</v>
      </c>
      <c r="H1828" s="2">
        <f t="shared" si="1907"/>
        <v>6.0105365021425605E-3</v>
      </c>
      <c r="I1828" s="2">
        <f t="shared" ref="I1828:J1828" si="1939">LN(C1827)-LN(C1826)</f>
        <v>2.0012742056473298E-3</v>
      </c>
      <c r="J1828" s="2">
        <f t="shared" si="1939"/>
        <v>-2.2754422989124112E-4</v>
      </c>
    </row>
    <row r="1829" spans="1:10" x14ac:dyDescent="0.45">
      <c r="A1829" s="1">
        <v>42838</v>
      </c>
      <c r="B1829">
        <v>53.18</v>
      </c>
      <c r="C1829">
        <v>1.6495</v>
      </c>
      <c r="D1829">
        <v>1.7349000000000001</v>
      </c>
      <c r="E1829" s="2">
        <f t="shared" si="1902"/>
        <v>18.490200000000005</v>
      </c>
      <c r="F1829" s="2">
        <f t="shared" si="1904"/>
        <v>18.866800000000012</v>
      </c>
      <c r="G1829" s="2">
        <f t="shared" si="1906"/>
        <v>18.924000000000017</v>
      </c>
      <c r="H1829" s="2">
        <f t="shared" si="1907"/>
        <v>-5.4455115318412517E-3</v>
      </c>
      <c r="I1829" s="2">
        <f t="shared" ref="I1829:J1829" si="1940">LN(C1828)-LN(C1827)</f>
        <v>8.4781692233937278E-4</v>
      </c>
      <c r="J1829" s="2">
        <f t="shared" si="1940"/>
        <v>-7.4808332197344729E-3</v>
      </c>
    </row>
    <row r="1830" spans="1:10" x14ac:dyDescent="0.45">
      <c r="A1830" s="1">
        <v>42842</v>
      </c>
      <c r="B1830">
        <v>52.65</v>
      </c>
      <c r="C1830">
        <v>1.6329</v>
      </c>
      <c r="D1830">
        <v>1.7196</v>
      </c>
      <c r="E1830" s="2">
        <f t="shared" si="1902"/>
        <v>18.359400000000011</v>
      </c>
      <c r="F1830" s="2">
        <f t="shared" si="1904"/>
        <v>18.490200000000005</v>
      </c>
      <c r="G1830" s="2">
        <f t="shared" si="1906"/>
        <v>18.866800000000012</v>
      </c>
      <c r="H1830" s="2">
        <f t="shared" si="1907"/>
        <v>1.317151380565651E-3</v>
      </c>
      <c r="I1830" s="2">
        <f t="shared" ref="I1830:J1830" si="1941">LN(C1829)-LN(C1828)</f>
        <v>-1.5144634122872258E-3</v>
      </c>
      <c r="J1830" s="2">
        <f t="shared" si="1941"/>
        <v>-5.5755281668358192E-3</v>
      </c>
    </row>
    <row r="1831" spans="1:10" x14ac:dyDescent="0.45">
      <c r="A1831" s="1">
        <v>42843</v>
      </c>
      <c r="B1831">
        <v>52.85</v>
      </c>
      <c r="C1831">
        <v>1.6311</v>
      </c>
      <c r="D1831">
        <v>1.7164999999999999</v>
      </c>
      <c r="E1831" s="2">
        <f t="shared" si="1902"/>
        <v>18.047399999999993</v>
      </c>
      <c r="F1831" s="2">
        <f t="shared" si="1904"/>
        <v>18.359400000000011</v>
      </c>
      <c r="G1831" s="2">
        <f t="shared" si="1906"/>
        <v>18.490200000000005</v>
      </c>
      <c r="H1831" s="2">
        <f t="shared" si="1907"/>
        <v>-1.0016147234888972E-2</v>
      </c>
      <c r="I1831" s="2">
        <f t="shared" ref="I1831:J1831" si="1942">LN(C1830)-LN(C1829)</f>
        <v>-1.0114636560372037E-2</v>
      </c>
      <c r="J1831" s="2">
        <f t="shared" si="1942"/>
        <v>-8.8580692101558611E-3</v>
      </c>
    </row>
    <row r="1832" spans="1:10" x14ac:dyDescent="0.45">
      <c r="A1832" s="1">
        <v>42844</v>
      </c>
      <c r="B1832">
        <v>50.85</v>
      </c>
      <c r="C1832">
        <v>1.5891999999999999</v>
      </c>
      <c r="D1832">
        <v>1.6634</v>
      </c>
      <c r="E1832" s="2">
        <f t="shared" si="1902"/>
        <v>17.97399999999999</v>
      </c>
      <c r="F1832" s="2">
        <f t="shared" si="1904"/>
        <v>18.047399999999993</v>
      </c>
      <c r="G1832" s="2">
        <f t="shared" si="1906"/>
        <v>18.359400000000011</v>
      </c>
      <c r="H1832" s="2">
        <f t="shared" si="1907"/>
        <v>3.7914737362623185E-3</v>
      </c>
      <c r="I1832" s="2">
        <f t="shared" ref="I1832:J1832" si="1943">LN(C1831)-LN(C1830)</f>
        <v>-1.1029412882793688E-3</v>
      </c>
      <c r="J1832" s="2">
        <f t="shared" si="1943"/>
        <v>-1.8043717243797497E-3</v>
      </c>
    </row>
    <row r="1833" spans="1:10" x14ac:dyDescent="0.45">
      <c r="A1833" s="1">
        <v>42845</v>
      </c>
      <c r="B1833">
        <v>50.71</v>
      </c>
      <c r="C1833">
        <v>1.5857000000000001</v>
      </c>
      <c r="D1833">
        <v>1.6713</v>
      </c>
      <c r="E1833" s="2">
        <f t="shared" si="1902"/>
        <v>18.286199999999997</v>
      </c>
      <c r="F1833" s="2">
        <f t="shared" si="1904"/>
        <v>17.97399999999999</v>
      </c>
      <c r="G1833" s="2">
        <f t="shared" si="1906"/>
        <v>18.047399999999993</v>
      </c>
      <c r="H1833" s="2">
        <f t="shared" si="1907"/>
        <v>-3.8577589821677805E-2</v>
      </c>
      <c r="I1833" s="2">
        <f t="shared" ref="I1833:J1833" si="1944">LN(C1832)-LN(C1831)</f>
        <v>-2.6023888879540824E-2</v>
      </c>
      <c r="J1833" s="2">
        <f t="shared" si="1944"/>
        <v>-3.1423633463159573E-2</v>
      </c>
    </row>
    <row r="1834" spans="1:10" x14ac:dyDescent="0.45">
      <c r="A1834" s="1">
        <v>42846</v>
      </c>
      <c r="B1834">
        <v>49.62</v>
      </c>
      <c r="C1834">
        <v>1.5593999999999999</v>
      </c>
      <c r="D1834">
        <v>1.6453</v>
      </c>
      <c r="E1834" s="2">
        <f t="shared" si="1902"/>
        <v>18.28</v>
      </c>
      <c r="F1834" s="2">
        <f t="shared" si="1904"/>
        <v>18.286199999999997</v>
      </c>
      <c r="G1834" s="2">
        <f t="shared" si="1906"/>
        <v>17.97399999999999</v>
      </c>
      <c r="H1834" s="2">
        <f t="shared" si="1907"/>
        <v>-2.7569926876411799E-3</v>
      </c>
      <c r="I1834" s="2">
        <f t="shared" ref="I1834:J1834" si="1945">LN(C1833)-LN(C1832)</f>
        <v>-2.2047947449219674E-3</v>
      </c>
      <c r="J1834" s="2">
        <f t="shared" si="1945"/>
        <v>4.738066260292384E-3</v>
      </c>
    </row>
    <row r="1835" spans="1:10" x14ac:dyDescent="0.45">
      <c r="A1835" s="1">
        <v>42849</v>
      </c>
      <c r="B1835">
        <v>49.23</v>
      </c>
      <c r="C1835">
        <v>1.5478000000000001</v>
      </c>
      <c r="D1835">
        <v>1.6257999999999999</v>
      </c>
      <c r="E1835" s="2">
        <f t="shared" si="1902"/>
        <v>17.961599999999994</v>
      </c>
      <c r="F1835" s="2">
        <f t="shared" si="1904"/>
        <v>18.28</v>
      </c>
      <c r="G1835" s="2">
        <f t="shared" si="1906"/>
        <v>18.286199999999997</v>
      </c>
      <c r="H1835" s="2">
        <f t="shared" si="1907"/>
        <v>-2.1729151543273151E-2</v>
      </c>
      <c r="I1835" s="2">
        <f t="shared" ref="I1835:J1835" si="1946">LN(C1834)-LN(C1833)</f>
        <v>-1.6724818320022372E-2</v>
      </c>
      <c r="J1835" s="2">
        <f t="shared" si="1946"/>
        <v>-1.5679028302275133E-2</v>
      </c>
    </row>
    <row r="1836" spans="1:10" x14ac:dyDescent="0.45">
      <c r="A1836" s="1">
        <v>42850</v>
      </c>
      <c r="B1836">
        <v>49.56</v>
      </c>
      <c r="C1836">
        <v>1.5498000000000001</v>
      </c>
      <c r="D1836">
        <v>1.6261000000000001</v>
      </c>
      <c r="E1836" s="2">
        <f t="shared" si="1902"/>
        <v>17.667999999999996</v>
      </c>
      <c r="F1836" s="2">
        <f t="shared" si="1904"/>
        <v>17.961599999999994</v>
      </c>
      <c r="G1836" s="2">
        <f t="shared" si="1906"/>
        <v>18.28</v>
      </c>
      <c r="H1836" s="2">
        <f t="shared" si="1907"/>
        <v>-7.8907844935454108E-3</v>
      </c>
      <c r="I1836" s="2">
        <f t="shared" ref="I1836:J1836" si="1947">LN(C1835)-LN(C1834)</f>
        <v>-7.4665640391406995E-3</v>
      </c>
      <c r="J1836" s="2">
        <f t="shared" si="1947"/>
        <v>-1.1922736080132501E-2</v>
      </c>
    </row>
    <row r="1837" spans="1:10" x14ac:dyDescent="0.45">
      <c r="A1837" s="1">
        <v>42851</v>
      </c>
      <c r="B1837">
        <v>49.62</v>
      </c>
      <c r="C1837">
        <v>1.5417000000000001</v>
      </c>
      <c r="D1837">
        <v>1.5944</v>
      </c>
      <c r="E1837" s="2">
        <f t="shared" si="1902"/>
        <v>16.606999999999999</v>
      </c>
      <c r="F1837" s="2">
        <f t="shared" si="1904"/>
        <v>17.667999999999996</v>
      </c>
      <c r="G1837" s="2">
        <f t="shared" si="1906"/>
        <v>17.961599999999994</v>
      </c>
      <c r="H1837" s="2">
        <f t="shared" si="1907"/>
        <v>6.6808629908323702E-3</v>
      </c>
      <c r="I1837" s="2">
        <f t="shared" ref="I1837:J1837" si="1948">LN(C1836)-LN(C1835)</f>
        <v>1.291322493491065E-3</v>
      </c>
      <c r="J1837" s="2">
        <f t="shared" si="1948"/>
        <v>1.8450751920490172E-4</v>
      </c>
    </row>
    <row r="1838" spans="1:10" x14ac:dyDescent="0.45">
      <c r="A1838" s="1">
        <v>42852</v>
      </c>
      <c r="B1838">
        <v>48.97</v>
      </c>
      <c r="C1838">
        <v>1.5116000000000001</v>
      </c>
      <c r="D1838">
        <v>1.5543</v>
      </c>
      <c r="E1838" s="2">
        <f t="shared" si="1902"/>
        <v>15.712800000000007</v>
      </c>
      <c r="F1838" s="2">
        <f t="shared" si="1904"/>
        <v>16.606999999999999</v>
      </c>
      <c r="G1838" s="2">
        <f t="shared" si="1906"/>
        <v>17.667999999999996</v>
      </c>
      <c r="H1838" s="2">
        <f t="shared" si="1907"/>
        <v>1.2099215027130406E-3</v>
      </c>
      <c r="I1838" s="2">
        <f t="shared" ref="I1838:J1838" si="1949">LN(C1837)-LN(C1836)</f>
        <v>-5.2401866635562455E-3</v>
      </c>
      <c r="J1838" s="2">
        <f t="shared" si="1949"/>
        <v>-1.9687019933091798E-2</v>
      </c>
    </row>
    <row r="1839" spans="1:10" x14ac:dyDescent="0.45">
      <c r="A1839" s="1">
        <v>42853</v>
      </c>
      <c r="B1839">
        <v>49.33</v>
      </c>
      <c r="C1839">
        <v>1.5072000000000001</v>
      </c>
      <c r="D1839">
        <v>1.5481</v>
      </c>
      <c r="E1839" s="2">
        <f t="shared" si="1902"/>
        <v>15.117600000000001</v>
      </c>
      <c r="F1839" s="2">
        <f t="shared" si="1904"/>
        <v>15.712800000000007</v>
      </c>
      <c r="G1839" s="2">
        <f t="shared" si="1906"/>
        <v>16.606999999999999</v>
      </c>
      <c r="H1839" s="2">
        <f t="shared" si="1907"/>
        <v>-1.3186112549428586E-2</v>
      </c>
      <c r="I1839" s="2">
        <f t="shared" ref="I1839:J1839" si="1950">LN(C1838)-LN(C1837)</f>
        <v>-1.9717011190959699E-2</v>
      </c>
      <c r="J1839" s="2">
        <f t="shared" si="1950"/>
        <v>-2.5472206409732689E-2</v>
      </c>
    </row>
    <row r="1840" spans="1:10" x14ac:dyDescent="0.45">
      <c r="A1840" s="1">
        <v>42856</v>
      </c>
      <c r="B1840">
        <v>48.84</v>
      </c>
      <c r="C1840">
        <v>1.4878</v>
      </c>
      <c r="D1840">
        <v>1.5271999999999999</v>
      </c>
      <c r="E1840" s="2">
        <f t="shared" si="1902"/>
        <v>14.750799999999998</v>
      </c>
      <c r="F1840" s="2">
        <f t="shared" si="1904"/>
        <v>15.117600000000001</v>
      </c>
      <c r="G1840" s="2">
        <f t="shared" si="1906"/>
        <v>15.712800000000007</v>
      </c>
      <c r="H1840" s="2">
        <f t="shared" si="1907"/>
        <v>7.3245495314204767E-3</v>
      </c>
      <c r="I1840" s="2">
        <f t="shared" ref="I1840:J1840" si="1951">LN(C1839)-LN(C1838)</f>
        <v>-2.9150676532352371E-3</v>
      </c>
      <c r="J1840" s="2">
        <f t="shared" si="1951"/>
        <v>-3.9969109424324856E-3</v>
      </c>
    </row>
    <row r="1841" spans="1:10" x14ac:dyDescent="0.45">
      <c r="A1841" s="1">
        <v>42857</v>
      </c>
      <c r="B1841">
        <v>47.66</v>
      </c>
      <c r="C1841">
        <v>1.468</v>
      </c>
      <c r="D1841">
        <v>1.5136000000000001</v>
      </c>
      <c r="E1841" s="2">
        <f t="shared" si="1902"/>
        <v>15.272800000000009</v>
      </c>
      <c r="F1841" s="2">
        <f t="shared" si="1904"/>
        <v>14.750799999999998</v>
      </c>
      <c r="G1841" s="2">
        <f t="shared" si="1906"/>
        <v>15.117600000000001</v>
      </c>
      <c r="H1841" s="2">
        <f t="shared" si="1907"/>
        <v>-9.9827660031426291E-3</v>
      </c>
      <c r="I1841" s="2">
        <f t="shared" ref="I1841:J1841" si="1952">LN(C1840)-LN(C1839)</f>
        <v>-1.2955106064857669E-2</v>
      </c>
      <c r="J1841" s="2">
        <f t="shared" si="1952"/>
        <v>-1.3592379134882038E-2</v>
      </c>
    </row>
    <row r="1842" spans="1:10" x14ac:dyDescent="0.45">
      <c r="A1842" s="1">
        <v>42858</v>
      </c>
      <c r="B1842">
        <v>47.82</v>
      </c>
      <c r="C1842">
        <v>1.4736</v>
      </c>
      <c r="D1842">
        <v>1.5338000000000001</v>
      </c>
      <c r="E1842" s="2">
        <f t="shared" si="1902"/>
        <v>15.756799999999998</v>
      </c>
      <c r="F1842" s="2">
        <f t="shared" si="1904"/>
        <v>15.272800000000009</v>
      </c>
      <c r="G1842" s="2">
        <f t="shared" si="1906"/>
        <v>14.750799999999998</v>
      </c>
      <c r="H1842" s="2">
        <f t="shared" si="1907"/>
        <v>-2.445717757190824E-2</v>
      </c>
      <c r="I1842" s="2">
        <f t="shared" ref="I1842:J1842" si="1953">LN(C1841)-LN(C1840)</f>
        <v>-1.3397588582780173E-2</v>
      </c>
      <c r="J1842" s="2">
        <f t="shared" si="1953"/>
        <v>-8.9450741139239232E-3</v>
      </c>
    </row>
    <row r="1843" spans="1:10" x14ac:dyDescent="0.45">
      <c r="A1843" s="1">
        <v>42859</v>
      </c>
      <c r="B1843">
        <v>45.52</v>
      </c>
      <c r="C1843">
        <v>1.4123000000000001</v>
      </c>
      <c r="D1843">
        <v>1.4812000000000001</v>
      </c>
      <c r="E1843" s="2">
        <f t="shared" si="1902"/>
        <v>15.725800000000001</v>
      </c>
      <c r="F1843" s="2">
        <f t="shared" si="1904"/>
        <v>15.756799999999998</v>
      </c>
      <c r="G1843" s="2">
        <f t="shared" si="1906"/>
        <v>15.272800000000009</v>
      </c>
      <c r="H1843" s="2">
        <f t="shared" si="1907"/>
        <v>3.3514903595830425E-3</v>
      </c>
      <c r="I1843" s="2">
        <f t="shared" ref="I1843:J1843" si="1954">LN(C1842)-LN(C1841)</f>
        <v>3.807456326581582E-3</v>
      </c>
      <c r="J1843" s="2">
        <f t="shared" si="1954"/>
        <v>1.3257397033145046E-2</v>
      </c>
    </row>
    <row r="1844" spans="1:10" x14ac:dyDescent="0.45">
      <c r="A1844" s="1">
        <v>42860</v>
      </c>
      <c r="B1844">
        <v>46.22</v>
      </c>
      <c r="C1844">
        <v>1.4366000000000001</v>
      </c>
      <c r="D1844">
        <v>1.5045999999999999</v>
      </c>
      <c r="E1844" s="2">
        <f t="shared" si="1902"/>
        <v>16.021200000000004</v>
      </c>
      <c r="F1844" s="2">
        <f t="shared" si="1904"/>
        <v>15.725800000000001</v>
      </c>
      <c r="G1844" s="2">
        <f t="shared" si="1906"/>
        <v>15.756799999999998</v>
      </c>
      <c r="H1844" s="2">
        <f t="shared" si="1907"/>
        <v>-4.9292172212103136E-2</v>
      </c>
      <c r="I1844" s="2">
        <f t="shared" ref="I1844:J1844" si="1955">LN(C1843)-LN(C1842)</f>
        <v>-4.2488805426024234E-2</v>
      </c>
      <c r="J1844" s="2">
        <f t="shared" si="1955"/>
        <v>-3.4895746291301266E-2</v>
      </c>
    </row>
    <row r="1845" spans="1:10" x14ac:dyDescent="0.45">
      <c r="A1845" s="1">
        <v>42863</v>
      </c>
      <c r="B1845">
        <v>46.43</v>
      </c>
      <c r="C1845">
        <v>1.4556</v>
      </c>
      <c r="D1845">
        <v>1.5178</v>
      </c>
      <c r="E1845" s="2">
        <f t="shared" si="1902"/>
        <v>16.446800000000007</v>
      </c>
      <c r="F1845" s="2">
        <f t="shared" si="1904"/>
        <v>16.021200000000004</v>
      </c>
      <c r="G1845" s="2">
        <f t="shared" si="1906"/>
        <v>15.725800000000001</v>
      </c>
      <c r="H1845" s="2">
        <f t="shared" si="1907"/>
        <v>1.5260815028158792E-2</v>
      </c>
      <c r="I1845" s="2">
        <f t="shared" ref="I1845:J1845" si="1956">LN(C1844)-LN(C1843)</f>
        <v>1.7059629565683077E-2</v>
      </c>
      <c r="J1845" s="2">
        <f t="shared" si="1956"/>
        <v>1.5674512086663484E-2</v>
      </c>
    </row>
    <row r="1846" spans="1:10" x14ac:dyDescent="0.45">
      <c r="A1846" s="1">
        <v>42864</v>
      </c>
      <c r="B1846">
        <v>45.88</v>
      </c>
      <c r="C1846">
        <v>1.4420999999999999</v>
      </c>
      <c r="D1846">
        <v>1.4895</v>
      </c>
      <c r="E1846" s="2">
        <f t="shared" si="1902"/>
        <v>16.0154</v>
      </c>
      <c r="F1846" s="2">
        <f t="shared" si="1904"/>
        <v>16.446800000000007</v>
      </c>
      <c r="G1846" s="2">
        <f t="shared" si="1906"/>
        <v>16.021200000000004</v>
      </c>
      <c r="H1846" s="2">
        <f t="shared" si="1907"/>
        <v>4.5331971855957498E-3</v>
      </c>
      <c r="I1846" s="2">
        <f t="shared" ref="I1846:J1846" si="1957">LN(C1845)-LN(C1844)</f>
        <v>1.3138976097303467E-2</v>
      </c>
      <c r="J1846" s="2">
        <f t="shared" si="1957"/>
        <v>8.7348358436913354E-3</v>
      </c>
    </row>
    <row r="1847" spans="1:10" x14ac:dyDescent="0.45">
      <c r="A1847" s="1">
        <v>42865</v>
      </c>
      <c r="B1847">
        <v>47.33</v>
      </c>
      <c r="C1847">
        <v>1.4754</v>
      </c>
      <c r="D1847">
        <v>1.5396000000000001</v>
      </c>
      <c r="E1847" s="2">
        <f t="shared" si="1902"/>
        <v>16.4344</v>
      </c>
      <c r="F1847" s="2">
        <f t="shared" si="1904"/>
        <v>16.0154</v>
      </c>
      <c r="G1847" s="2">
        <f t="shared" si="1906"/>
        <v>16.446800000000007</v>
      </c>
      <c r="H1847" s="2">
        <f t="shared" si="1907"/>
        <v>-1.1916509770660166E-2</v>
      </c>
      <c r="I1847" s="2">
        <f t="shared" ref="I1847:J1847" si="1958">LN(C1846)-LN(C1845)</f>
        <v>-9.3178021699800717E-3</v>
      </c>
      <c r="J1847" s="2">
        <f t="shared" si="1958"/>
        <v>-1.8821424816475474E-2</v>
      </c>
    </row>
    <row r="1848" spans="1:10" x14ac:dyDescent="0.45">
      <c r="A1848" s="1">
        <v>42866</v>
      </c>
      <c r="B1848">
        <v>47.83</v>
      </c>
      <c r="C1848">
        <v>1.4899</v>
      </c>
      <c r="D1848">
        <v>1.5622</v>
      </c>
      <c r="E1848" s="2">
        <f t="shared" si="1902"/>
        <v>16.770200000000006</v>
      </c>
      <c r="F1848" s="2">
        <f t="shared" si="1904"/>
        <v>16.4344</v>
      </c>
      <c r="G1848" s="2">
        <f t="shared" si="1906"/>
        <v>16.0154</v>
      </c>
      <c r="H1848" s="2">
        <f t="shared" si="1907"/>
        <v>3.111505165698647E-2</v>
      </c>
      <c r="I1848" s="2">
        <f t="shared" ref="I1848:J1848" si="1959">LN(C1847)-LN(C1846)</f>
        <v>2.2828754882177227E-2</v>
      </c>
      <c r="J1848" s="2">
        <f t="shared" si="1959"/>
        <v>3.3082149256254079E-2</v>
      </c>
    </row>
    <row r="1849" spans="1:10" x14ac:dyDescent="0.45">
      <c r="A1849" s="1">
        <v>42867</v>
      </c>
      <c r="B1849">
        <v>47.84</v>
      </c>
      <c r="C1849">
        <v>1.4933000000000001</v>
      </c>
      <c r="D1849">
        <v>1.5761000000000001</v>
      </c>
      <c r="E1849" s="2">
        <f t="shared" si="1902"/>
        <v>17.197000000000003</v>
      </c>
      <c r="F1849" s="2">
        <f t="shared" si="1904"/>
        <v>16.770200000000006</v>
      </c>
      <c r="G1849" s="2">
        <f t="shared" si="1906"/>
        <v>16.4344</v>
      </c>
      <c r="H1849" s="2">
        <f t="shared" si="1907"/>
        <v>1.0508713774048939E-2</v>
      </c>
      <c r="I1849" s="2">
        <f t="shared" ref="I1849:J1849" si="1960">LN(C1848)-LN(C1847)</f>
        <v>9.7798641430916211E-3</v>
      </c>
      <c r="J1849" s="2">
        <f t="shared" si="1960"/>
        <v>1.4572441766605881E-2</v>
      </c>
    </row>
    <row r="1850" spans="1:10" x14ac:dyDescent="0.45">
      <c r="A1850" s="1">
        <v>42870</v>
      </c>
      <c r="B1850">
        <v>48.85</v>
      </c>
      <c r="C1850">
        <v>1.5096000000000001</v>
      </c>
      <c r="D1850">
        <v>1.5953999999999999</v>
      </c>
      <c r="E1850" s="2">
        <f t="shared" si="1902"/>
        <v>16.955599999999993</v>
      </c>
      <c r="F1850" s="2">
        <f t="shared" si="1904"/>
        <v>17.197000000000003</v>
      </c>
      <c r="G1850" s="2">
        <f t="shared" si="1906"/>
        <v>16.770200000000006</v>
      </c>
      <c r="H1850" s="2">
        <f t="shared" si="1907"/>
        <v>2.0905195017073552E-4</v>
      </c>
      <c r="I1850" s="2">
        <f t="shared" ref="I1850:J1850" si="1961">LN(C1849)-LN(C1848)</f>
        <v>2.2794324699294544E-3</v>
      </c>
      <c r="J1850" s="2">
        <f t="shared" si="1961"/>
        <v>8.8583570052984117E-3</v>
      </c>
    </row>
    <row r="1851" spans="1:10" x14ac:dyDescent="0.45">
      <c r="A1851" s="1">
        <v>42871</v>
      </c>
      <c r="B1851">
        <v>48.66</v>
      </c>
      <c r="C1851">
        <v>1.5164</v>
      </c>
      <c r="D1851">
        <v>1.6014999999999999</v>
      </c>
      <c r="E1851" s="2">
        <f t="shared" si="1902"/>
        <v>17.411599999999993</v>
      </c>
      <c r="F1851" s="2">
        <f t="shared" si="1904"/>
        <v>16.955599999999993</v>
      </c>
      <c r="G1851" s="2">
        <f t="shared" si="1906"/>
        <v>17.197000000000003</v>
      </c>
      <c r="H1851" s="2">
        <f t="shared" si="1907"/>
        <v>2.0892268846415707E-2</v>
      </c>
      <c r="I1851" s="2">
        <f t="shared" ref="I1851:J1851" si="1962">LN(C1850)-LN(C1849)</f>
        <v>1.0856278991117518E-2</v>
      </c>
      <c r="J1851" s="2">
        <f t="shared" si="1962"/>
        <v>1.2171047295533699E-2</v>
      </c>
    </row>
    <row r="1852" spans="1:10" x14ac:dyDescent="0.45">
      <c r="A1852" s="1">
        <v>42872</v>
      </c>
      <c r="B1852">
        <v>49.07</v>
      </c>
      <c r="C1852">
        <v>1.5335000000000001</v>
      </c>
      <c r="D1852">
        <v>1.6005</v>
      </c>
      <c r="E1852" s="2">
        <f t="shared" si="1902"/>
        <v>17.213000000000005</v>
      </c>
      <c r="F1852" s="2">
        <f t="shared" si="1904"/>
        <v>17.411599999999993</v>
      </c>
      <c r="G1852" s="2">
        <f t="shared" si="1906"/>
        <v>16.955599999999993</v>
      </c>
      <c r="H1852" s="2">
        <f t="shared" si="1907"/>
        <v>-3.8970411334156019E-3</v>
      </c>
      <c r="I1852" s="2">
        <f t="shared" ref="I1852:J1852" si="1963">LN(C1851)-LN(C1850)</f>
        <v>4.4943895878392648E-3</v>
      </c>
      <c r="J1852" s="2">
        <f t="shared" si="1963"/>
        <v>3.8162015721837084E-3</v>
      </c>
    </row>
    <row r="1853" spans="1:10" x14ac:dyDescent="0.45">
      <c r="A1853" s="1">
        <v>42873</v>
      </c>
      <c r="B1853">
        <v>49.66</v>
      </c>
      <c r="C1853">
        <v>1.5452999999999999</v>
      </c>
      <c r="D1853">
        <v>1.6041000000000001</v>
      </c>
      <c r="E1853" s="2">
        <f t="shared" si="1902"/>
        <v>16.888999999999999</v>
      </c>
      <c r="F1853" s="2">
        <f t="shared" si="1904"/>
        <v>17.213000000000005</v>
      </c>
      <c r="G1853" s="2">
        <f t="shared" si="1906"/>
        <v>17.411599999999993</v>
      </c>
      <c r="H1853" s="2">
        <f t="shared" si="1907"/>
        <v>8.3905127464358742E-3</v>
      </c>
      <c r="I1853" s="2">
        <f t="shared" ref="I1853:J1853" si="1964">LN(C1852)-LN(C1851)</f>
        <v>1.1213599912126504E-2</v>
      </c>
      <c r="J1853" s="2">
        <f t="shared" si="1964"/>
        <v>-6.2460963929500402E-4</v>
      </c>
    </row>
    <row r="1854" spans="1:10" x14ac:dyDescent="0.45">
      <c r="A1854" s="1">
        <v>42874</v>
      </c>
      <c r="B1854">
        <v>50.67</v>
      </c>
      <c r="C1854">
        <v>1.5884</v>
      </c>
      <c r="D1854">
        <v>1.6477999999999999</v>
      </c>
      <c r="E1854" s="2">
        <f t="shared" si="1902"/>
        <v>17.706</v>
      </c>
      <c r="F1854" s="2">
        <f t="shared" si="1904"/>
        <v>16.888999999999999</v>
      </c>
      <c r="G1854" s="2">
        <f t="shared" si="1906"/>
        <v>17.213000000000005</v>
      </c>
      <c r="H1854" s="2">
        <f t="shared" si="1907"/>
        <v>1.1951929978208486E-2</v>
      </c>
      <c r="I1854" s="2">
        <f t="shared" ref="I1854:J1854" si="1965">LN(C1853)-LN(C1852)</f>
        <v>7.6653616853429307E-3</v>
      </c>
      <c r="J1854" s="2">
        <f t="shared" si="1965"/>
        <v>2.2467712128778627E-3</v>
      </c>
    </row>
    <row r="1855" spans="1:10" x14ac:dyDescent="0.45">
      <c r="A1855" s="1">
        <v>42877</v>
      </c>
      <c r="B1855">
        <v>51.13</v>
      </c>
      <c r="C1855">
        <v>1.6082000000000001</v>
      </c>
      <c r="D1855">
        <v>1.6583000000000001</v>
      </c>
      <c r="E1855" s="2">
        <f t="shared" si="1902"/>
        <v>17.817199999999996</v>
      </c>
      <c r="F1855" s="2">
        <f t="shared" si="1904"/>
        <v>17.706</v>
      </c>
      <c r="G1855" s="2">
        <f t="shared" si="1906"/>
        <v>16.888999999999999</v>
      </c>
      <c r="H1855" s="2">
        <f t="shared" si="1907"/>
        <v>2.0134239407797683E-2</v>
      </c>
      <c r="I1855" s="2">
        <f t="shared" ref="I1855:J1855" si="1966">LN(C1854)-LN(C1853)</f>
        <v>2.7509154017447246E-2</v>
      </c>
      <c r="J1855" s="2">
        <f t="shared" si="1966"/>
        <v>2.6878213258693939E-2</v>
      </c>
    </row>
    <row r="1856" spans="1:10" x14ac:dyDescent="0.45">
      <c r="A1856" s="1">
        <v>42878</v>
      </c>
      <c r="B1856">
        <v>51.47</v>
      </c>
      <c r="C1856">
        <v>1.6123000000000001</v>
      </c>
      <c r="D1856">
        <v>1.6559999999999999</v>
      </c>
      <c r="E1856" s="2">
        <f t="shared" si="1902"/>
        <v>17.470199999999995</v>
      </c>
      <c r="F1856" s="2">
        <f t="shared" si="1904"/>
        <v>17.817199999999996</v>
      </c>
      <c r="G1856" s="2">
        <f t="shared" si="1906"/>
        <v>17.706</v>
      </c>
      <c r="H1856" s="2">
        <f t="shared" si="1907"/>
        <v>9.0373896040896184E-3</v>
      </c>
      <c r="I1856" s="2">
        <f t="shared" ref="I1856:J1856" si="1967">LN(C1855)-LN(C1854)</f>
        <v>1.2388320856952295E-2</v>
      </c>
      <c r="J1856" s="2">
        <f t="shared" si="1967"/>
        <v>6.3519163385635236E-3</v>
      </c>
    </row>
    <row r="1857" spans="1:10" x14ac:dyDescent="0.45">
      <c r="A1857" s="1">
        <v>42879</v>
      </c>
      <c r="B1857">
        <v>51.36</v>
      </c>
      <c r="C1857">
        <v>1.6108</v>
      </c>
      <c r="D1857">
        <v>1.6476</v>
      </c>
      <c r="E1857" s="2">
        <f t="shared" si="1902"/>
        <v>17.324000000000012</v>
      </c>
      <c r="F1857" s="2">
        <f t="shared" si="1904"/>
        <v>17.470199999999995</v>
      </c>
      <c r="G1857" s="2">
        <f t="shared" si="1906"/>
        <v>17.817199999999996</v>
      </c>
      <c r="H1857" s="2">
        <f t="shared" si="1907"/>
        <v>6.6277045727551887E-3</v>
      </c>
      <c r="I1857" s="2">
        <f t="shared" ref="I1857:J1857" si="1968">LN(C1856)-LN(C1855)</f>
        <v>2.5461898556454199E-3</v>
      </c>
      <c r="J1857" s="2">
        <f t="shared" si="1968"/>
        <v>-1.3879252748481008E-3</v>
      </c>
    </row>
    <row r="1858" spans="1:10" x14ac:dyDescent="0.45">
      <c r="A1858" s="1">
        <v>42880</v>
      </c>
      <c r="B1858">
        <v>48.9</v>
      </c>
      <c r="C1858">
        <v>1.5551999999999999</v>
      </c>
      <c r="D1858">
        <v>1.6019000000000001</v>
      </c>
      <c r="E1858" s="2">
        <f t="shared" si="1902"/>
        <v>17.72600000000001</v>
      </c>
      <c r="F1858" s="2">
        <f t="shared" si="1904"/>
        <v>17.324000000000012</v>
      </c>
      <c r="G1858" s="2">
        <f t="shared" si="1906"/>
        <v>17.470199999999995</v>
      </c>
      <c r="H1858" s="2">
        <f t="shared" si="1907"/>
        <v>-2.1394542829575869E-3</v>
      </c>
      <c r="I1858" s="2">
        <f t="shared" ref="I1858:J1858" si="1969">LN(C1857)-LN(C1856)</f>
        <v>-9.3078099239501944E-4</v>
      </c>
      <c r="J1858" s="2">
        <f t="shared" si="1969"/>
        <v>-5.0853723832793296E-3</v>
      </c>
    </row>
    <row r="1859" spans="1:10" x14ac:dyDescent="0.45">
      <c r="A1859" s="1">
        <v>42881</v>
      </c>
      <c r="B1859">
        <v>49.8</v>
      </c>
      <c r="C1859">
        <v>1.5669999999999999</v>
      </c>
      <c r="D1859">
        <v>1.6261000000000001</v>
      </c>
      <c r="E1859" s="2">
        <f t="shared" ref="E1859:E1922" si="1970">(2*D1859*42+1*C1859*42-3*B1859)/3</f>
        <v>17.668800000000005</v>
      </c>
      <c r="F1859" s="2">
        <f t="shared" si="1904"/>
        <v>17.72600000000001</v>
      </c>
      <c r="G1859" s="2">
        <f t="shared" si="1906"/>
        <v>17.324000000000012</v>
      </c>
      <c r="H1859" s="2">
        <f t="shared" si="1907"/>
        <v>-4.9082262900879137E-2</v>
      </c>
      <c r="I1859" s="2">
        <f t="shared" ref="I1859:J1859" si="1971">LN(C1858)-LN(C1857)</f>
        <v>-3.5126795271124556E-2</v>
      </c>
      <c r="J1859" s="2">
        <f t="shared" si="1971"/>
        <v>-2.8129258854487804E-2</v>
      </c>
    </row>
    <row r="1860" spans="1:10" x14ac:dyDescent="0.45">
      <c r="A1860" s="1">
        <v>42885</v>
      </c>
      <c r="B1860">
        <v>49.66</v>
      </c>
      <c r="C1860">
        <v>1.5535000000000001</v>
      </c>
      <c r="D1860">
        <v>1.6243000000000001</v>
      </c>
      <c r="E1860" s="2">
        <f t="shared" si="1970"/>
        <v>17.569400000000002</v>
      </c>
      <c r="F1860" s="2">
        <f t="shared" ref="F1860:F1923" si="1972">E1859</f>
        <v>17.668800000000005</v>
      </c>
      <c r="G1860" s="2">
        <f t="shared" si="1906"/>
        <v>17.72600000000001</v>
      </c>
      <c r="H1860" s="2">
        <f t="shared" si="1907"/>
        <v>1.8237587549780887E-2</v>
      </c>
      <c r="I1860" s="2">
        <f t="shared" ref="I1860:J1860" si="1973">LN(C1859)-LN(C1858)</f>
        <v>7.5588086498462048E-3</v>
      </c>
      <c r="J1860" s="2">
        <f t="shared" si="1973"/>
        <v>1.4994085124238943E-2</v>
      </c>
    </row>
    <row r="1861" spans="1:10" x14ac:dyDescent="0.45">
      <c r="A1861" s="1">
        <v>42886</v>
      </c>
      <c r="B1861">
        <v>48.32</v>
      </c>
      <c r="C1861">
        <v>1.5179</v>
      </c>
      <c r="D1861">
        <v>1.5965</v>
      </c>
      <c r="E1861" s="2">
        <f t="shared" si="1970"/>
        <v>17.632599999999996</v>
      </c>
      <c r="F1861" s="2">
        <f t="shared" si="1972"/>
        <v>17.569400000000002</v>
      </c>
      <c r="G1861" s="2">
        <f t="shared" ref="G1861:G1924" si="1974">E1859</f>
        <v>17.668800000000005</v>
      </c>
      <c r="H1861" s="2">
        <f t="shared" ref="H1861:H1924" si="1975">LN(B1860)-LN(B1859)</f>
        <v>-2.8152039505866533E-3</v>
      </c>
      <c r="I1861" s="2">
        <f t="shared" ref="I1861:J1861" si="1976">LN(C1860)-LN(C1859)</f>
        <v>-8.6525135229186256E-3</v>
      </c>
      <c r="J1861" s="2">
        <f t="shared" si="1976"/>
        <v>-1.1075561063266792E-3</v>
      </c>
    </row>
    <row r="1862" spans="1:10" x14ac:dyDescent="0.45">
      <c r="A1862" s="1">
        <v>42887</v>
      </c>
      <c r="B1862">
        <v>48.36</v>
      </c>
      <c r="C1862">
        <v>1.5017</v>
      </c>
      <c r="D1862">
        <v>1.6013999999999999</v>
      </c>
      <c r="E1862" s="2">
        <f t="shared" si="1970"/>
        <v>17.503000000000004</v>
      </c>
      <c r="F1862" s="2">
        <f t="shared" si="1972"/>
        <v>17.632599999999996</v>
      </c>
      <c r="G1862" s="2">
        <f t="shared" si="1974"/>
        <v>17.569400000000002</v>
      </c>
      <c r="H1862" s="2">
        <f t="shared" si="1975"/>
        <v>-2.7354226453461195E-2</v>
      </c>
      <c r="I1862" s="2">
        <f t="shared" ref="I1862:J1862" si="1977">LN(C1861)-LN(C1860)</f>
        <v>-2.3182649200288619E-2</v>
      </c>
      <c r="J1862" s="2">
        <f t="shared" si="1977"/>
        <v>-1.7263220570513382E-2</v>
      </c>
    </row>
    <row r="1863" spans="1:10" x14ac:dyDescent="0.45">
      <c r="A1863" s="1">
        <v>42888</v>
      </c>
      <c r="B1863">
        <v>47.66</v>
      </c>
      <c r="C1863">
        <v>1.4847999999999999</v>
      </c>
      <c r="D1863">
        <v>1.5770999999999999</v>
      </c>
      <c r="E1863" s="2">
        <f t="shared" si="1970"/>
        <v>17.285999999999991</v>
      </c>
      <c r="F1863" s="2">
        <f t="shared" si="1972"/>
        <v>17.503000000000004</v>
      </c>
      <c r="G1863" s="2">
        <f t="shared" si="1974"/>
        <v>17.632599999999996</v>
      </c>
      <c r="H1863" s="2">
        <f t="shared" si="1975"/>
        <v>8.2747212003253523E-4</v>
      </c>
      <c r="I1863" s="2">
        <f t="shared" ref="I1863:J1863" si="1978">LN(C1862)-LN(C1861)</f>
        <v>-1.07300009465785E-2</v>
      </c>
      <c r="J1863" s="2">
        <f t="shared" si="1978"/>
        <v>3.0645134836966847E-3</v>
      </c>
    </row>
    <row r="1864" spans="1:10" x14ac:dyDescent="0.45">
      <c r="A1864" s="1">
        <v>42891</v>
      </c>
      <c r="B1864">
        <v>47.4</v>
      </c>
      <c r="C1864">
        <v>1.4593</v>
      </c>
      <c r="D1864">
        <v>1.5381</v>
      </c>
      <c r="E1864" s="2">
        <f t="shared" si="1970"/>
        <v>16.097000000000008</v>
      </c>
      <c r="F1864" s="2">
        <f t="shared" si="1972"/>
        <v>17.285999999999991</v>
      </c>
      <c r="G1864" s="2">
        <f t="shared" si="1974"/>
        <v>17.503000000000004</v>
      </c>
      <c r="H1864" s="2">
        <f t="shared" si="1975"/>
        <v>-1.4580554075996233E-2</v>
      </c>
      <c r="I1864" s="2">
        <f t="shared" ref="I1864:J1864" si="1979">LN(C1863)-LN(C1862)</f>
        <v>-1.1317716654298982E-2</v>
      </c>
      <c r="J1864" s="2">
        <f t="shared" si="1979"/>
        <v>-1.5290529145021436E-2</v>
      </c>
    </row>
    <row r="1865" spans="1:10" x14ac:dyDescent="0.45">
      <c r="A1865" s="1">
        <v>42892</v>
      </c>
      <c r="B1865">
        <v>48.19</v>
      </c>
      <c r="C1865">
        <v>1.4661999999999999</v>
      </c>
      <c r="D1865">
        <v>1.5545</v>
      </c>
      <c r="E1865" s="2">
        <f t="shared" si="1970"/>
        <v>15.862800000000002</v>
      </c>
      <c r="F1865" s="2">
        <f t="shared" si="1972"/>
        <v>16.097000000000008</v>
      </c>
      <c r="G1865" s="2">
        <f t="shared" si="1974"/>
        <v>17.285999999999991</v>
      </c>
      <c r="H1865" s="2">
        <f t="shared" si="1975"/>
        <v>-5.4702429695647758E-3</v>
      </c>
      <c r="I1865" s="2">
        <f t="shared" ref="I1865:J1865" si="1980">LN(C1864)-LN(C1863)</f>
        <v>-1.7323214358235972E-2</v>
      </c>
      <c r="J1865" s="2">
        <f t="shared" si="1980"/>
        <v>-2.5039829035747418E-2</v>
      </c>
    </row>
    <row r="1866" spans="1:10" x14ac:dyDescent="0.45">
      <c r="A1866" s="1">
        <v>42893</v>
      </c>
      <c r="B1866">
        <v>45.72</v>
      </c>
      <c r="C1866">
        <v>1.4161999999999999</v>
      </c>
      <c r="D1866">
        <v>1.4913000000000001</v>
      </c>
      <c r="E1866" s="2">
        <f t="shared" si="1970"/>
        <v>15.863200000000006</v>
      </c>
      <c r="F1866" s="2">
        <f t="shared" si="1972"/>
        <v>15.862800000000002</v>
      </c>
      <c r="G1866" s="2">
        <f t="shared" si="1974"/>
        <v>16.097000000000008</v>
      </c>
      <c r="H1866" s="2">
        <f t="shared" si="1975"/>
        <v>1.6529301951210496E-2</v>
      </c>
      <c r="I1866" s="2">
        <f t="shared" ref="I1866:J1866" si="1981">LN(C1865)-LN(C1864)</f>
        <v>4.7171511157860779E-3</v>
      </c>
      <c r="J1866" s="2">
        <f t="shared" si="1981"/>
        <v>1.0606062041043918E-2</v>
      </c>
    </row>
    <row r="1867" spans="1:10" x14ac:dyDescent="0.45">
      <c r="A1867" s="1">
        <v>42894</v>
      </c>
      <c r="B1867">
        <v>45.64</v>
      </c>
      <c r="C1867">
        <v>1.4222999999999999</v>
      </c>
      <c r="D1867">
        <v>1.4919</v>
      </c>
      <c r="E1867" s="2">
        <f t="shared" si="1970"/>
        <v>16.04539999999999</v>
      </c>
      <c r="F1867" s="2">
        <f t="shared" si="1972"/>
        <v>15.863200000000006</v>
      </c>
      <c r="G1867" s="2">
        <f t="shared" si="1974"/>
        <v>15.862800000000002</v>
      </c>
      <c r="H1867" s="2">
        <f t="shared" si="1975"/>
        <v>-5.2615691725631741E-2</v>
      </c>
      <c r="I1867" s="2">
        <f t="shared" ref="I1867:J1867" si="1982">LN(C1866)-LN(C1865)</f>
        <v>-3.4696791571812657E-2</v>
      </c>
      <c r="J1867" s="2">
        <f t="shared" si="1982"/>
        <v>-4.1505727730071829E-2</v>
      </c>
    </row>
    <row r="1868" spans="1:10" x14ac:dyDescent="0.45">
      <c r="A1868" s="1">
        <v>42895</v>
      </c>
      <c r="B1868">
        <v>45.83</v>
      </c>
      <c r="C1868">
        <v>1.4312</v>
      </c>
      <c r="D1868">
        <v>1.5017</v>
      </c>
      <c r="E1868" s="2">
        <f t="shared" si="1970"/>
        <v>16.254399999999993</v>
      </c>
      <c r="F1868" s="2">
        <f t="shared" si="1972"/>
        <v>16.04539999999999</v>
      </c>
      <c r="G1868" s="2">
        <f t="shared" si="1974"/>
        <v>15.863200000000006</v>
      </c>
      <c r="H1868" s="2">
        <f t="shared" si="1975"/>
        <v>-1.7513139327349769E-3</v>
      </c>
      <c r="I1868" s="2">
        <f t="shared" ref="I1868:J1868" si="1983">LN(C1867)-LN(C1866)</f>
        <v>4.2980513585087476E-3</v>
      </c>
      <c r="J1868" s="2">
        <f t="shared" si="1983"/>
        <v>4.0225262006587936E-4</v>
      </c>
    </row>
    <row r="1869" spans="1:10" x14ac:dyDescent="0.45">
      <c r="A1869" s="1">
        <v>42898</v>
      </c>
      <c r="B1869">
        <v>46.08</v>
      </c>
      <c r="C1869">
        <v>1.4254</v>
      </c>
      <c r="D1869">
        <v>1.488</v>
      </c>
      <c r="E1869" s="2">
        <f t="shared" si="1970"/>
        <v>15.539599999999998</v>
      </c>
      <c r="F1869" s="2">
        <f t="shared" si="1972"/>
        <v>16.254399999999993</v>
      </c>
      <c r="G1869" s="2">
        <f t="shared" si="1974"/>
        <v>16.04539999999999</v>
      </c>
      <c r="H1869" s="2">
        <f t="shared" si="1975"/>
        <v>4.1543735271578619E-3</v>
      </c>
      <c r="I1869" s="2">
        <f t="shared" ref="I1869:J1869" si="1984">LN(C1868)-LN(C1867)</f>
        <v>6.237973618327175E-3</v>
      </c>
      <c r="J1869" s="2">
        <f t="shared" si="1984"/>
        <v>6.5473242974324886E-3</v>
      </c>
    </row>
    <row r="1870" spans="1:10" x14ac:dyDescent="0.45">
      <c r="A1870" s="1">
        <v>42899</v>
      </c>
      <c r="B1870">
        <v>46.46</v>
      </c>
      <c r="C1870">
        <v>1.4477</v>
      </c>
      <c r="D1870">
        <v>1.4995000000000001</v>
      </c>
      <c r="E1870" s="2">
        <f t="shared" si="1970"/>
        <v>15.793799999999996</v>
      </c>
      <c r="F1870" s="2">
        <f t="shared" si="1972"/>
        <v>15.539599999999998</v>
      </c>
      <c r="G1870" s="2">
        <f t="shared" si="1974"/>
        <v>16.254399999999993</v>
      </c>
      <c r="H1870" s="2">
        <f t="shared" si="1975"/>
        <v>5.4401178666032557E-3</v>
      </c>
      <c r="I1870" s="2">
        <f t="shared" ref="I1870:J1870" si="1985">LN(C1869)-LN(C1868)</f>
        <v>-4.0607771267390791E-3</v>
      </c>
      <c r="J1870" s="2">
        <f t="shared" si="1985"/>
        <v>-9.164863293197878E-3</v>
      </c>
    </row>
    <row r="1871" spans="1:10" x14ac:dyDescent="0.45">
      <c r="A1871" s="1">
        <v>42900</v>
      </c>
      <c r="B1871">
        <v>44.73</v>
      </c>
      <c r="C1871">
        <v>1.4101999999999999</v>
      </c>
      <c r="D1871">
        <v>1.4327000000000001</v>
      </c>
      <c r="E1871" s="2">
        <f t="shared" si="1970"/>
        <v>15.128399999999999</v>
      </c>
      <c r="F1871" s="2">
        <f t="shared" si="1972"/>
        <v>15.793799999999996</v>
      </c>
      <c r="G1871" s="2">
        <f t="shared" si="1974"/>
        <v>15.539599999999998</v>
      </c>
      <c r="H1871" s="2">
        <f t="shared" si="1975"/>
        <v>8.212710954627056E-3</v>
      </c>
      <c r="I1871" s="2">
        <f t="shared" ref="I1871:J1871" si="1986">LN(C1870)-LN(C1869)</f>
        <v>1.5523614092227522E-2</v>
      </c>
      <c r="J1871" s="2">
        <f t="shared" si="1986"/>
        <v>7.6987827960266486E-3</v>
      </c>
    </row>
    <row r="1872" spans="1:10" x14ac:dyDescent="0.45">
      <c r="A1872" s="1">
        <v>42901</v>
      </c>
      <c r="B1872">
        <v>44.46</v>
      </c>
      <c r="C1872">
        <v>1.4146000000000001</v>
      </c>
      <c r="D1872">
        <v>1.4337</v>
      </c>
      <c r="E1872" s="2">
        <f t="shared" si="1970"/>
        <v>15.488</v>
      </c>
      <c r="F1872" s="2">
        <f t="shared" si="1972"/>
        <v>15.128399999999999</v>
      </c>
      <c r="G1872" s="2">
        <f t="shared" si="1974"/>
        <v>15.793799999999996</v>
      </c>
      <c r="H1872" s="2">
        <f t="shared" si="1975"/>
        <v>-3.7947309897506276E-2</v>
      </c>
      <c r="I1872" s="2">
        <f t="shared" ref="I1872:J1872" si="1987">LN(C1871)-LN(C1870)</f>
        <v>-2.6244551875057753E-2</v>
      </c>
      <c r="J1872" s="2">
        <f t="shared" si="1987"/>
        <v>-4.5570943289737154E-2</v>
      </c>
    </row>
    <row r="1873" spans="1:10" x14ac:dyDescent="0.45">
      <c r="A1873" s="1">
        <v>42902</v>
      </c>
      <c r="B1873">
        <v>44.97</v>
      </c>
      <c r="C1873">
        <v>1.427</v>
      </c>
      <c r="D1873">
        <v>1.4548000000000001</v>
      </c>
      <c r="E1873" s="2">
        <f t="shared" si="1970"/>
        <v>15.742400000000004</v>
      </c>
      <c r="F1873" s="2">
        <f t="shared" si="1972"/>
        <v>15.488</v>
      </c>
      <c r="G1873" s="2">
        <f t="shared" si="1974"/>
        <v>15.128399999999999</v>
      </c>
      <c r="H1873" s="2">
        <f t="shared" si="1975"/>
        <v>-6.0545089087060688E-3</v>
      </c>
      <c r="I1873" s="2">
        <f t="shared" ref="I1873:J1873" si="1988">LN(C1872)-LN(C1871)</f>
        <v>3.1152673169494993E-3</v>
      </c>
      <c r="J1873" s="2">
        <f t="shared" si="1988"/>
        <v>6.9773935289557665E-4</v>
      </c>
    </row>
    <row r="1874" spans="1:10" x14ac:dyDescent="0.45">
      <c r="A1874" s="1">
        <v>42905</v>
      </c>
      <c r="B1874">
        <v>44.43</v>
      </c>
      <c r="C1874">
        <v>1.4111</v>
      </c>
      <c r="D1874">
        <v>1.4446000000000001</v>
      </c>
      <c r="E1874" s="2">
        <f t="shared" si="1970"/>
        <v>15.774199999999999</v>
      </c>
      <c r="F1874" s="2">
        <f t="shared" si="1972"/>
        <v>15.742400000000004</v>
      </c>
      <c r="G1874" s="2">
        <f t="shared" si="1974"/>
        <v>15.488</v>
      </c>
      <c r="H1874" s="2">
        <f t="shared" si="1975"/>
        <v>1.1405692246565291E-2</v>
      </c>
      <c r="I1874" s="2">
        <f t="shared" ref="I1874:J1874" si="1989">LN(C1873)-LN(C1872)</f>
        <v>8.7275328749468195E-3</v>
      </c>
      <c r="J1874" s="2">
        <f t="shared" si="1989"/>
        <v>1.4609918860611804E-2</v>
      </c>
    </row>
    <row r="1875" spans="1:10" x14ac:dyDescent="0.45">
      <c r="A1875" s="1">
        <v>42906</v>
      </c>
      <c r="B1875">
        <v>43.51</v>
      </c>
      <c r="C1875">
        <v>1.4021999999999999</v>
      </c>
      <c r="D1875">
        <v>1.4188000000000001</v>
      </c>
      <c r="E1875" s="2">
        <f t="shared" si="1970"/>
        <v>15.847199999999996</v>
      </c>
      <c r="F1875" s="2">
        <f t="shared" si="1972"/>
        <v>15.774199999999999</v>
      </c>
      <c r="G1875" s="2">
        <f t="shared" si="1974"/>
        <v>15.742400000000004</v>
      </c>
      <c r="H1875" s="2">
        <f t="shared" si="1975"/>
        <v>-1.2080683834798656E-2</v>
      </c>
      <c r="I1875" s="2">
        <f t="shared" ref="I1875:J1875" si="1990">LN(C1874)-LN(C1873)</f>
        <v>-1.1204796413121443E-2</v>
      </c>
      <c r="J1875" s="2">
        <f t="shared" si="1990"/>
        <v>-7.0359674960875362E-3</v>
      </c>
    </row>
    <row r="1876" spans="1:10" x14ac:dyDescent="0.45">
      <c r="A1876" s="1">
        <v>42907</v>
      </c>
      <c r="B1876">
        <v>42.53</v>
      </c>
      <c r="C1876">
        <v>1.3718999999999999</v>
      </c>
      <c r="D1876">
        <v>1.4040999999999999</v>
      </c>
      <c r="E1876" s="2">
        <f t="shared" si="1970"/>
        <v>15.99139999999999</v>
      </c>
      <c r="F1876" s="2">
        <f t="shared" si="1972"/>
        <v>15.847199999999996</v>
      </c>
      <c r="G1876" s="2">
        <f t="shared" si="1974"/>
        <v>15.774199999999999</v>
      </c>
      <c r="H1876" s="2">
        <f t="shared" si="1975"/>
        <v>-2.0924120215228381E-2</v>
      </c>
      <c r="I1876" s="2">
        <f t="shared" ref="I1876:J1876" si="1991">LN(C1875)-LN(C1874)</f>
        <v>-6.327110290847815E-3</v>
      </c>
      <c r="J1876" s="2">
        <f t="shared" si="1991"/>
        <v>-1.8021022717279678E-2</v>
      </c>
    </row>
    <row r="1877" spans="1:10" x14ac:dyDescent="0.45">
      <c r="A1877" s="1">
        <v>42908</v>
      </c>
      <c r="B1877">
        <v>42.74</v>
      </c>
      <c r="C1877">
        <v>1.3785000000000001</v>
      </c>
      <c r="D1877">
        <v>1.4238999999999999</v>
      </c>
      <c r="E1877" s="2">
        <f t="shared" si="1970"/>
        <v>16.428199999999993</v>
      </c>
      <c r="F1877" s="2">
        <f t="shared" si="1972"/>
        <v>15.99139999999999</v>
      </c>
      <c r="G1877" s="2">
        <f t="shared" si="1974"/>
        <v>15.847199999999996</v>
      </c>
      <c r="H1877" s="2">
        <f t="shared" si="1975"/>
        <v>-2.2781087467046657E-2</v>
      </c>
      <c r="I1877" s="2">
        <f t="shared" ref="I1877:J1877" si="1992">LN(C1876)-LN(C1875)</f>
        <v>-2.1845791440748052E-2</v>
      </c>
      <c r="J1877" s="2">
        <f t="shared" si="1992"/>
        <v>-1.0414915778870326E-2</v>
      </c>
    </row>
    <row r="1878" spans="1:10" x14ac:dyDescent="0.45">
      <c r="A1878" s="1">
        <v>42909</v>
      </c>
      <c r="B1878">
        <v>43.01</v>
      </c>
      <c r="C1878">
        <v>1.3787</v>
      </c>
      <c r="D1878">
        <v>1.4224000000000001</v>
      </c>
      <c r="E1878" s="2">
        <f t="shared" si="1970"/>
        <v>16.119</v>
      </c>
      <c r="F1878" s="2">
        <f t="shared" si="1972"/>
        <v>16.428199999999993</v>
      </c>
      <c r="G1878" s="2">
        <f t="shared" si="1974"/>
        <v>15.99139999999999</v>
      </c>
      <c r="H1878" s="2">
        <f t="shared" si="1975"/>
        <v>4.925540625459579E-3</v>
      </c>
      <c r="I1878" s="2">
        <f t="shared" ref="I1878:J1878" si="1993">LN(C1877)-LN(C1876)</f>
        <v>4.7993111317323756E-3</v>
      </c>
      <c r="J1878" s="2">
        <f t="shared" si="1993"/>
        <v>1.4003057666352403E-2</v>
      </c>
    </row>
    <row r="1879" spans="1:10" x14ac:dyDescent="0.45">
      <c r="A1879" s="1">
        <v>42912</v>
      </c>
      <c r="B1879">
        <v>43.38</v>
      </c>
      <c r="C1879">
        <v>1.3864000000000001</v>
      </c>
      <c r="D1879">
        <v>1.4280999999999999</v>
      </c>
      <c r="E1879" s="2">
        <f t="shared" si="1970"/>
        <v>16.016399999999994</v>
      </c>
      <c r="F1879" s="2">
        <f t="shared" si="1972"/>
        <v>16.119</v>
      </c>
      <c r="G1879" s="2">
        <f t="shared" si="1974"/>
        <v>16.428199999999993</v>
      </c>
      <c r="H1879" s="2">
        <f t="shared" si="1975"/>
        <v>6.2973969046429268E-3</v>
      </c>
      <c r="I1879" s="2">
        <f t="shared" ref="I1879:J1879" si="1994">LN(C1878)-LN(C1877)</f>
        <v>1.4507471373181868E-4</v>
      </c>
      <c r="J1879" s="2">
        <f t="shared" si="1994"/>
        <v>-1.0540000273087102E-3</v>
      </c>
    </row>
    <row r="1880" spans="1:10" x14ac:dyDescent="0.45">
      <c r="A1880" s="1">
        <v>42913</v>
      </c>
      <c r="B1880">
        <v>44.24</v>
      </c>
      <c r="C1880">
        <v>1.4193</v>
      </c>
      <c r="D1880">
        <v>1.4517</v>
      </c>
      <c r="E1880" s="2">
        <f t="shared" si="1970"/>
        <v>16.277800000000003</v>
      </c>
      <c r="F1880" s="2">
        <f t="shared" si="1972"/>
        <v>16.016399999999994</v>
      </c>
      <c r="G1880" s="2">
        <f t="shared" si="1974"/>
        <v>16.119</v>
      </c>
      <c r="H1880" s="2">
        <f t="shared" si="1975"/>
        <v>8.5658586030836759E-3</v>
      </c>
      <c r="I1880" s="2">
        <f t="shared" ref="I1880:J1880" si="1995">LN(C1879)-LN(C1878)</f>
        <v>5.5694332238130362E-3</v>
      </c>
      <c r="J1880" s="2">
        <f t="shared" si="1995"/>
        <v>3.9993036992472253E-3</v>
      </c>
    </row>
    <row r="1881" spans="1:10" x14ac:dyDescent="0.45">
      <c r="A1881" s="1">
        <v>42914</v>
      </c>
      <c r="B1881">
        <v>44.74</v>
      </c>
      <c r="C1881">
        <v>1.4390000000000001</v>
      </c>
      <c r="D1881">
        <v>1.4735</v>
      </c>
      <c r="E1881" s="2">
        <f t="shared" si="1970"/>
        <v>16.663999999999998</v>
      </c>
      <c r="F1881" s="2">
        <f t="shared" si="1972"/>
        <v>16.277800000000003</v>
      </c>
      <c r="G1881" s="2">
        <f t="shared" si="1974"/>
        <v>16.016399999999994</v>
      </c>
      <c r="H1881" s="2">
        <f t="shared" si="1975"/>
        <v>1.9630851815350958E-2</v>
      </c>
      <c r="I1881" s="2">
        <f t="shared" ref="I1881:J1881" si="1996">LN(C1880)-LN(C1879)</f>
        <v>2.3453332903815738E-2</v>
      </c>
      <c r="J1881" s="2">
        <f t="shared" si="1996"/>
        <v>1.6390394008495124E-2</v>
      </c>
    </row>
    <row r="1882" spans="1:10" x14ac:dyDescent="0.45">
      <c r="A1882" s="1">
        <v>42915</v>
      </c>
      <c r="B1882">
        <v>44.93</v>
      </c>
      <c r="C1882">
        <v>1.4504999999999999</v>
      </c>
      <c r="D1882">
        <v>1.4770000000000001</v>
      </c>
      <c r="E1882" s="2">
        <f t="shared" si="1970"/>
        <v>16.733000000000004</v>
      </c>
      <c r="F1882" s="2">
        <f t="shared" si="1972"/>
        <v>16.663999999999998</v>
      </c>
      <c r="G1882" s="2">
        <f t="shared" si="1974"/>
        <v>16.277800000000003</v>
      </c>
      <c r="H1882" s="2">
        <f t="shared" si="1975"/>
        <v>1.1238598847904235E-2</v>
      </c>
      <c r="I1882" s="2">
        <f t="shared" ref="I1882:J1882" si="1997">LN(C1881)-LN(C1880)</f>
        <v>1.3784635582155758E-2</v>
      </c>
      <c r="J1882" s="2">
        <f t="shared" si="1997"/>
        <v>1.4905239710366891E-2</v>
      </c>
    </row>
    <row r="1883" spans="1:10" x14ac:dyDescent="0.45">
      <c r="A1883" s="1">
        <v>42916</v>
      </c>
      <c r="B1883">
        <v>46.04</v>
      </c>
      <c r="C1883">
        <v>1.4831000000000001</v>
      </c>
      <c r="D1883">
        <v>1.5137</v>
      </c>
      <c r="E1883" s="2">
        <f t="shared" si="1970"/>
        <v>17.106999999999999</v>
      </c>
      <c r="F1883" s="2">
        <f t="shared" si="1972"/>
        <v>16.733000000000004</v>
      </c>
      <c r="G1883" s="2">
        <f t="shared" si="1974"/>
        <v>16.663999999999998</v>
      </c>
      <c r="H1883" s="2">
        <f t="shared" si="1975"/>
        <v>4.2377670200850481E-3</v>
      </c>
      <c r="I1883" s="2">
        <f t="shared" ref="I1883:J1883" si="1998">LN(C1882)-LN(C1881)</f>
        <v>7.959896674090805E-3</v>
      </c>
      <c r="J1883" s="2">
        <f t="shared" si="1998"/>
        <v>2.3724803536304129E-3</v>
      </c>
    </row>
    <row r="1884" spans="1:10" x14ac:dyDescent="0.45">
      <c r="A1884" s="1">
        <v>42919</v>
      </c>
      <c r="B1884">
        <v>47.07</v>
      </c>
      <c r="C1884">
        <v>1.5127999999999999</v>
      </c>
      <c r="D1884">
        <v>1.5347999999999999</v>
      </c>
      <c r="E1884" s="2">
        <f t="shared" si="1970"/>
        <v>17.083600000000001</v>
      </c>
      <c r="F1884" s="2">
        <f t="shared" si="1972"/>
        <v>17.106999999999999</v>
      </c>
      <c r="G1884" s="2">
        <f t="shared" si="1974"/>
        <v>16.733000000000004</v>
      </c>
      <c r="H1884" s="2">
        <f t="shared" si="1975"/>
        <v>2.440486077161319E-2</v>
      </c>
      <c r="I1884" s="2">
        <f t="shared" ref="I1884:J1884" si="1999">LN(C1883)-LN(C1882)</f>
        <v>2.2226167186458257E-2</v>
      </c>
      <c r="J1884" s="2">
        <f t="shared" si="1999"/>
        <v>2.4543981237139689E-2</v>
      </c>
    </row>
    <row r="1885" spans="1:10" x14ac:dyDescent="0.45">
      <c r="A1885" s="1">
        <v>42921</v>
      </c>
      <c r="B1885">
        <v>45.13</v>
      </c>
      <c r="C1885">
        <v>1.4784999999999999</v>
      </c>
      <c r="D1885">
        <v>1.5024</v>
      </c>
      <c r="E1885" s="2">
        <f t="shared" si="1970"/>
        <v>17.636199999999992</v>
      </c>
      <c r="F1885" s="2">
        <f t="shared" si="1972"/>
        <v>17.083600000000001</v>
      </c>
      <c r="G1885" s="2">
        <f t="shared" si="1974"/>
        <v>17.106999999999999</v>
      </c>
      <c r="H1885" s="2">
        <f t="shared" si="1975"/>
        <v>2.2125271559369164E-2</v>
      </c>
      <c r="I1885" s="2">
        <f t="shared" ref="I1885:J1885" si="2000">LN(C1884)-LN(C1883)</f>
        <v>1.9827746596330798E-2</v>
      </c>
      <c r="J1885" s="2">
        <f t="shared" si="2000"/>
        <v>1.3843094604277739E-2</v>
      </c>
    </row>
    <row r="1886" spans="1:10" x14ac:dyDescent="0.45">
      <c r="A1886" s="1">
        <v>42922</v>
      </c>
      <c r="B1886">
        <v>45.52</v>
      </c>
      <c r="C1886">
        <v>1.4819</v>
      </c>
      <c r="D1886">
        <v>1.5286999999999999</v>
      </c>
      <c r="E1886" s="2">
        <f t="shared" si="1970"/>
        <v>18.030199999999997</v>
      </c>
      <c r="F1886" s="2">
        <f t="shared" si="1972"/>
        <v>17.636199999999992</v>
      </c>
      <c r="G1886" s="2">
        <f t="shared" si="1974"/>
        <v>17.083600000000001</v>
      </c>
      <c r="H1886" s="2">
        <f t="shared" si="1975"/>
        <v>-4.208864157414105E-2</v>
      </c>
      <c r="I1886" s="2">
        <f t="shared" ref="I1886:J1886" si="2001">LN(C1885)-LN(C1884)</f>
        <v>-2.2934178051715826E-2</v>
      </c>
      <c r="J1886" s="2">
        <f t="shared" si="2001"/>
        <v>-2.1336249918798844E-2</v>
      </c>
    </row>
    <row r="1887" spans="1:10" x14ac:dyDescent="0.45">
      <c r="A1887" s="1">
        <v>42923</v>
      </c>
      <c r="B1887">
        <v>44.23</v>
      </c>
      <c r="C1887">
        <v>1.4481999999999999</v>
      </c>
      <c r="D1887">
        <v>1.4984</v>
      </c>
      <c r="E1887" s="2">
        <f t="shared" si="1970"/>
        <v>18</v>
      </c>
      <c r="F1887" s="2">
        <f t="shared" si="1972"/>
        <v>18.030199999999997</v>
      </c>
      <c r="G1887" s="2">
        <f t="shared" si="1974"/>
        <v>17.636199999999992</v>
      </c>
      <c r="H1887" s="2">
        <f t="shared" si="1975"/>
        <v>8.6045759791657517E-3</v>
      </c>
      <c r="I1887" s="2">
        <f t="shared" ref="I1887:J1887" si="2002">LN(C1886)-LN(C1885)</f>
        <v>2.2969879036008889E-3</v>
      </c>
      <c r="J1887" s="2">
        <f t="shared" si="2002"/>
        <v>1.7353871552990008E-2</v>
      </c>
    </row>
    <row r="1888" spans="1:10" x14ac:dyDescent="0.45">
      <c r="A1888" s="1">
        <v>42926</v>
      </c>
      <c r="B1888">
        <v>44.4</v>
      </c>
      <c r="C1888">
        <v>1.4536</v>
      </c>
      <c r="D1888">
        <v>1.5006999999999999</v>
      </c>
      <c r="E1888" s="2">
        <f t="shared" si="1970"/>
        <v>17.97</v>
      </c>
      <c r="F1888" s="2">
        <f t="shared" si="1972"/>
        <v>18</v>
      </c>
      <c r="G1888" s="2">
        <f t="shared" si="1974"/>
        <v>18.030199999999997</v>
      </c>
      <c r="H1888" s="2">
        <f t="shared" si="1975"/>
        <v>-2.8748497937840511E-2</v>
      </c>
      <c r="I1888" s="2">
        <f t="shared" ref="I1888:J1888" si="2003">LN(C1887)-LN(C1886)</f>
        <v>-2.3003642241412436E-2</v>
      </c>
      <c r="J1888" s="2">
        <f t="shared" si="2003"/>
        <v>-2.001982887710968E-2</v>
      </c>
    </row>
    <row r="1889" spans="1:10" x14ac:dyDescent="0.45">
      <c r="A1889" s="1">
        <v>42927</v>
      </c>
      <c r="B1889">
        <v>45.04</v>
      </c>
      <c r="C1889">
        <v>1.4762999999999999</v>
      </c>
      <c r="D1889">
        <v>1.5183</v>
      </c>
      <c r="E1889" s="2">
        <f t="shared" si="1970"/>
        <v>18.140599999999996</v>
      </c>
      <c r="F1889" s="2">
        <f t="shared" si="1972"/>
        <v>17.97</v>
      </c>
      <c r="G1889" s="2">
        <f t="shared" si="1974"/>
        <v>18</v>
      </c>
      <c r="H1889" s="2">
        <f t="shared" si="1975"/>
        <v>3.836177557944076E-3</v>
      </c>
      <c r="I1889" s="2">
        <f t="shared" ref="I1889:J1889" si="2004">LN(C1888)-LN(C1887)</f>
        <v>3.721832127241087E-3</v>
      </c>
      <c r="J1889" s="2">
        <f t="shared" si="2004"/>
        <v>1.533793772065084E-3</v>
      </c>
    </row>
    <row r="1890" spans="1:10" x14ac:dyDescent="0.45">
      <c r="A1890" s="1">
        <v>42928</v>
      </c>
      <c r="B1890">
        <v>45.49</v>
      </c>
      <c r="C1890">
        <v>1.4737</v>
      </c>
      <c r="D1890">
        <v>1.5207999999999999</v>
      </c>
      <c r="E1890" s="2">
        <f t="shared" si="1970"/>
        <v>17.724199999999996</v>
      </c>
      <c r="F1890" s="2">
        <f t="shared" si="1972"/>
        <v>18.140599999999996</v>
      </c>
      <c r="G1890" s="2">
        <f t="shared" si="1974"/>
        <v>17.97</v>
      </c>
      <c r="H1890" s="2">
        <f t="shared" si="1975"/>
        <v>1.4311514393255731E-2</v>
      </c>
      <c r="I1890" s="2">
        <f t="shared" ref="I1890:J1890" si="2005">LN(C1889)-LN(C1888)</f>
        <v>1.5495719458080759E-2</v>
      </c>
      <c r="J1890" s="2">
        <f t="shared" si="2005"/>
        <v>1.1659621986198132E-2</v>
      </c>
    </row>
    <row r="1891" spans="1:10" x14ac:dyDescent="0.45">
      <c r="A1891" s="1">
        <v>42929</v>
      </c>
      <c r="B1891">
        <v>46.08</v>
      </c>
      <c r="C1891">
        <v>1.4917</v>
      </c>
      <c r="D1891">
        <v>1.5261</v>
      </c>
      <c r="E1891" s="2">
        <f t="shared" si="1970"/>
        <v>17.534599999999994</v>
      </c>
      <c r="F1891" s="2">
        <f t="shared" si="1972"/>
        <v>17.724199999999996</v>
      </c>
      <c r="G1891" s="2">
        <f t="shared" si="1974"/>
        <v>18.140599999999996</v>
      </c>
      <c r="H1891" s="2">
        <f t="shared" si="1975"/>
        <v>9.9415377504779023E-3</v>
      </c>
      <c r="I1891" s="2">
        <f t="shared" ref="I1891:J1891" si="2006">LN(C1890)-LN(C1889)</f>
        <v>-1.7627123208249218E-3</v>
      </c>
      <c r="J1891" s="2">
        <f t="shared" si="2006"/>
        <v>1.6452242860773847E-3</v>
      </c>
    </row>
    <row r="1892" spans="1:10" x14ac:dyDescent="0.45">
      <c r="A1892" s="1">
        <v>42930</v>
      </c>
      <c r="B1892">
        <v>46.54</v>
      </c>
      <c r="C1892">
        <v>1.5149999999999999</v>
      </c>
      <c r="D1892">
        <v>1.5605</v>
      </c>
      <c r="E1892" s="2">
        <f t="shared" si="1970"/>
        <v>18.363999999999994</v>
      </c>
      <c r="F1892" s="2">
        <f t="shared" si="1972"/>
        <v>17.534599999999994</v>
      </c>
      <c r="G1892" s="2">
        <f t="shared" si="1974"/>
        <v>17.724199999999996</v>
      </c>
      <c r="H1892" s="2">
        <f t="shared" si="1975"/>
        <v>1.2886494805723014E-2</v>
      </c>
      <c r="I1892" s="2">
        <f t="shared" ref="I1892:J1892" si="2007">LN(C1891)-LN(C1890)</f>
        <v>1.2140163940667525E-2</v>
      </c>
      <c r="J1892" s="2">
        <f t="shared" si="2007"/>
        <v>3.4789493226096702E-3</v>
      </c>
    </row>
    <row r="1893" spans="1:10" x14ac:dyDescent="0.45">
      <c r="A1893" s="1">
        <v>42933</v>
      </c>
      <c r="B1893">
        <v>46.02</v>
      </c>
      <c r="C1893">
        <v>1.4995000000000001</v>
      </c>
      <c r="D1893">
        <v>1.5567</v>
      </c>
      <c r="E1893" s="2">
        <f t="shared" si="1970"/>
        <v>18.560600000000004</v>
      </c>
      <c r="F1893" s="2">
        <f t="shared" si="1972"/>
        <v>18.363999999999994</v>
      </c>
      <c r="G1893" s="2">
        <f t="shared" si="1974"/>
        <v>17.534599999999994</v>
      </c>
      <c r="H1893" s="2">
        <f t="shared" si="1975"/>
        <v>9.9331414865098111E-3</v>
      </c>
      <c r="I1893" s="2">
        <f t="shared" ref="I1893:J1893" si="2008">LN(C1892)-LN(C1891)</f>
        <v>1.5499029783584639E-2</v>
      </c>
      <c r="J1893" s="2">
        <f t="shared" si="2008"/>
        <v>2.2290821214005108E-2</v>
      </c>
    </row>
    <row r="1894" spans="1:10" x14ac:dyDescent="0.45">
      <c r="A1894" s="1">
        <v>42934</v>
      </c>
      <c r="B1894">
        <v>46.59</v>
      </c>
      <c r="C1894">
        <v>1.5104</v>
      </c>
      <c r="D1894">
        <v>1.5407999999999999</v>
      </c>
      <c r="E1894" s="2">
        <f t="shared" si="1970"/>
        <v>17.697999999999997</v>
      </c>
      <c r="F1894" s="2">
        <f t="shared" si="1972"/>
        <v>18.560600000000004</v>
      </c>
      <c r="G1894" s="2">
        <f t="shared" si="1974"/>
        <v>18.363999999999994</v>
      </c>
      <c r="H1894" s="2">
        <f t="shared" si="1975"/>
        <v>-1.1236073266925661E-2</v>
      </c>
      <c r="I1894" s="2">
        <f t="shared" ref="I1894:J1894" si="2009">LN(C1893)-LN(C1892)</f>
        <v>-1.0283719754405618E-2</v>
      </c>
      <c r="J1894" s="2">
        <f t="shared" si="2009"/>
        <v>-2.4380866690305036E-3</v>
      </c>
    </row>
    <row r="1895" spans="1:10" x14ac:dyDescent="0.45">
      <c r="A1895" s="1">
        <v>42935</v>
      </c>
      <c r="B1895">
        <v>47.32</v>
      </c>
      <c r="C1895">
        <v>1.5551999999999999</v>
      </c>
      <c r="D1895">
        <v>1.5784</v>
      </c>
      <c r="E1895" s="2">
        <f t="shared" si="1970"/>
        <v>18.647999999999996</v>
      </c>
      <c r="F1895" s="2">
        <f t="shared" si="1972"/>
        <v>17.697999999999997</v>
      </c>
      <c r="G1895" s="2">
        <f t="shared" si="1974"/>
        <v>18.560600000000004</v>
      </c>
      <c r="H1895" s="2">
        <f t="shared" si="1975"/>
        <v>1.2309841221485485E-2</v>
      </c>
      <c r="I1895" s="2">
        <f t="shared" ref="I1895:J1895" si="2010">LN(C1894)-LN(C1893)</f>
        <v>7.242797202172413E-3</v>
      </c>
      <c r="J1895" s="2">
        <f t="shared" si="2010"/>
        <v>-1.0266433997942526E-2</v>
      </c>
    </row>
    <row r="1896" spans="1:10" x14ac:dyDescent="0.45">
      <c r="A1896" s="1">
        <v>42936</v>
      </c>
      <c r="B1896">
        <v>46.92</v>
      </c>
      <c r="C1896">
        <v>1.5478000000000001</v>
      </c>
      <c r="D1896">
        <v>1.5720000000000001</v>
      </c>
      <c r="E1896" s="2">
        <f t="shared" si="1970"/>
        <v>18.765200000000004</v>
      </c>
      <c r="F1896" s="2">
        <f t="shared" si="1972"/>
        <v>18.647999999999996</v>
      </c>
      <c r="G1896" s="2">
        <f t="shared" si="1974"/>
        <v>17.697999999999997</v>
      </c>
      <c r="H1896" s="2">
        <f t="shared" si="1975"/>
        <v>1.5547113281480396E-2</v>
      </c>
      <c r="I1896" s="2">
        <f t="shared" ref="I1896:J1896" si="2011">LN(C1895)-LN(C1894)</f>
        <v>2.9229638314938355E-2</v>
      </c>
      <c r="J1896" s="2">
        <f t="shared" si="2011"/>
        <v>2.4109913664544513E-2</v>
      </c>
    </row>
    <row r="1897" spans="1:10" x14ac:dyDescent="0.45">
      <c r="A1897" s="1">
        <v>42937</v>
      </c>
      <c r="B1897">
        <v>45.77</v>
      </c>
      <c r="C1897">
        <v>1.52</v>
      </c>
      <c r="D1897">
        <v>1.5342</v>
      </c>
      <c r="E1897" s="2">
        <f t="shared" si="1970"/>
        <v>18.467600000000004</v>
      </c>
      <c r="F1897" s="2">
        <f t="shared" si="1972"/>
        <v>18.765200000000004</v>
      </c>
      <c r="G1897" s="2">
        <f t="shared" si="1974"/>
        <v>18.647999999999996</v>
      </c>
      <c r="H1897" s="2">
        <f t="shared" si="1975"/>
        <v>-8.4890153249110867E-3</v>
      </c>
      <c r="I1897" s="2">
        <f t="shared" ref="I1897:J1897" si="2012">LN(C1896)-LN(C1895)</f>
        <v>-4.7695868698157673E-3</v>
      </c>
      <c r="J1897" s="2">
        <f t="shared" si="2012"/>
        <v>-4.0629817192537332E-3</v>
      </c>
    </row>
    <row r="1898" spans="1:10" x14ac:dyDescent="0.45">
      <c r="A1898" s="1">
        <v>42940</v>
      </c>
      <c r="B1898">
        <v>46.34</v>
      </c>
      <c r="C1898">
        <v>1.5221</v>
      </c>
      <c r="D1898">
        <v>1.5336000000000001</v>
      </c>
      <c r="E1898" s="2">
        <f t="shared" si="1970"/>
        <v>17.910200000000003</v>
      </c>
      <c r="F1898" s="2">
        <f t="shared" si="1972"/>
        <v>18.467600000000004</v>
      </c>
      <c r="G1898" s="2">
        <f t="shared" si="1974"/>
        <v>18.765200000000004</v>
      </c>
      <c r="H1898" s="2">
        <f t="shared" si="1975"/>
        <v>-2.4815169119724256E-2</v>
      </c>
      <c r="I1898" s="2">
        <f t="shared" ref="I1898:J1898" si="2013">LN(C1897)-LN(C1896)</f>
        <v>-1.8124232996036715E-2</v>
      </c>
      <c r="J1898" s="2">
        <f t="shared" si="2013"/>
        <v>-2.4339621463955963E-2</v>
      </c>
    </row>
    <row r="1899" spans="1:10" x14ac:dyDescent="0.45">
      <c r="A1899" s="1">
        <v>42941</v>
      </c>
      <c r="B1899">
        <v>47.89</v>
      </c>
      <c r="C1899">
        <v>1.573</v>
      </c>
      <c r="D1899">
        <v>1.5720000000000001</v>
      </c>
      <c r="E1899" s="2">
        <f t="shared" si="1970"/>
        <v>18.147999999999996</v>
      </c>
      <c r="F1899" s="2">
        <f t="shared" si="1972"/>
        <v>17.910200000000003</v>
      </c>
      <c r="G1899" s="2">
        <f t="shared" si="1974"/>
        <v>18.467600000000004</v>
      </c>
      <c r="H1899" s="2">
        <f t="shared" si="1975"/>
        <v>1.2376664338679788E-2</v>
      </c>
      <c r="I1899" s="2">
        <f t="shared" ref="I1899:J1899" si="2014">LN(C1898)-LN(C1897)</f>
        <v>1.3806254452990441E-3</v>
      </c>
      <c r="J1899" s="2">
        <f t="shared" si="2014"/>
        <v>-3.9115979376114218E-4</v>
      </c>
    </row>
    <row r="1900" spans="1:10" x14ac:dyDescent="0.45">
      <c r="A1900" s="1">
        <v>42942</v>
      </c>
      <c r="B1900">
        <v>48.75</v>
      </c>
      <c r="C1900">
        <v>1.5994999999999999</v>
      </c>
      <c r="D1900">
        <v>1.5944</v>
      </c>
      <c r="E1900" s="2">
        <f t="shared" si="1970"/>
        <v>18.286199999999997</v>
      </c>
      <c r="F1900" s="2">
        <f t="shared" si="1972"/>
        <v>18.147999999999996</v>
      </c>
      <c r="G1900" s="2">
        <f t="shared" si="1974"/>
        <v>17.910200000000003</v>
      </c>
      <c r="H1900" s="2">
        <f t="shared" si="1975"/>
        <v>3.2901195350287793E-2</v>
      </c>
      <c r="I1900" s="2">
        <f t="shared" ref="I1900:J1900" si="2015">LN(C1899)-LN(C1898)</f>
        <v>3.2893663772656678E-2</v>
      </c>
      <c r="J1900" s="2">
        <f t="shared" si="2015"/>
        <v>2.4730781257717105E-2</v>
      </c>
    </row>
    <row r="1901" spans="1:10" x14ac:dyDescent="0.45">
      <c r="A1901" s="1">
        <v>42943</v>
      </c>
      <c r="B1901">
        <v>49.04</v>
      </c>
      <c r="C1901">
        <v>1.6071</v>
      </c>
      <c r="D1901">
        <v>1.6196999999999999</v>
      </c>
      <c r="E1901" s="2">
        <f t="shared" si="1970"/>
        <v>18.810999999999996</v>
      </c>
      <c r="F1901" s="2">
        <f t="shared" si="1972"/>
        <v>18.286199999999997</v>
      </c>
      <c r="G1901" s="2">
        <f t="shared" si="1974"/>
        <v>18.147999999999996</v>
      </c>
      <c r="H1901" s="2">
        <f t="shared" si="1975"/>
        <v>1.7798483089337847E-2</v>
      </c>
      <c r="I1901" s="2">
        <f t="shared" ref="I1901:J1901" si="2016">LN(C1900)-LN(C1899)</f>
        <v>1.6706456331294806E-2</v>
      </c>
      <c r="J1901" s="2">
        <f t="shared" si="2016"/>
        <v>1.4148795909433132E-2</v>
      </c>
    </row>
    <row r="1902" spans="1:10" x14ac:dyDescent="0.45">
      <c r="A1902" s="1">
        <v>42944</v>
      </c>
      <c r="B1902">
        <v>49.71</v>
      </c>
      <c r="C1902">
        <v>1.6409</v>
      </c>
      <c r="D1902">
        <v>1.6457999999999999</v>
      </c>
      <c r="E1902" s="2">
        <f t="shared" si="1970"/>
        <v>19.344999999999999</v>
      </c>
      <c r="F1902" s="2">
        <f t="shared" si="1972"/>
        <v>18.810999999999996</v>
      </c>
      <c r="G1902" s="2">
        <f t="shared" si="1974"/>
        <v>18.286199999999997</v>
      </c>
      <c r="H1902" s="2">
        <f t="shared" si="1975"/>
        <v>5.9310941840999831E-3</v>
      </c>
      <c r="I1902" s="2">
        <f t="shared" ref="I1902:J1902" si="2017">LN(C1901)-LN(C1900)</f>
        <v>4.7402321654517188E-3</v>
      </c>
      <c r="J1902" s="2">
        <f t="shared" si="2017"/>
        <v>1.5743456993765947E-2</v>
      </c>
    </row>
    <row r="1903" spans="1:10" x14ac:dyDescent="0.45">
      <c r="A1903" s="1">
        <v>42947</v>
      </c>
      <c r="B1903">
        <v>50.17</v>
      </c>
      <c r="C1903">
        <v>1.6674</v>
      </c>
      <c r="D1903">
        <v>1.6766000000000001</v>
      </c>
      <c r="E1903" s="2">
        <f t="shared" si="1970"/>
        <v>20.118400000000008</v>
      </c>
      <c r="F1903" s="2">
        <f t="shared" si="1972"/>
        <v>19.344999999999999</v>
      </c>
      <c r="G1903" s="2">
        <f t="shared" si="1974"/>
        <v>18.810999999999996</v>
      </c>
      <c r="H1903" s="2">
        <f t="shared" si="1975"/>
        <v>1.3569828478625201E-2</v>
      </c>
      <c r="I1903" s="2">
        <f t="shared" ref="I1903:J1903" si="2018">LN(C1902)-LN(C1901)</f>
        <v>2.0813559226080358E-2</v>
      </c>
      <c r="J1903" s="2">
        <f t="shared" si="2018"/>
        <v>1.5985641279261553E-2</v>
      </c>
    </row>
    <row r="1904" spans="1:10" x14ac:dyDescent="0.45">
      <c r="A1904" s="1">
        <v>42948</v>
      </c>
      <c r="B1904">
        <v>49.16</v>
      </c>
      <c r="C1904">
        <v>1.6413</v>
      </c>
      <c r="D1904">
        <v>1.6613</v>
      </c>
      <c r="E1904" s="2">
        <f t="shared" si="1970"/>
        <v>20.334600000000012</v>
      </c>
      <c r="F1904" s="2">
        <f t="shared" si="1972"/>
        <v>20.118400000000008</v>
      </c>
      <c r="G1904" s="2">
        <f t="shared" si="1974"/>
        <v>19.344999999999999</v>
      </c>
      <c r="H1904" s="2">
        <f t="shared" si="1975"/>
        <v>9.2111183895804416E-3</v>
      </c>
      <c r="I1904" s="2">
        <f t="shared" ref="I1904:J1904" si="2019">LN(C1903)-LN(C1902)</f>
        <v>1.6020655195408351E-2</v>
      </c>
      <c r="J1904" s="2">
        <f t="shared" si="2019"/>
        <v>1.8541345032144496E-2</v>
      </c>
    </row>
    <row r="1905" spans="1:10" x14ac:dyDescent="0.45">
      <c r="A1905" s="1">
        <v>42949</v>
      </c>
      <c r="B1905">
        <v>49.59</v>
      </c>
      <c r="C1905">
        <v>1.6588000000000001</v>
      </c>
      <c r="D1905">
        <v>1.6448</v>
      </c>
      <c r="E1905" s="2">
        <f t="shared" si="1970"/>
        <v>19.687600000000003</v>
      </c>
      <c r="F1905" s="2">
        <f t="shared" si="1972"/>
        <v>20.334600000000012</v>
      </c>
      <c r="G1905" s="2">
        <f t="shared" si="1974"/>
        <v>20.118400000000008</v>
      </c>
      <c r="H1905" s="2">
        <f t="shared" si="1975"/>
        <v>-2.0336953798327784E-2</v>
      </c>
      <c r="I1905" s="2">
        <f t="shared" ref="I1905:J1905" si="2020">LN(C1904)-LN(C1903)</f>
        <v>-1.5776916238623151E-2</v>
      </c>
      <c r="J1905" s="2">
        <f t="shared" si="2020"/>
        <v>-9.167504811324001E-3</v>
      </c>
    </row>
    <row r="1906" spans="1:10" x14ac:dyDescent="0.45">
      <c r="A1906" s="1">
        <v>42950</v>
      </c>
      <c r="B1906">
        <v>49.03</v>
      </c>
      <c r="C1906">
        <v>1.6389</v>
      </c>
      <c r="D1906">
        <v>1.6318999999999999</v>
      </c>
      <c r="E1906" s="2">
        <f t="shared" si="1970"/>
        <v>19.607799999999997</v>
      </c>
      <c r="F1906" s="2">
        <f t="shared" si="1972"/>
        <v>19.687600000000003</v>
      </c>
      <c r="G1906" s="2">
        <f t="shared" si="1974"/>
        <v>20.334600000000012</v>
      </c>
      <c r="H1906" s="2">
        <f t="shared" si="1975"/>
        <v>8.708915803208761E-3</v>
      </c>
      <c r="I1906" s="2">
        <f t="shared" ref="I1906:J1906" si="2021">LN(C1905)-LN(C1904)</f>
        <v>1.060583863433634E-2</v>
      </c>
      <c r="J1906" s="2">
        <f t="shared" si="2021"/>
        <v>-9.9816321315870371E-3</v>
      </c>
    </row>
    <row r="1907" spans="1:10" x14ac:dyDescent="0.45">
      <c r="A1907" s="1">
        <v>42951</v>
      </c>
      <c r="B1907">
        <v>49.58</v>
      </c>
      <c r="C1907">
        <v>1.6486000000000001</v>
      </c>
      <c r="D1907">
        <v>1.6463000000000001</v>
      </c>
      <c r="E1907" s="2">
        <f t="shared" si="1970"/>
        <v>19.596799999999991</v>
      </c>
      <c r="F1907" s="2">
        <f t="shared" si="1972"/>
        <v>19.607799999999997</v>
      </c>
      <c r="G1907" s="2">
        <f t="shared" si="1974"/>
        <v>19.687600000000003</v>
      </c>
      <c r="H1907" s="2">
        <f t="shared" si="1975"/>
        <v>-1.135684483790067E-2</v>
      </c>
      <c r="I1907" s="2">
        <f t="shared" ref="I1907:J1907" si="2022">LN(C1906)-LN(C1905)</f>
        <v>-1.206916430244459E-2</v>
      </c>
      <c r="J1907" s="2">
        <f t="shared" si="2022"/>
        <v>-7.8738161239571003E-3</v>
      </c>
    </row>
    <row r="1908" spans="1:10" x14ac:dyDescent="0.45">
      <c r="A1908" s="1">
        <v>42954</v>
      </c>
      <c r="B1908">
        <v>49.39</v>
      </c>
      <c r="C1908">
        <v>1.6397999999999999</v>
      </c>
      <c r="D1908">
        <v>1.6298999999999999</v>
      </c>
      <c r="E1908" s="2">
        <f t="shared" si="1970"/>
        <v>19.204399999999993</v>
      </c>
      <c r="F1908" s="2">
        <f t="shared" si="1972"/>
        <v>19.596799999999991</v>
      </c>
      <c r="G1908" s="2">
        <f t="shared" si="1974"/>
        <v>19.607799999999997</v>
      </c>
      <c r="H1908" s="2">
        <f t="shared" si="1975"/>
        <v>1.1155170943902615E-2</v>
      </c>
      <c r="I1908" s="2">
        <f t="shared" ref="I1908:J1908" si="2023">LN(C1907)-LN(C1906)</f>
        <v>5.9011578093455253E-3</v>
      </c>
      <c r="J1908" s="2">
        <f t="shared" si="2023"/>
        <v>8.7853655170873068E-3</v>
      </c>
    </row>
    <row r="1909" spans="1:10" x14ac:dyDescent="0.45">
      <c r="A1909" s="1">
        <v>42955</v>
      </c>
      <c r="B1909">
        <v>49.17</v>
      </c>
      <c r="C1909">
        <v>1.6292</v>
      </c>
      <c r="D1909">
        <v>1.6208</v>
      </c>
      <c r="E1909" s="2">
        <f t="shared" si="1970"/>
        <v>19.021200000000004</v>
      </c>
      <c r="F1909" s="2">
        <f t="shared" si="1972"/>
        <v>19.204399999999993</v>
      </c>
      <c r="G1909" s="2">
        <f t="shared" si="1974"/>
        <v>19.596799999999991</v>
      </c>
      <c r="H1909" s="2">
        <f t="shared" si="1975"/>
        <v>-3.8395520545111417E-3</v>
      </c>
      <c r="I1909" s="2">
        <f t="shared" ref="I1909:J1909" si="2024">LN(C1908)-LN(C1907)</f>
        <v>-5.3521597170498869E-3</v>
      </c>
      <c r="J1909" s="2">
        <f t="shared" si="2024"/>
        <v>-1.0011682428389179E-2</v>
      </c>
    </row>
    <row r="1910" spans="1:10" x14ac:dyDescent="0.45">
      <c r="A1910" s="1">
        <v>42956</v>
      </c>
      <c r="B1910">
        <v>49.56</v>
      </c>
      <c r="C1910">
        <v>1.6533</v>
      </c>
      <c r="D1910">
        <v>1.62</v>
      </c>
      <c r="E1910" s="2">
        <f t="shared" si="1970"/>
        <v>18.946199999999994</v>
      </c>
      <c r="F1910" s="2">
        <f t="shared" si="1972"/>
        <v>19.021200000000004</v>
      </c>
      <c r="G1910" s="2">
        <f t="shared" si="1974"/>
        <v>19.204399999999993</v>
      </c>
      <c r="H1910" s="2">
        <f t="shared" si="1975"/>
        <v>-4.4642931286853482E-3</v>
      </c>
      <c r="I1910" s="2">
        <f t="shared" ref="I1910:J1910" si="2025">LN(C1909)-LN(C1908)</f>
        <v>-6.4851863878198079E-3</v>
      </c>
      <c r="J1910" s="2">
        <f t="shared" si="2025"/>
        <v>-5.5988087311680257E-3</v>
      </c>
    </row>
    <row r="1911" spans="1:10" x14ac:dyDescent="0.45">
      <c r="A1911" s="1">
        <v>42957</v>
      </c>
      <c r="B1911">
        <v>48.59</v>
      </c>
      <c r="C1911">
        <v>1.6313</v>
      </c>
      <c r="D1911">
        <v>1.6028</v>
      </c>
      <c r="E1911" s="2">
        <f t="shared" si="1970"/>
        <v>19.126599999999996</v>
      </c>
      <c r="F1911" s="2">
        <f t="shared" si="1972"/>
        <v>18.946199999999994</v>
      </c>
      <c r="G1911" s="2">
        <f t="shared" si="1974"/>
        <v>19.021200000000004</v>
      </c>
      <c r="H1911" s="2">
        <f t="shared" si="1975"/>
        <v>7.9003753370936458E-3</v>
      </c>
      <c r="I1911" s="2">
        <f t="shared" ref="I1911:J1911" si="2026">LN(C1910)-LN(C1909)</f>
        <v>1.4684193783041866E-2</v>
      </c>
      <c r="J1911" s="2">
        <f t="shared" si="2026"/>
        <v>-4.9370526798914183E-4</v>
      </c>
    </row>
    <row r="1912" spans="1:10" x14ac:dyDescent="0.45">
      <c r="A1912" s="1">
        <v>42958</v>
      </c>
      <c r="B1912">
        <v>48.82</v>
      </c>
      <c r="C1912">
        <v>1.6346000000000001</v>
      </c>
      <c r="D1912">
        <v>1.613</v>
      </c>
      <c r="E1912" s="2">
        <f t="shared" si="1970"/>
        <v>19.228399999999993</v>
      </c>
      <c r="F1912" s="2">
        <f t="shared" si="1972"/>
        <v>19.126599999999996</v>
      </c>
      <c r="G1912" s="2">
        <f t="shared" si="1974"/>
        <v>18.946199999999994</v>
      </c>
      <c r="H1912" s="2">
        <f t="shared" si="1975"/>
        <v>-1.9766308343129868E-2</v>
      </c>
      <c r="I1912" s="2">
        <f t="shared" ref="I1912:J1912" si="2027">LN(C1911)-LN(C1910)</f>
        <v>-1.3396047615042428E-2</v>
      </c>
      <c r="J1912" s="2">
        <f t="shared" si="2027"/>
        <v>-1.0674049464440338E-2</v>
      </c>
    </row>
    <row r="1913" spans="1:10" x14ac:dyDescent="0.45">
      <c r="A1913" s="1">
        <v>42961</v>
      </c>
      <c r="B1913">
        <v>47.59</v>
      </c>
      <c r="C1913">
        <v>1.6056999999999999</v>
      </c>
      <c r="D1913">
        <v>1.5767</v>
      </c>
      <c r="E1913" s="2">
        <f t="shared" si="1970"/>
        <v>19.037400000000002</v>
      </c>
      <c r="F1913" s="2">
        <f t="shared" si="1972"/>
        <v>19.228399999999993</v>
      </c>
      <c r="G1913" s="2">
        <f t="shared" si="1974"/>
        <v>19.126599999999996</v>
      </c>
      <c r="H1913" s="2">
        <f t="shared" si="1975"/>
        <v>4.7223165470020589E-3</v>
      </c>
      <c r="I1913" s="2">
        <f t="shared" ref="I1913:J1913" si="2028">LN(C1912)-LN(C1911)</f>
        <v>2.0208831397724447E-3</v>
      </c>
      <c r="J1913" s="2">
        <f t="shared" si="2028"/>
        <v>6.3436993632193794E-3</v>
      </c>
    </row>
    <row r="1914" spans="1:10" x14ac:dyDescent="0.45">
      <c r="A1914" s="1">
        <v>42962</v>
      </c>
      <c r="B1914">
        <v>47.55</v>
      </c>
      <c r="C1914">
        <v>1.5995999999999999</v>
      </c>
      <c r="D1914">
        <v>1.5794999999999999</v>
      </c>
      <c r="E1914" s="2">
        <f t="shared" si="1970"/>
        <v>19.070400000000006</v>
      </c>
      <c r="F1914" s="2">
        <f t="shared" si="1972"/>
        <v>19.037400000000002</v>
      </c>
      <c r="G1914" s="2">
        <f t="shared" si="1974"/>
        <v>19.228399999999993</v>
      </c>
      <c r="H1914" s="2">
        <f t="shared" si="1975"/>
        <v>-2.5517409831794957E-2</v>
      </c>
      <c r="I1914" s="2">
        <f t="shared" ref="I1914:J1914" si="2029">LN(C1913)-LN(C1912)</f>
        <v>-1.7838327526390418E-2</v>
      </c>
      <c r="J1914" s="2">
        <f t="shared" si="2029"/>
        <v>-2.2761743881772822E-2</v>
      </c>
    </row>
    <row r="1915" spans="1:10" x14ac:dyDescent="0.45">
      <c r="A1915" s="1">
        <v>42963</v>
      </c>
      <c r="B1915">
        <v>46.78</v>
      </c>
      <c r="C1915">
        <v>1.5744</v>
      </c>
      <c r="D1915">
        <v>1.5638000000000001</v>
      </c>
      <c r="E1915" s="2">
        <f t="shared" si="1970"/>
        <v>19.048000000000012</v>
      </c>
      <c r="F1915" s="2">
        <f t="shared" si="1972"/>
        <v>19.070400000000006</v>
      </c>
      <c r="G1915" s="2">
        <f t="shared" si="1974"/>
        <v>19.037400000000002</v>
      </c>
      <c r="H1915" s="2">
        <f t="shared" si="1975"/>
        <v>-8.4086614161948958E-4</v>
      </c>
      <c r="I1915" s="2">
        <f t="shared" ref="I1915:J1915" si="2030">LN(C1914)-LN(C1913)</f>
        <v>-3.8062005829757051E-3</v>
      </c>
      <c r="J1915" s="2">
        <f t="shared" si="2030"/>
        <v>1.7742859987037729E-3</v>
      </c>
    </row>
    <row r="1916" spans="1:10" x14ac:dyDescent="0.45">
      <c r="A1916" s="1">
        <v>42964</v>
      </c>
      <c r="B1916">
        <v>47.09</v>
      </c>
      <c r="C1916">
        <v>1.5820000000000001</v>
      </c>
      <c r="D1916">
        <v>1.4948999999999999</v>
      </c>
      <c r="E1916" s="2">
        <f t="shared" si="1970"/>
        <v>16.915199999999999</v>
      </c>
      <c r="F1916" s="2">
        <f t="shared" si="1972"/>
        <v>19.048000000000012</v>
      </c>
      <c r="G1916" s="2">
        <f t="shared" si="1974"/>
        <v>19.070400000000006</v>
      </c>
      <c r="H1916" s="2">
        <f t="shared" si="1975"/>
        <v>-1.6326027835366297E-2</v>
      </c>
      <c r="I1916" s="2">
        <f t="shared" ref="I1916:J1916" si="2031">LN(C1915)-LN(C1914)</f>
        <v>-1.587935067467422E-2</v>
      </c>
      <c r="J1916" s="2">
        <f t="shared" si="2031"/>
        <v>-9.9895845517261606E-3</v>
      </c>
    </row>
    <row r="1917" spans="1:10" x14ac:dyDescent="0.45">
      <c r="A1917" s="1">
        <v>42965</v>
      </c>
      <c r="B1917">
        <v>48.66</v>
      </c>
      <c r="C1917">
        <v>1.6204000000000001</v>
      </c>
      <c r="D1917">
        <v>1.5330999999999999</v>
      </c>
      <c r="E1917" s="2">
        <f t="shared" si="1970"/>
        <v>16.952400000000001</v>
      </c>
      <c r="F1917" s="2">
        <f t="shared" si="1972"/>
        <v>16.915199999999999</v>
      </c>
      <c r="G1917" s="2">
        <f t="shared" si="1974"/>
        <v>19.048000000000012</v>
      </c>
      <c r="H1917" s="2">
        <f t="shared" si="1975"/>
        <v>6.6049030994301816E-3</v>
      </c>
      <c r="I1917" s="2">
        <f t="shared" ref="I1917:J1917" si="2032">LN(C1916)-LN(C1915)</f>
        <v>4.8156220296102226E-3</v>
      </c>
      <c r="J1917" s="2">
        <f t="shared" si="2032"/>
        <v>-4.5059441734945138E-2</v>
      </c>
    </row>
    <row r="1918" spans="1:10" x14ac:dyDescent="0.45">
      <c r="A1918" s="1">
        <v>42968</v>
      </c>
      <c r="B1918">
        <v>47.53</v>
      </c>
      <c r="C1918">
        <v>1.5774999999999999</v>
      </c>
      <c r="D1918">
        <v>1.4961</v>
      </c>
      <c r="E1918" s="2">
        <f t="shared" si="1970"/>
        <v>16.445799999999991</v>
      </c>
      <c r="F1918" s="2">
        <f t="shared" si="1972"/>
        <v>16.952400000000001</v>
      </c>
      <c r="G1918" s="2">
        <f t="shared" si="1974"/>
        <v>16.915199999999999</v>
      </c>
      <c r="H1918" s="2">
        <f t="shared" si="1975"/>
        <v>3.2796673099912965E-2</v>
      </c>
      <c r="I1918" s="2">
        <f t="shared" ref="I1918:J1918" si="2033">LN(C1917)-LN(C1916)</f>
        <v>2.3983163000936281E-2</v>
      </c>
      <c r="J1918" s="2">
        <f t="shared" si="2033"/>
        <v>2.5232514360939928E-2</v>
      </c>
    </row>
    <row r="1919" spans="1:10" x14ac:dyDescent="0.45">
      <c r="A1919" s="1">
        <v>42969</v>
      </c>
      <c r="B1919">
        <v>47.83</v>
      </c>
      <c r="C1919">
        <v>1.5963000000000001</v>
      </c>
      <c r="D1919">
        <v>1.5015000000000001</v>
      </c>
      <c r="E1919" s="2">
        <f t="shared" si="1970"/>
        <v>16.560199999999998</v>
      </c>
      <c r="F1919" s="2">
        <f t="shared" si="1972"/>
        <v>16.445799999999991</v>
      </c>
      <c r="G1919" s="2">
        <f t="shared" si="1974"/>
        <v>16.952400000000001</v>
      </c>
      <c r="H1919" s="2">
        <f t="shared" si="1975"/>
        <v>-2.3496246729458381E-2</v>
      </c>
      <c r="I1919" s="2">
        <f t="shared" ref="I1919:J1919" si="2034">LN(C1918)-LN(C1917)</f>
        <v>-2.6831716913167381E-2</v>
      </c>
      <c r="J1919" s="2">
        <f t="shared" si="2034"/>
        <v>-2.4430107096221898E-2</v>
      </c>
    </row>
    <row r="1920" spans="1:10" x14ac:dyDescent="0.45">
      <c r="A1920" s="1">
        <v>42970</v>
      </c>
      <c r="B1920">
        <v>48.41</v>
      </c>
      <c r="C1920">
        <v>1.6288</v>
      </c>
      <c r="D1920">
        <v>1.5278</v>
      </c>
      <c r="E1920" s="2">
        <f t="shared" si="1970"/>
        <v>17.171600000000002</v>
      </c>
      <c r="F1920" s="2">
        <f t="shared" si="1972"/>
        <v>16.560199999999998</v>
      </c>
      <c r="G1920" s="2">
        <f t="shared" si="1974"/>
        <v>16.445799999999991</v>
      </c>
      <c r="H1920" s="2">
        <f t="shared" si="1975"/>
        <v>6.2919670662875404E-3</v>
      </c>
      <c r="I1920" s="2">
        <f t="shared" ref="I1920:J1920" si="2035">LN(C1919)-LN(C1918)</f>
        <v>1.1847135855065194E-2</v>
      </c>
      <c r="J1920" s="2">
        <f t="shared" si="2035"/>
        <v>3.6028862031984299E-3</v>
      </c>
    </row>
    <row r="1921" spans="1:10" x14ac:dyDescent="0.45">
      <c r="A1921" s="1">
        <v>42971</v>
      </c>
      <c r="B1921">
        <v>47.43</v>
      </c>
      <c r="C1921">
        <v>1.6234</v>
      </c>
      <c r="D1921">
        <v>1.5481</v>
      </c>
      <c r="E1921" s="2">
        <f t="shared" si="1970"/>
        <v>18.644400000000008</v>
      </c>
      <c r="F1921" s="2">
        <f t="shared" si="1972"/>
        <v>17.171600000000002</v>
      </c>
      <c r="G1921" s="2">
        <f t="shared" si="1974"/>
        <v>16.560199999999998</v>
      </c>
      <c r="H1921" s="2">
        <f t="shared" si="1975"/>
        <v>1.2053346259397468E-2</v>
      </c>
      <c r="I1921" s="2">
        <f t="shared" ref="I1921:J1921" si="2036">LN(C1920)-LN(C1919)</f>
        <v>2.0155096085770263E-2</v>
      </c>
      <c r="J1921" s="2">
        <f t="shared" si="2036"/>
        <v>1.7364183683874379E-2</v>
      </c>
    </row>
    <row r="1922" spans="1:10" x14ac:dyDescent="0.45">
      <c r="A1922" s="1">
        <v>42972</v>
      </c>
      <c r="B1922">
        <v>47.87</v>
      </c>
      <c r="C1922">
        <v>1.6238999999999999</v>
      </c>
      <c r="D1922">
        <v>1.5407999999999999</v>
      </c>
      <c r="E1922" s="2">
        <f t="shared" si="1970"/>
        <v>18.007000000000005</v>
      </c>
      <c r="F1922" s="2">
        <f t="shared" si="1972"/>
        <v>18.644400000000008</v>
      </c>
      <c r="G1922" s="2">
        <f t="shared" si="1974"/>
        <v>17.171600000000002</v>
      </c>
      <c r="H1922" s="2">
        <f t="shared" si="1975"/>
        <v>-2.0451464062112734E-2</v>
      </c>
      <c r="I1922" s="2">
        <f t="shared" ref="I1922:J1922" si="2037">LN(C1921)-LN(C1920)</f>
        <v>-3.3208320291283067E-3</v>
      </c>
      <c r="J1922" s="2">
        <f t="shared" si="2037"/>
        <v>1.3199580439160474E-2</v>
      </c>
    </row>
    <row r="1923" spans="1:10" x14ac:dyDescent="0.45">
      <c r="A1923" s="1">
        <v>42975</v>
      </c>
      <c r="B1923">
        <v>46.57</v>
      </c>
      <c r="C1923">
        <v>1.6309</v>
      </c>
      <c r="D1923">
        <v>1.5712999999999999</v>
      </c>
      <c r="E1923" s="2">
        <f t="shared" ref="E1923:E1982" si="2038">(2*D1923*42+1*C1923*42-3*B1923)/3</f>
        <v>20.258999999999986</v>
      </c>
      <c r="F1923" s="2">
        <f t="shared" si="1972"/>
        <v>18.007000000000005</v>
      </c>
      <c r="G1923" s="2">
        <f t="shared" si="1974"/>
        <v>18.644400000000008</v>
      </c>
      <c r="H1923" s="2">
        <f t="shared" si="1975"/>
        <v>9.2340635149272821E-3</v>
      </c>
      <c r="I1923" s="2">
        <f t="shared" ref="I1923:J1923" si="2039">LN(C1922)-LN(C1921)</f>
        <v>3.0794814396656323E-4</v>
      </c>
      <c r="J1923" s="2">
        <f t="shared" si="2039"/>
        <v>-4.7266105025587368E-3</v>
      </c>
    </row>
    <row r="1924" spans="1:10" x14ac:dyDescent="0.45">
      <c r="A1924" s="1">
        <v>42976</v>
      </c>
      <c r="B1924">
        <v>46.44</v>
      </c>
      <c r="C1924">
        <v>1.6539999999999999</v>
      </c>
      <c r="D1924">
        <v>1.6019000000000001</v>
      </c>
      <c r="E1924" s="2">
        <f t="shared" si="2038"/>
        <v>21.569200000000006</v>
      </c>
      <c r="F1924" s="2">
        <f t="shared" ref="F1924:F1982" si="2040">E1923</f>
        <v>20.258999999999986</v>
      </c>
      <c r="G1924" s="2">
        <f t="shared" si="1974"/>
        <v>18.007000000000005</v>
      </c>
      <c r="H1924" s="2">
        <f t="shared" si="1975"/>
        <v>-2.7532446410131417E-2</v>
      </c>
      <c r="I1924" s="2">
        <f t="shared" ref="I1924:J1924" si="2041">LN(C1923)-LN(C1922)</f>
        <v>4.3013461918302576E-3</v>
      </c>
      <c r="J1924" s="2">
        <f t="shared" si="2041"/>
        <v>1.9601540152224928E-2</v>
      </c>
    </row>
    <row r="1925" spans="1:10" x14ac:dyDescent="0.45">
      <c r="A1925" s="1">
        <v>42977</v>
      </c>
      <c r="B1925">
        <v>45.96</v>
      </c>
      <c r="C1925">
        <v>1.6554</v>
      </c>
      <c r="D1925">
        <v>1.6375</v>
      </c>
      <c r="E1925" s="2">
        <f t="shared" si="2038"/>
        <v>23.0656</v>
      </c>
      <c r="F1925" s="2">
        <f t="shared" si="2040"/>
        <v>21.569200000000006</v>
      </c>
      <c r="G1925" s="2">
        <f t="shared" ref="G1925:G1983" si="2042">E1923</f>
        <v>20.258999999999986</v>
      </c>
      <c r="H1925" s="2">
        <f t="shared" ref="H1925:H1982" si="2043">LN(B1924)-LN(B1923)</f>
        <v>-2.7954001645955628E-3</v>
      </c>
      <c r="I1925" s="2">
        <f t="shared" ref="I1925:J1925" si="2044">LN(C1924)-LN(C1923)</f>
        <v>1.4064586920764455E-2</v>
      </c>
      <c r="J1925" s="2">
        <f t="shared" si="2044"/>
        <v>1.928712251135184E-2</v>
      </c>
    </row>
    <row r="1926" spans="1:10" x14ac:dyDescent="0.45">
      <c r="A1926" s="1">
        <v>42978</v>
      </c>
      <c r="B1926">
        <v>47.23</v>
      </c>
      <c r="C1926">
        <v>1.7419</v>
      </c>
      <c r="D1926">
        <v>1.7791999999999999</v>
      </c>
      <c r="E1926" s="2">
        <f t="shared" si="2038"/>
        <v>26.974199999999996</v>
      </c>
      <c r="F1926" s="2">
        <f t="shared" si="2040"/>
        <v>23.0656</v>
      </c>
      <c r="G1926" s="2">
        <f t="shared" si="2042"/>
        <v>21.569200000000006</v>
      </c>
      <c r="H1926" s="2">
        <f t="shared" si="2043"/>
        <v>-1.0389703849135401E-2</v>
      </c>
      <c r="I1926" s="2">
        <f t="shared" ref="I1926:J1926" si="2045">LN(C1925)-LN(C1924)</f>
        <v>8.4607486765886364E-4</v>
      </c>
      <c r="J1926" s="2">
        <f t="shared" si="2045"/>
        <v>2.1980263801969102E-2</v>
      </c>
    </row>
    <row r="1927" spans="1:10" x14ac:dyDescent="0.45">
      <c r="A1927" s="1">
        <v>42979</v>
      </c>
      <c r="B1927">
        <v>47.29</v>
      </c>
      <c r="C1927">
        <v>1.7467999999999999</v>
      </c>
      <c r="D1927">
        <v>1.7479</v>
      </c>
      <c r="E1927" s="2">
        <f t="shared" si="2038"/>
        <v>26.106399999999997</v>
      </c>
      <c r="F1927" s="2">
        <f t="shared" si="2040"/>
        <v>26.974199999999996</v>
      </c>
      <c r="G1927" s="2">
        <f t="shared" si="2042"/>
        <v>23.0656</v>
      </c>
      <c r="H1927" s="2">
        <f t="shared" si="2043"/>
        <v>2.7257830927470472E-2</v>
      </c>
      <c r="I1927" s="2">
        <f t="shared" ref="I1927:J1927" si="2046">LN(C1926)-LN(C1925)</f>
        <v>5.0933800032120558E-2</v>
      </c>
      <c r="J1927" s="2">
        <f t="shared" si="2046"/>
        <v>8.2993136546856194E-2</v>
      </c>
    </row>
    <row r="1928" spans="1:10" x14ac:dyDescent="0.45">
      <c r="A1928" s="1">
        <v>42983</v>
      </c>
      <c r="B1928">
        <v>48.66</v>
      </c>
      <c r="C1928">
        <v>1.748</v>
      </c>
      <c r="D1928">
        <v>1.6991000000000001</v>
      </c>
      <c r="E1928" s="2">
        <f t="shared" si="2038"/>
        <v>23.386800000000004</v>
      </c>
      <c r="F1928" s="2">
        <f t="shared" si="2040"/>
        <v>26.106399999999997</v>
      </c>
      <c r="G1928" s="2">
        <f t="shared" si="2042"/>
        <v>26.974199999999996</v>
      </c>
      <c r="H1928" s="2">
        <f t="shared" si="2043"/>
        <v>1.2695727477587404E-3</v>
      </c>
      <c r="I1928" s="2">
        <f t="shared" ref="I1928:J1928" si="2047">LN(C1927)-LN(C1926)</f>
        <v>2.8090711279898928E-3</v>
      </c>
      <c r="J1928" s="2">
        <f t="shared" si="2047"/>
        <v>-1.774875771522233E-2</v>
      </c>
    </row>
    <row r="1929" spans="1:10" x14ac:dyDescent="0.45">
      <c r="A1929" s="1">
        <v>42984</v>
      </c>
      <c r="B1929">
        <v>49.16</v>
      </c>
      <c r="C1929">
        <v>1.7595000000000001</v>
      </c>
      <c r="D1929">
        <v>1.6733</v>
      </c>
      <c r="E1929" s="2">
        <f t="shared" si="2038"/>
        <v>22.325400000000002</v>
      </c>
      <c r="F1929" s="2">
        <f t="shared" si="2040"/>
        <v>23.386800000000004</v>
      </c>
      <c r="G1929" s="2">
        <f t="shared" si="2042"/>
        <v>26.106399999999997</v>
      </c>
      <c r="H1929" s="2">
        <f t="shared" si="2043"/>
        <v>2.8558480699591993E-2</v>
      </c>
      <c r="I1929" s="2">
        <f t="shared" ref="I1929:J1929" si="2048">LN(C1928)-LN(C1927)</f>
        <v>6.8673460407486786E-4</v>
      </c>
      <c r="J1929" s="2">
        <f t="shared" si="2048"/>
        <v>-2.8316368249327817E-2</v>
      </c>
    </row>
    <row r="1930" spans="1:10" x14ac:dyDescent="0.45">
      <c r="A1930" s="1">
        <v>42985</v>
      </c>
      <c r="B1930">
        <v>49.09</v>
      </c>
      <c r="C1930">
        <v>1.7861</v>
      </c>
      <c r="D1930">
        <v>1.661</v>
      </c>
      <c r="E1930" s="2">
        <f t="shared" si="2038"/>
        <v>22.423399999999997</v>
      </c>
      <c r="F1930" s="2">
        <f t="shared" si="2040"/>
        <v>22.325400000000002</v>
      </c>
      <c r="G1930" s="2">
        <f t="shared" si="2042"/>
        <v>23.386800000000004</v>
      </c>
      <c r="H1930" s="2">
        <f t="shared" si="2043"/>
        <v>1.0222947342457545E-2</v>
      </c>
      <c r="I1930" s="2">
        <f t="shared" ref="I1930:J1930" si="2049">LN(C1929)-LN(C1928)</f>
        <v>6.5574005461591645E-3</v>
      </c>
      <c r="J1930" s="2">
        <f t="shared" si="2049"/>
        <v>-1.5300974591185068E-2</v>
      </c>
    </row>
    <row r="1931" spans="1:10" x14ac:dyDescent="0.45">
      <c r="A1931" s="1">
        <v>42986</v>
      </c>
      <c r="B1931">
        <v>47.48</v>
      </c>
      <c r="C1931">
        <v>1.7657</v>
      </c>
      <c r="D1931">
        <v>1.6476</v>
      </c>
      <c r="E1931" s="2">
        <f t="shared" si="2038"/>
        <v>23.372600000000006</v>
      </c>
      <c r="F1931" s="2">
        <f t="shared" si="2040"/>
        <v>22.423399999999997</v>
      </c>
      <c r="G1931" s="2">
        <f t="shared" si="2042"/>
        <v>22.325400000000002</v>
      </c>
      <c r="H1931" s="2">
        <f t="shared" si="2043"/>
        <v>-1.424936627872686E-3</v>
      </c>
      <c r="I1931" s="2">
        <f t="shared" ref="I1931:J1931" si="2050">LN(C1930)-LN(C1929)</f>
        <v>1.5004794148797962E-2</v>
      </c>
      <c r="J1931" s="2">
        <f t="shared" si="2050"/>
        <v>-7.377893887233089E-3</v>
      </c>
    </row>
    <row r="1932" spans="1:10" x14ac:dyDescent="0.45">
      <c r="A1932" s="1">
        <v>42989</v>
      </c>
      <c r="B1932">
        <v>48.07</v>
      </c>
      <c r="C1932">
        <v>1.7426999999999999</v>
      </c>
      <c r="D1932">
        <v>1.6345000000000001</v>
      </c>
      <c r="E1932" s="2">
        <f t="shared" si="2038"/>
        <v>22.093799999999998</v>
      </c>
      <c r="F1932" s="2">
        <f t="shared" si="2040"/>
        <v>23.372600000000006</v>
      </c>
      <c r="G1932" s="2">
        <f t="shared" si="2042"/>
        <v>22.423399999999997</v>
      </c>
      <c r="H1932" s="2">
        <f t="shared" si="2043"/>
        <v>-3.3346778328493976E-2</v>
      </c>
      <c r="I1932" s="2">
        <f t="shared" ref="I1932:J1932" si="2051">LN(C1931)-LN(C1930)</f>
        <v>-1.1487259601685285E-2</v>
      </c>
      <c r="J1932" s="2">
        <f t="shared" si="2051"/>
        <v>-8.1001470513691887E-3</v>
      </c>
    </row>
    <row r="1933" spans="1:10" x14ac:dyDescent="0.45">
      <c r="A1933" s="1">
        <v>42990</v>
      </c>
      <c r="B1933">
        <v>48.23</v>
      </c>
      <c r="C1933">
        <v>1.7405999999999999</v>
      </c>
      <c r="D1933">
        <v>1.6563000000000001</v>
      </c>
      <c r="E1933" s="2">
        <f t="shared" si="2038"/>
        <v>22.514799999999997</v>
      </c>
      <c r="F1933" s="2">
        <f t="shared" si="2040"/>
        <v>22.093799999999998</v>
      </c>
      <c r="G1933" s="2">
        <f t="shared" si="2042"/>
        <v>23.372600000000006</v>
      </c>
      <c r="H1933" s="2">
        <f t="shared" si="2043"/>
        <v>1.234971216440206E-2</v>
      </c>
      <c r="I1933" s="2">
        <f t="shared" ref="I1933:J1933" si="2052">LN(C1932)-LN(C1931)</f>
        <v>-1.3111577642156091E-2</v>
      </c>
      <c r="J1933" s="2">
        <f t="shared" si="2052"/>
        <v>-7.9827363976603394E-3</v>
      </c>
    </row>
    <row r="1934" spans="1:10" x14ac:dyDescent="0.45">
      <c r="A1934" s="1">
        <v>42991</v>
      </c>
      <c r="B1934">
        <v>49.3</v>
      </c>
      <c r="C1934">
        <v>1.7685</v>
      </c>
      <c r="D1934">
        <v>1.6473</v>
      </c>
      <c r="E1934" s="2">
        <f t="shared" si="2038"/>
        <v>21.583400000000001</v>
      </c>
      <c r="F1934" s="2">
        <f t="shared" si="2040"/>
        <v>22.514799999999997</v>
      </c>
      <c r="G1934" s="2">
        <f t="shared" si="2042"/>
        <v>22.093799999999998</v>
      </c>
      <c r="H1934" s="2">
        <f t="shared" si="2043"/>
        <v>3.3229521750111068E-3</v>
      </c>
      <c r="I1934" s="2">
        <f t="shared" ref="I1934:J1934" si="2053">LN(C1933)-LN(C1932)</f>
        <v>-1.2057533111832219E-3</v>
      </c>
      <c r="J1934" s="2">
        <f t="shared" si="2053"/>
        <v>1.3249251793843397E-2</v>
      </c>
    </row>
    <row r="1935" spans="1:10" x14ac:dyDescent="0.45">
      <c r="A1935" s="1">
        <v>42992</v>
      </c>
      <c r="B1935">
        <v>49.89</v>
      </c>
      <c r="C1935">
        <v>1.7775000000000001</v>
      </c>
      <c r="D1935">
        <v>1.5967</v>
      </c>
      <c r="E1935" s="2">
        <f t="shared" si="2038"/>
        <v>19.7026</v>
      </c>
      <c r="F1935" s="2">
        <f t="shared" si="2040"/>
        <v>21.583400000000001</v>
      </c>
      <c r="G1935" s="2">
        <f t="shared" si="2042"/>
        <v>22.514799999999997</v>
      </c>
      <c r="H1935" s="2">
        <f t="shared" si="2043"/>
        <v>2.1942846967764051E-2</v>
      </c>
      <c r="I1935" s="2">
        <f t="shared" ref="I1935:J1935" si="2054">LN(C1934)-LN(C1933)</f>
        <v>1.5901848290121978E-2</v>
      </c>
      <c r="J1935" s="2">
        <f t="shared" si="2054"/>
        <v>-5.4486150051721305E-3</v>
      </c>
    </row>
    <row r="1936" spans="1:10" x14ac:dyDescent="0.45">
      <c r="A1936" s="1">
        <v>42993</v>
      </c>
      <c r="B1936">
        <v>49.89</v>
      </c>
      <c r="C1936">
        <v>1.7988</v>
      </c>
      <c r="D1936">
        <v>1.6617</v>
      </c>
      <c r="E1936" s="2">
        <f t="shared" si="2038"/>
        <v>21.820799999999991</v>
      </c>
      <c r="F1936" s="2">
        <f t="shared" si="2040"/>
        <v>19.7026</v>
      </c>
      <c r="G1936" s="2">
        <f t="shared" si="2042"/>
        <v>21.583400000000001</v>
      </c>
      <c r="H1936" s="2">
        <f t="shared" si="2043"/>
        <v>1.1896500824301715E-2</v>
      </c>
      <c r="I1936" s="2">
        <f t="shared" ref="I1936:J1936" si="2055">LN(C1935)-LN(C1934)</f>
        <v>5.0761530318607084E-3</v>
      </c>
      <c r="J1936" s="2">
        <f t="shared" si="2055"/>
        <v>-3.1198584607280921E-2</v>
      </c>
    </row>
    <row r="1937" spans="1:10" x14ac:dyDescent="0.45">
      <c r="A1937" s="1">
        <v>42996</v>
      </c>
      <c r="B1937">
        <v>50.35</v>
      </c>
      <c r="C1937">
        <v>1.7796000000000001</v>
      </c>
      <c r="D1937">
        <v>1.6686000000000001</v>
      </c>
      <c r="E1937" s="2">
        <f t="shared" si="2038"/>
        <v>21.285200000000003</v>
      </c>
      <c r="F1937" s="2">
        <f t="shared" si="2040"/>
        <v>21.820799999999991</v>
      </c>
      <c r="G1937" s="2">
        <f t="shared" si="2042"/>
        <v>19.7026</v>
      </c>
      <c r="H1937" s="2">
        <f t="shared" si="2043"/>
        <v>0</v>
      </c>
      <c r="I1937" s="2">
        <f t="shared" ref="I1937:J1937" si="2056">LN(C1936)-LN(C1935)</f>
        <v>1.1911893219156311E-2</v>
      </c>
      <c r="J1937" s="2">
        <f t="shared" si="2056"/>
        <v>3.9902175361512249E-2</v>
      </c>
    </row>
    <row r="1938" spans="1:10" x14ac:dyDescent="0.45">
      <c r="A1938" s="1">
        <v>42997</v>
      </c>
      <c r="B1938">
        <v>49.9</v>
      </c>
      <c r="C1938">
        <v>1.7655000000000001</v>
      </c>
      <c r="D1938">
        <v>1.6059000000000001</v>
      </c>
      <c r="E1938" s="2">
        <f t="shared" si="2038"/>
        <v>19.782200000000007</v>
      </c>
      <c r="F1938" s="2">
        <f t="shared" si="2040"/>
        <v>21.285200000000003</v>
      </c>
      <c r="G1938" s="2">
        <f t="shared" si="2042"/>
        <v>21.820799999999991</v>
      </c>
      <c r="H1938" s="2">
        <f t="shared" si="2043"/>
        <v>9.1780372916252517E-3</v>
      </c>
      <c r="I1938" s="2">
        <f t="shared" ref="I1938:J1938" si="2057">LN(C1937)-LN(C1936)</f>
        <v>-1.0731155964665562E-2</v>
      </c>
      <c r="J1938" s="2">
        <f t="shared" si="2057"/>
        <v>4.1437767608062392E-3</v>
      </c>
    </row>
    <row r="1939" spans="1:10" x14ac:dyDescent="0.45">
      <c r="A1939" s="1">
        <v>42998</v>
      </c>
      <c r="B1939">
        <v>50.69</v>
      </c>
      <c r="C1939">
        <v>1.7990999999999999</v>
      </c>
      <c r="D1939">
        <v>1.6157999999999999</v>
      </c>
      <c r="E1939" s="2">
        <f t="shared" si="2038"/>
        <v>19.739799999999992</v>
      </c>
      <c r="F1939" s="2">
        <f t="shared" si="2040"/>
        <v>19.782200000000007</v>
      </c>
      <c r="G1939" s="2">
        <f t="shared" si="2042"/>
        <v>21.285200000000003</v>
      </c>
      <c r="H1939" s="2">
        <f t="shared" si="2043"/>
        <v>-8.9776164070984876E-3</v>
      </c>
      <c r="I1939" s="2">
        <f t="shared" ref="I1939:J1939" si="2058">LN(C1938)-LN(C1937)</f>
        <v>-7.9546835634455304E-3</v>
      </c>
      <c r="J1939" s="2">
        <f t="shared" si="2058"/>
        <v>-3.8300604400528793E-2</v>
      </c>
    </row>
    <row r="1940" spans="1:10" x14ac:dyDescent="0.45">
      <c r="A1940" s="1">
        <v>42999</v>
      </c>
      <c r="B1940">
        <v>50.55</v>
      </c>
      <c r="C1940">
        <v>1.8073999999999999</v>
      </c>
      <c r="D1940">
        <v>1.6066</v>
      </c>
      <c r="E1940" s="2">
        <f t="shared" si="2038"/>
        <v>19.738400000000002</v>
      </c>
      <c r="F1940" s="2">
        <f t="shared" si="2040"/>
        <v>19.739799999999992</v>
      </c>
      <c r="G1940" s="2">
        <f t="shared" si="2042"/>
        <v>19.782200000000007</v>
      </c>
      <c r="H1940" s="2">
        <f t="shared" si="2043"/>
        <v>1.5707649726785178E-2</v>
      </c>
      <c r="I1940" s="2">
        <f t="shared" ref="I1940:J1940" si="2059">LN(C1939)-LN(C1938)</f>
        <v>1.8852603474132534E-2</v>
      </c>
      <c r="J1940" s="2">
        <f t="shared" si="2059"/>
        <v>6.1458429781627855E-3</v>
      </c>
    </row>
    <row r="1941" spans="1:10" x14ac:dyDescent="0.45">
      <c r="A1941" s="1">
        <v>43000</v>
      </c>
      <c r="B1941">
        <v>50.66</v>
      </c>
      <c r="C1941">
        <v>1.8086</v>
      </c>
      <c r="D1941">
        <v>1.6261000000000001</v>
      </c>
      <c r="E1941" s="2">
        <f t="shared" si="2038"/>
        <v>20.191200000000009</v>
      </c>
      <c r="F1941" s="2">
        <f t="shared" si="2040"/>
        <v>19.738400000000002</v>
      </c>
      <c r="G1941" s="2">
        <f t="shared" si="2042"/>
        <v>19.739799999999992</v>
      </c>
      <c r="H1941" s="2">
        <f t="shared" si="2043"/>
        <v>-2.7657070177777854E-3</v>
      </c>
      <c r="I1941" s="2">
        <f t="shared" ref="I1941:J1941" si="2060">LN(C1940)-LN(C1939)</f>
        <v>4.602808625281618E-3</v>
      </c>
      <c r="J1941" s="2">
        <f t="shared" si="2060"/>
        <v>-5.7100453058959721E-3</v>
      </c>
    </row>
    <row r="1942" spans="1:10" x14ac:dyDescent="0.45">
      <c r="A1942" s="1">
        <v>43003</v>
      </c>
      <c r="B1942">
        <v>52.22</v>
      </c>
      <c r="C1942">
        <v>1.8494999999999999</v>
      </c>
      <c r="D1942">
        <v>1.6674</v>
      </c>
      <c r="E1942" s="2">
        <f t="shared" si="2038"/>
        <v>20.360200000000003</v>
      </c>
      <c r="F1942" s="2">
        <f t="shared" si="2040"/>
        <v>20.191200000000009</v>
      </c>
      <c r="G1942" s="2">
        <f t="shared" si="2042"/>
        <v>19.738400000000002</v>
      </c>
      <c r="H1942" s="2">
        <f t="shared" si="2043"/>
        <v>2.1736991070486766E-3</v>
      </c>
      <c r="I1942" s="2">
        <f t="shared" ref="I1942:J1942" si="2061">LN(C1941)-LN(C1940)</f>
        <v>6.6371683852439745E-4</v>
      </c>
      <c r="J1942" s="2">
        <f t="shared" si="2061"/>
        <v>1.2064365091964624E-2</v>
      </c>
    </row>
    <row r="1943" spans="1:10" x14ac:dyDescent="0.45">
      <c r="A1943" s="1">
        <v>43004</v>
      </c>
      <c r="B1943">
        <v>51.88</v>
      </c>
      <c r="C1943">
        <v>1.8384</v>
      </c>
      <c r="D1943">
        <v>1.6491</v>
      </c>
      <c r="E1943" s="2">
        <f t="shared" si="2038"/>
        <v>20.032400000000006</v>
      </c>
      <c r="F1943" s="2">
        <f t="shared" si="2040"/>
        <v>20.360200000000003</v>
      </c>
      <c r="G1943" s="2">
        <f t="shared" si="2042"/>
        <v>20.191200000000009</v>
      </c>
      <c r="H1943" s="2">
        <f t="shared" si="2043"/>
        <v>3.0328918697454021E-2</v>
      </c>
      <c r="I1943" s="2">
        <f t="shared" ref="I1943:J1943" si="2062">LN(C1942)-LN(C1941)</f>
        <v>2.2362266966128863E-2</v>
      </c>
      <c r="J1943" s="2">
        <f t="shared" si="2062"/>
        <v>2.5081017144836237E-2</v>
      </c>
    </row>
    <row r="1944" spans="1:10" x14ac:dyDescent="0.45">
      <c r="A1944" s="1">
        <v>43005</v>
      </c>
      <c r="B1944">
        <v>52.14</v>
      </c>
      <c r="C1944">
        <v>1.839</v>
      </c>
      <c r="D1944">
        <v>1.6220000000000001</v>
      </c>
      <c r="E1944" s="2">
        <f t="shared" si="2038"/>
        <v>19.022000000000002</v>
      </c>
      <c r="F1944" s="2">
        <f t="shared" si="2040"/>
        <v>20.032400000000006</v>
      </c>
      <c r="G1944" s="2">
        <f t="shared" si="2042"/>
        <v>20.360200000000003</v>
      </c>
      <c r="H1944" s="2">
        <f t="shared" si="2043"/>
        <v>-6.5322038227400014E-3</v>
      </c>
      <c r="I1944" s="2">
        <f t="shared" ref="I1944:J1944" si="2063">LN(C1943)-LN(C1942)</f>
        <v>-6.0197041780173377E-3</v>
      </c>
      <c r="J1944" s="2">
        <f t="shared" si="2063"/>
        <v>-1.1035842441788679E-2</v>
      </c>
    </row>
    <row r="1945" spans="1:10" x14ac:dyDescent="0.45">
      <c r="A1945" s="1">
        <v>43006</v>
      </c>
      <c r="B1945">
        <v>51.56</v>
      </c>
      <c r="C1945">
        <v>1.8243</v>
      </c>
      <c r="D1945">
        <v>1.6148</v>
      </c>
      <c r="E1945" s="2">
        <f t="shared" si="2038"/>
        <v>19.194599999999998</v>
      </c>
      <c r="F1945" s="2">
        <f t="shared" si="2040"/>
        <v>19.022000000000002</v>
      </c>
      <c r="G1945" s="2">
        <f t="shared" si="2042"/>
        <v>20.032400000000006</v>
      </c>
      <c r="H1945" s="2">
        <f t="shared" si="2043"/>
        <v>4.9990490571127921E-3</v>
      </c>
      <c r="I1945" s="2">
        <f t="shared" ref="I1945:J1945" si="2064">LN(C1944)-LN(C1943)</f>
        <v>3.2631750982980989E-4</v>
      </c>
      <c r="J1945" s="2">
        <f t="shared" si="2064"/>
        <v>-1.6569728859366084E-2</v>
      </c>
    </row>
    <row r="1946" spans="1:10" x14ac:dyDescent="0.45">
      <c r="A1946" s="1">
        <v>43007</v>
      </c>
      <c r="B1946">
        <v>51.67</v>
      </c>
      <c r="C1946">
        <v>1.81</v>
      </c>
      <c r="D1946">
        <v>1.591</v>
      </c>
      <c r="E1946" s="2">
        <f t="shared" si="2038"/>
        <v>18.218</v>
      </c>
      <c r="F1946" s="2">
        <f t="shared" si="2040"/>
        <v>19.194599999999998</v>
      </c>
      <c r="G1946" s="2">
        <f t="shared" si="2042"/>
        <v>19.022000000000002</v>
      </c>
      <c r="H1946" s="2">
        <f t="shared" si="2043"/>
        <v>-1.1186230434369282E-2</v>
      </c>
      <c r="I1946" s="2">
        <f t="shared" ref="I1946:J1946" si="2065">LN(C1945)-LN(C1944)</f>
        <v>-8.0255938101473356E-3</v>
      </c>
      <c r="J1946" s="2">
        <f t="shared" si="2065"/>
        <v>-4.448845696572501E-3</v>
      </c>
    </row>
    <row r="1947" spans="1:10" x14ac:dyDescent="0.45">
      <c r="A1947" s="1">
        <v>43010</v>
      </c>
      <c r="B1947">
        <v>50.58</v>
      </c>
      <c r="C1947">
        <v>1.7665</v>
      </c>
      <c r="D1947">
        <v>1.5552999999999999</v>
      </c>
      <c r="E1947" s="2">
        <f t="shared" si="2038"/>
        <v>17.699399999999986</v>
      </c>
      <c r="F1947" s="2">
        <f t="shared" si="2040"/>
        <v>18.218</v>
      </c>
      <c r="G1947" s="2">
        <f t="shared" si="2042"/>
        <v>19.194599999999998</v>
      </c>
      <c r="H1947" s="2">
        <f t="shared" si="2043"/>
        <v>2.1311642281069965E-3</v>
      </c>
      <c r="I1947" s="2">
        <f t="shared" ref="I1947:J1947" si="2066">LN(C1946)-LN(C1945)</f>
        <v>-7.8695065343022952E-3</v>
      </c>
      <c r="J1947" s="2">
        <f t="shared" si="2066"/>
        <v>-1.4848360640998925E-2</v>
      </c>
    </row>
    <row r="1948" spans="1:10" x14ac:dyDescent="0.45">
      <c r="A1948" s="1">
        <v>43011</v>
      </c>
      <c r="B1948">
        <v>50.42</v>
      </c>
      <c r="C1948">
        <v>1.7504999999999999</v>
      </c>
      <c r="D1948">
        <v>1.5654999999999999</v>
      </c>
      <c r="E1948" s="2">
        <f t="shared" si="2038"/>
        <v>17.920999999999992</v>
      </c>
      <c r="F1948" s="2">
        <f t="shared" si="2040"/>
        <v>17.699399999999986</v>
      </c>
      <c r="G1948" s="2">
        <f t="shared" si="2042"/>
        <v>18.218</v>
      </c>
      <c r="H1948" s="2">
        <f t="shared" si="2043"/>
        <v>-2.1321101057274472E-2</v>
      </c>
      <c r="I1948" s="2">
        <f t="shared" ref="I1948:J1948" si="2067">LN(C1947)-LN(C1946)</f>
        <v>-2.432665746067153E-2</v>
      </c>
      <c r="J1948" s="2">
        <f t="shared" si="2067"/>
        <v>-2.2694296287272486E-2</v>
      </c>
    </row>
    <row r="1949" spans="1:10" x14ac:dyDescent="0.45">
      <c r="A1949" s="1">
        <v>43012</v>
      </c>
      <c r="B1949">
        <v>49.98</v>
      </c>
      <c r="C1949">
        <v>1.7739</v>
      </c>
      <c r="D1949">
        <v>1.5805</v>
      </c>
      <c r="E1949" s="2">
        <f t="shared" si="2038"/>
        <v>19.108600000000006</v>
      </c>
      <c r="F1949" s="2">
        <f t="shared" si="2040"/>
        <v>17.920999999999992</v>
      </c>
      <c r="G1949" s="2">
        <f t="shared" si="2042"/>
        <v>17.699399999999986</v>
      </c>
      <c r="H1949" s="2">
        <f t="shared" si="2043"/>
        <v>-3.1683194820453231E-3</v>
      </c>
      <c r="I1949" s="2">
        <f t="shared" ref="I1949:J1949" si="2068">LN(C1948)-LN(C1947)</f>
        <v>-9.0987264044796179E-3</v>
      </c>
      <c r="J1949" s="2">
        <f t="shared" si="2068"/>
        <v>6.5368087159459187E-3</v>
      </c>
    </row>
    <row r="1950" spans="1:10" x14ac:dyDescent="0.45">
      <c r="A1950" s="1">
        <v>43013</v>
      </c>
      <c r="B1950">
        <v>50.79</v>
      </c>
      <c r="C1950">
        <v>1.7863</v>
      </c>
      <c r="D1950">
        <v>1.6113999999999999</v>
      </c>
      <c r="E1950" s="2">
        <f t="shared" si="2038"/>
        <v>19.337400000000002</v>
      </c>
      <c r="F1950" s="2">
        <f t="shared" si="2040"/>
        <v>19.108600000000006</v>
      </c>
      <c r="G1950" s="2">
        <f t="shared" si="2042"/>
        <v>17.920999999999992</v>
      </c>
      <c r="H1950" s="2">
        <f t="shared" si="2043"/>
        <v>-8.7649963529674579E-3</v>
      </c>
      <c r="I1950" s="2">
        <f t="shared" ref="I1950:J1950" si="2069">LN(C1949)-LN(C1948)</f>
        <v>1.3279051100173689E-2</v>
      </c>
      <c r="J1950" s="2">
        <f t="shared" si="2069"/>
        <v>9.5359908892121426E-3</v>
      </c>
    </row>
    <row r="1951" spans="1:10" x14ac:dyDescent="0.45">
      <c r="A1951" s="1">
        <v>43014</v>
      </c>
      <c r="B1951">
        <v>49.29</v>
      </c>
      <c r="C1951">
        <v>1.7439</v>
      </c>
      <c r="D1951">
        <v>1.5588</v>
      </c>
      <c r="E1951" s="2">
        <f t="shared" si="2038"/>
        <v>18.770999999999997</v>
      </c>
      <c r="F1951" s="2">
        <f t="shared" si="2040"/>
        <v>19.337400000000002</v>
      </c>
      <c r="G1951" s="2">
        <f t="shared" si="2042"/>
        <v>19.108600000000006</v>
      </c>
      <c r="H1951" s="2">
        <f t="shared" si="2043"/>
        <v>1.6076559406347446E-2</v>
      </c>
      <c r="I1951" s="2">
        <f t="shared" ref="I1951:J1951" si="2070">LN(C1950)-LN(C1949)</f>
        <v>6.9659289599448559E-3</v>
      </c>
      <c r="J1951" s="2">
        <f t="shared" si="2070"/>
        <v>1.9362113687423133E-2</v>
      </c>
    </row>
    <row r="1952" spans="1:10" x14ac:dyDescent="0.45">
      <c r="A1952" s="1">
        <v>43017</v>
      </c>
      <c r="B1952">
        <v>49.58</v>
      </c>
      <c r="C1952">
        <v>1.7352000000000001</v>
      </c>
      <c r="D1952">
        <v>1.5593999999999999</v>
      </c>
      <c r="E1952" s="2">
        <f t="shared" si="2038"/>
        <v>18.375999999999994</v>
      </c>
      <c r="F1952" s="2">
        <f t="shared" si="2040"/>
        <v>18.770999999999997</v>
      </c>
      <c r="G1952" s="2">
        <f t="shared" si="2042"/>
        <v>19.337400000000002</v>
      </c>
      <c r="H1952" s="2">
        <f t="shared" si="2043"/>
        <v>-2.9978264095867235E-2</v>
      </c>
      <c r="I1952" s="2">
        <f t="shared" ref="I1952:J1952" si="2071">LN(C1951)-LN(C1950)</f>
        <v>-2.4022457079424298E-2</v>
      </c>
      <c r="J1952" s="2">
        <f t="shared" si="2071"/>
        <v>-3.3187071878541419E-2</v>
      </c>
    </row>
    <row r="1953" spans="1:10" x14ac:dyDescent="0.45">
      <c r="A1953" s="1">
        <v>43018</v>
      </c>
      <c r="B1953">
        <v>50.92</v>
      </c>
      <c r="C1953">
        <v>1.7648999999999999</v>
      </c>
      <c r="D1953">
        <v>1.5914999999999999</v>
      </c>
      <c r="E1953" s="2">
        <f t="shared" si="2038"/>
        <v>18.350599999999996</v>
      </c>
      <c r="F1953" s="2">
        <f t="shared" si="2040"/>
        <v>18.375999999999994</v>
      </c>
      <c r="G1953" s="2">
        <f t="shared" si="2042"/>
        <v>18.770999999999997</v>
      </c>
      <c r="H1953" s="2">
        <f t="shared" si="2043"/>
        <v>5.8663058897581166E-3</v>
      </c>
      <c r="I1953" s="2">
        <f t="shared" ref="I1953:J1953" si="2072">LN(C1952)-LN(C1951)</f>
        <v>-5.001303862749884E-3</v>
      </c>
      <c r="J1953" s="2">
        <f t="shared" si="2072"/>
        <v>3.8483741094536006E-4</v>
      </c>
    </row>
    <row r="1954" spans="1:10" x14ac:dyDescent="0.45">
      <c r="A1954" s="1">
        <v>43019</v>
      </c>
      <c r="B1954">
        <v>51.3</v>
      </c>
      <c r="C1954">
        <v>1.7861</v>
      </c>
      <c r="D1954">
        <v>1.6092</v>
      </c>
      <c r="E1954" s="2">
        <f t="shared" si="2038"/>
        <v>18.763000000000005</v>
      </c>
      <c r="F1954" s="2">
        <f t="shared" si="2040"/>
        <v>18.350599999999996</v>
      </c>
      <c r="G1954" s="2">
        <f t="shared" si="2042"/>
        <v>18.375999999999994</v>
      </c>
      <c r="H1954" s="2">
        <f t="shared" si="2043"/>
        <v>2.6668247082161312E-2</v>
      </c>
      <c r="I1954" s="2">
        <f t="shared" ref="I1954:J1954" si="2073">LN(C1953)-LN(C1952)</f>
        <v>1.697135102585523E-2</v>
      </c>
      <c r="J1954" s="2">
        <f t="shared" si="2073"/>
        <v>2.0375835846647983E-2</v>
      </c>
    </row>
    <row r="1955" spans="1:10" x14ac:dyDescent="0.45">
      <c r="A1955" s="1">
        <v>43020</v>
      </c>
      <c r="B1955">
        <v>50.6</v>
      </c>
      <c r="C1955">
        <v>1.7655000000000001</v>
      </c>
      <c r="D1955">
        <v>1.5831999999999999</v>
      </c>
      <c r="E1955" s="2">
        <f t="shared" si="2038"/>
        <v>18.446599999999989</v>
      </c>
      <c r="F1955" s="2">
        <f t="shared" si="2040"/>
        <v>18.763000000000005</v>
      </c>
      <c r="G1955" s="2">
        <f t="shared" si="2042"/>
        <v>18.350599999999996</v>
      </c>
      <c r="H1955" s="2">
        <f t="shared" si="2043"/>
        <v>7.4349784875180625E-3</v>
      </c>
      <c r="I1955" s="2">
        <f t="shared" ref="I1955:J1955" si="2074">LN(C1954)-LN(C1953)</f>
        <v>1.1940440371917993E-2</v>
      </c>
      <c r="J1955" s="2">
        <f t="shared" si="2074"/>
        <v>1.1060193353485626E-2</v>
      </c>
    </row>
    <row r="1956" spans="1:10" x14ac:dyDescent="0.45">
      <c r="A1956" s="1">
        <v>43021</v>
      </c>
      <c r="B1956">
        <v>51.45</v>
      </c>
      <c r="C1956">
        <v>1.7969999999999999</v>
      </c>
      <c r="D1956">
        <v>1.6222000000000001</v>
      </c>
      <c r="E1956" s="2">
        <f t="shared" si="2038"/>
        <v>19.1296</v>
      </c>
      <c r="F1956" s="2">
        <f t="shared" si="2040"/>
        <v>18.446599999999989</v>
      </c>
      <c r="G1956" s="2">
        <f t="shared" si="2042"/>
        <v>18.763000000000005</v>
      </c>
      <c r="H1956" s="2">
        <f t="shared" si="2043"/>
        <v>-1.3739175883304089E-2</v>
      </c>
      <c r="I1956" s="2">
        <f t="shared" ref="I1956:J1956" si="2075">LN(C1955)-LN(C1954)</f>
        <v>-1.1600535541996693E-2</v>
      </c>
      <c r="J1956" s="2">
        <f t="shared" si="2075"/>
        <v>-1.628904578727719E-2</v>
      </c>
    </row>
    <row r="1957" spans="1:10" x14ac:dyDescent="0.45">
      <c r="A1957" s="1">
        <v>43024</v>
      </c>
      <c r="B1957">
        <v>51.87</v>
      </c>
      <c r="C1957">
        <v>1.8129</v>
      </c>
      <c r="D1957">
        <v>1.6169</v>
      </c>
      <c r="E1957" s="2">
        <f t="shared" si="2038"/>
        <v>18.783800000000014</v>
      </c>
      <c r="F1957" s="2">
        <f t="shared" si="2040"/>
        <v>19.1296</v>
      </c>
      <c r="G1957" s="2">
        <f t="shared" si="2042"/>
        <v>18.446599999999989</v>
      </c>
      <c r="H1957" s="2">
        <f t="shared" si="2043"/>
        <v>1.6658885986638783E-2</v>
      </c>
      <c r="I1957" s="2">
        <f t="shared" ref="I1957:J1957" si="2076">LN(C1956)-LN(C1955)</f>
        <v>1.768467141511787E-2</v>
      </c>
      <c r="J1957" s="2">
        <f t="shared" si="2076"/>
        <v>2.4335137347888447E-2</v>
      </c>
    </row>
    <row r="1958" spans="1:10" x14ac:dyDescent="0.45">
      <c r="A1958" s="1">
        <v>43025</v>
      </c>
      <c r="B1958">
        <v>52.11</v>
      </c>
      <c r="C1958">
        <v>1.8098000000000001</v>
      </c>
      <c r="D1958">
        <v>1.6123000000000001</v>
      </c>
      <c r="E1958" s="2">
        <f t="shared" si="2038"/>
        <v>18.371600000000001</v>
      </c>
      <c r="F1958" s="2">
        <f t="shared" si="2040"/>
        <v>18.783800000000014</v>
      </c>
      <c r="G1958" s="2">
        <f t="shared" si="2042"/>
        <v>19.1296</v>
      </c>
      <c r="H1958" s="2">
        <f t="shared" si="2043"/>
        <v>8.1301260832500333E-3</v>
      </c>
      <c r="I1958" s="2">
        <f t="shared" ref="I1958:J1958" si="2077">LN(C1957)-LN(C1956)</f>
        <v>8.8091652520634334E-3</v>
      </c>
      <c r="J1958" s="2">
        <f t="shared" si="2077"/>
        <v>-3.2725168904754742E-3</v>
      </c>
    </row>
    <row r="1959" spans="1:10" x14ac:dyDescent="0.45">
      <c r="A1959" s="1">
        <v>43026</v>
      </c>
      <c r="B1959">
        <v>52.26</v>
      </c>
      <c r="C1959">
        <v>1.8037000000000001</v>
      </c>
      <c r="D1959">
        <v>1.619</v>
      </c>
      <c r="E1959" s="2">
        <f t="shared" si="2038"/>
        <v>18.323800000000006</v>
      </c>
      <c r="F1959" s="2">
        <f t="shared" si="2040"/>
        <v>18.371600000000001</v>
      </c>
      <c r="G1959" s="2">
        <f t="shared" si="2042"/>
        <v>18.783800000000014</v>
      </c>
      <c r="H1959" s="2">
        <f t="shared" si="2043"/>
        <v>4.6162805578147115E-3</v>
      </c>
      <c r="I1959" s="2">
        <f t="shared" ref="I1959:J1959" si="2078">LN(C1958)-LN(C1957)</f>
        <v>-1.7114311185896236E-3</v>
      </c>
      <c r="J1959" s="2">
        <f t="shared" si="2078"/>
        <v>-2.8490047760747483E-3</v>
      </c>
    </row>
    <row r="1960" spans="1:10" x14ac:dyDescent="0.45">
      <c r="A1960" s="1">
        <v>43027</v>
      </c>
      <c r="B1960">
        <v>51.51</v>
      </c>
      <c r="C1960">
        <v>1.7778</v>
      </c>
      <c r="D1960">
        <v>1.6153999999999999</v>
      </c>
      <c r="E1960" s="2">
        <f t="shared" si="2038"/>
        <v>18.610399999999998</v>
      </c>
      <c r="F1960" s="2">
        <f t="shared" si="2040"/>
        <v>18.323800000000006</v>
      </c>
      <c r="G1960" s="2">
        <f t="shared" si="2042"/>
        <v>18.371600000000001</v>
      </c>
      <c r="H1960" s="2">
        <f t="shared" si="2043"/>
        <v>2.874391171343138E-3</v>
      </c>
      <c r="I1960" s="2">
        <f t="shared" ref="I1960:J1960" si="2079">LN(C1959)-LN(C1958)</f>
        <v>-3.3762312408792683E-3</v>
      </c>
      <c r="J1960" s="2">
        <f t="shared" si="2079"/>
        <v>4.1469437079409976E-3</v>
      </c>
    </row>
    <row r="1961" spans="1:10" x14ac:dyDescent="0.45">
      <c r="A1961" s="1">
        <v>43028</v>
      </c>
      <c r="B1961">
        <v>51.84</v>
      </c>
      <c r="C1961">
        <v>1.8053999999999999</v>
      </c>
      <c r="D1961">
        <v>1.6435</v>
      </c>
      <c r="E1961" s="2">
        <f t="shared" si="2038"/>
        <v>19.453599999999994</v>
      </c>
      <c r="F1961" s="2">
        <f t="shared" si="2040"/>
        <v>18.610399999999998</v>
      </c>
      <c r="G1961" s="2">
        <f t="shared" si="2042"/>
        <v>18.323800000000006</v>
      </c>
      <c r="H1961" s="2">
        <f t="shared" si="2043"/>
        <v>-1.4455296514972904E-2</v>
      </c>
      <c r="I1961" s="2">
        <f t="shared" ref="I1961:J1961" si="2080">LN(C1960)-LN(C1959)</f>
        <v>-1.4463465868579051E-2</v>
      </c>
      <c r="J1961" s="2">
        <f t="shared" si="2080"/>
        <v>-2.2260706694392507E-3</v>
      </c>
    </row>
    <row r="1962" spans="1:10" x14ac:dyDescent="0.45">
      <c r="A1962" s="1">
        <v>43031</v>
      </c>
      <c r="B1962">
        <v>51.9</v>
      </c>
      <c r="C1962">
        <v>1.7896000000000001</v>
      </c>
      <c r="D1962">
        <v>1.639</v>
      </c>
      <c r="E1962" s="2">
        <f t="shared" si="2038"/>
        <v>19.046400000000006</v>
      </c>
      <c r="F1962" s="2">
        <f t="shared" si="2040"/>
        <v>19.453599999999994</v>
      </c>
      <c r="G1962" s="2">
        <f t="shared" si="2042"/>
        <v>18.610399999999998</v>
      </c>
      <c r="H1962" s="2">
        <f t="shared" si="2043"/>
        <v>6.3860884665256634E-3</v>
      </c>
      <c r="I1962" s="2">
        <f t="shared" ref="I1962:J1962" si="2081">LN(C1961)-LN(C1960)</f>
        <v>1.5405529056479961E-2</v>
      </c>
      <c r="J1962" s="2">
        <f t="shared" si="2081"/>
        <v>1.7245510096078165E-2</v>
      </c>
    </row>
    <row r="1963" spans="1:10" x14ac:dyDescent="0.45">
      <c r="A1963" s="1">
        <v>43032</v>
      </c>
      <c r="B1963">
        <v>52.47</v>
      </c>
      <c r="C1963">
        <v>1.8226</v>
      </c>
      <c r="D1963">
        <v>1.6734</v>
      </c>
      <c r="E1963" s="2">
        <f t="shared" si="2038"/>
        <v>19.901600000000002</v>
      </c>
      <c r="F1963" s="2">
        <f t="shared" si="2040"/>
        <v>19.046400000000006</v>
      </c>
      <c r="G1963" s="2">
        <f t="shared" si="2042"/>
        <v>19.453599999999994</v>
      </c>
      <c r="H1963" s="2">
        <f t="shared" si="2043"/>
        <v>1.1567381278236866E-3</v>
      </c>
      <c r="I1963" s="2">
        <f t="shared" ref="I1963:J1963" si="2082">LN(C1962)-LN(C1961)</f>
        <v>-8.7900426881346583E-3</v>
      </c>
      <c r="J1963" s="2">
        <f t="shared" si="2082"/>
        <v>-2.7418143604443501E-3</v>
      </c>
    </row>
    <row r="1964" spans="1:10" x14ac:dyDescent="0.45">
      <c r="A1964" s="1">
        <v>43033</v>
      </c>
      <c r="B1964">
        <v>52.18</v>
      </c>
      <c r="C1964">
        <v>1.8183</v>
      </c>
      <c r="D1964">
        <v>1.6860999999999999</v>
      </c>
      <c r="E1964" s="2">
        <f t="shared" si="2038"/>
        <v>20.486999999999995</v>
      </c>
      <c r="F1964" s="2">
        <f t="shared" si="2040"/>
        <v>19.901600000000002</v>
      </c>
      <c r="G1964" s="2">
        <f t="shared" si="2042"/>
        <v>19.046400000000006</v>
      </c>
      <c r="H1964" s="2">
        <f t="shared" si="2043"/>
        <v>1.0922787526777444E-2</v>
      </c>
      <c r="I1964" s="2">
        <f t="shared" ref="I1964:J1964" si="2083">LN(C1963)-LN(C1962)</f>
        <v>1.8271921886106601E-2</v>
      </c>
      <c r="J1964" s="2">
        <f t="shared" si="2083"/>
        <v>2.0771185117668567E-2</v>
      </c>
    </row>
    <row r="1965" spans="1:10" x14ac:dyDescent="0.45">
      <c r="A1965" s="1">
        <v>43034</v>
      </c>
      <c r="B1965">
        <v>52.64</v>
      </c>
      <c r="C1965">
        <v>1.8408</v>
      </c>
      <c r="D1965">
        <v>1.7017</v>
      </c>
      <c r="E1965" s="2">
        <f t="shared" si="2038"/>
        <v>20.77879999999999</v>
      </c>
      <c r="F1965" s="2">
        <f t="shared" si="2040"/>
        <v>20.486999999999995</v>
      </c>
      <c r="G1965" s="2">
        <f t="shared" si="2042"/>
        <v>19.901600000000002</v>
      </c>
      <c r="H1965" s="2">
        <f t="shared" si="2043"/>
        <v>-5.5422979900381364E-3</v>
      </c>
      <c r="I1965" s="2">
        <f t="shared" ref="I1965:J1965" si="2084">LN(C1964)-LN(C1963)</f>
        <v>-2.3620544366773633E-3</v>
      </c>
      <c r="J1965" s="2">
        <f t="shared" si="2084"/>
        <v>7.5606849224366668E-3</v>
      </c>
    </row>
    <row r="1966" spans="1:10" x14ac:dyDescent="0.45">
      <c r="A1966" s="1">
        <v>43035</v>
      </c>
      <c r="B1966">
        <v>53.9</v>
      </c>
      <c r="C1966">
        <v>1.8662000000000001</v>
      </c>
      <c r="D1966">
        <v>1.7174</v>
      </c>
      <c r="E1966" s="2">
        <f t="shared" si="2038"/>
        <v>20.314000000000011</v>
      </c>
      <c r="F1966" s="2">
        <f t="shared" si="2040"/>
        <v>20.77879999999999</v>
      </c>
      <c r="G1966" s="2">
        <f t="shared" si="2042"/>
        <v>20.486999999999995</v>
      </c>
      <c r="H1966" s="2">
        <f t="shared" si="2043"/>
        <v>8.777007308479412E-3</v>
      </c>
      <c r="I1966" s="2">
        <f t="shared" ref="I1966:J1966" si="2085">LN(C1965)-LN(C1964)</f>
        <v>1.2298261095807006E-2</v>
      </c>
      <c r="J1966" s="2">
        <f t="shared" si="2085"/>
        <v>9.2095815934560843E-3</v>
      </c>
    </row>
    <row r="1967" spans="1:10" x14ac:dyDescent="0.45">
      <c r="A1967" s="1">
        <v>43038</v>
      </c>
      <c r="B1967">
        <v>54.15</v>
      </c>
      <c r="C1967">
        <v>1.8762000000000001</v>
      </c>
      <c r="D1967">
        <v>1.7132000000000001</v>
      </c>
      <c r="E1967" s="2">
        <f t="shared" si="2038"/>
        <v>20.086400000000008</v>
      </c>
      <c r="F1967" s="2">
        <f t="shared" si="2040"/>
        <v>20.314000000000011</v>
      </c>
      <c r="G1967" s="2">
        <f t="shared" si="2042"/>
        <v>20.77879999999999</v>
      </c>
      <c r="H1967" s="2">
        <f t="shared" si="2043"/>
        <v>2.365419089788956E-2</v>
      </c>
      <c r="I1967" s="2">
        <f t="shared" ref="I1967:J1967" si="2086">LN(C1966)-LN(C1965)</f>
        <v>1.3704018078765534E-2</v>
      </c>
      <c r="J1967" s="2">
        <f t="shared" si="2086"/>
        <v>9.183767860993397E-3</v>
      </c>
    </row>
    <row r="1968" spans="1:10" x14ac:dyDescent="0.45">
      <c r="A1968" s="1">
        <v>43039</v>
      </c>
      <c r="B1968">
        <v>54.38</v>
      </c>
      <c r="C1968">
        <v>1.8805000000000001</v>
      </c>
      <c r="D1968">
        <v>1.7324999999999999</v>
      </c>
      <c r="E1968" s="2">
        <f t="shared" si="2038"/>
        <v>20.457000000000004</v>
      </c>
      <c r="F1968" s="2">
        <f t="shared" si="2040"/>
        <v>20.086400000000008</v>
      </c>
      <c r="G1968" s="2">
        <f t="shared" si="2042"/>
        <v>20.314000000000011</v>
      </c>
      <c r="H1968" s="2">
        <f t="shared" si="2043"/>
        <v>4.6274955320484423E-3</v>
      </c>
      <c r="I1968" s="2">
        <f t="shared" ref="I1968:J1968" si="2087">LN(C1967)-LN(C1966)</f>
        <v>5.3441768919290089E-3</v>
      </c>
      <c r="J1968" s="2">
        <f t="shared" si="2087"/>
        <v>-2.4485524971684658E-3</v>
      </c>
    </row>
    <row r="1969" spans="1:16" x14ac:dyDescent="0.45">
      <c r="A1969" s="1">
        <v>43040</v>
      </c>
      <c r="B1969">
        <v>54.3</v>
      </c>
      <c r="C1969">
        <v>1.8625</v>
      </c>
      <c r="D1969">
        <v>1.7410000000000001</v>
      </c>
      <c r="E1969" s="2">
        <f t="shared" si="2038"/>
        <v>20.523000000000007</v>
      </c>
      <c r="F1969" s="2">
        <f t="shared" si="2040"/>
        <v>20.457000000000004</v>
      </c>
      <c r="G1969" s="2">
        <f t="shared" si="2042"/>
        <v>20.086400000000008</v>
      </c>
      <c r="H1969" s="2">
        <f t="shared" si="2043"/>
        <v>4.2384657573251161E-3</v>
      </c>
      <c r="I1969" s="2">
        <f t="shared" ref="I1969:J1969" si="2088">LN(C1968)-LN(C1967)</f>
        <v>2.2892442185404871E-3</v>
      </c>
      <c r="J1969" s="2">
        <f t="shared" si="2088"/>
        <v>1.1202485322842293E-2</v>
      </c>
    </row>
    <row r="1970" spans="1:16" x14ac:dyDescent="0.45">
      <c r="A1970" s="1">
        <v>43041</v>
      </c>
      <c r="B1970">
        <v>54.54</v>
      </c>
      <c r="C1970">
        <v>1.8539000000000001</v>
      </c>
      <c r="D1970">
        <v>1.7697000000000001</v>
      </c>
      <c r="E1970" s="2">
        <f t="shared" si="2038"/>
        <v>20.966199999999997</v>
      </c>
      <c r="F1970" s="2">
        <f t="shared" si="2040"/>
        <v>20.523000000000007</v>
      </c>
      <c r="G1970" s="2">
        <f t="shared" si="2042"/>
        <v>20.457000000000004</v>
      </c>
      <c r="H1970" s="2">
        <f t="shared" si="2043"/>
        <v>-1.4722122644350577E-3</v>
      </c>
      <c r="I1970" s="2">
        <f t="shared" ref="I1970:J1970" si="2089">LN(C1969)-LN(C1968)</f>
        <v>-9.6180276566765199E-3</v>
      </c>
      <c r="J1970" s="2">
        <f t="shared" si="2089"/>
        <v>4.8942087041308202E-3</v>
      </c>
    </row>
    <row r="1971" spans="1:16" x14ac:dyDescent="0.45">
      <c r="A1971" s="1">
        <v>43042</v>
      </c>
      <c r="B1971">
        <v>55.64</v>
      </c>
      <c r="C1971">
        <v>1.8866000000000001</v>
      </c>
      <c r="D1971">
        <v>1.7934000000000001</v>
      </c>
      <c r="E1971" s="2">
        <f t="shared" si="2038"/>
        <v>20.987599999999997</v>
      </c>
      <c r="F1971" s="2">
        <f t="shared" si="2040"/>
        <v>20.966199999999997</v>
      </c>
      <c r="G1971" s="2">
        <f t="shared" si="2042"/>
        <v>20.523000000000007</v>
      </c>
      <c r="H1971" s="2">
        <f t="shared" si="2043"/>
        <v>4.4101504775526656E-3</v>
      </c>
      <c r="I1971" s="2">
        <f t="shared" ref="I1971:J1971" si="2090">LN(C1970)-LN(C1969)</f>
        <v>-4.6281430151678959E-3</v>
      </c>
      <c r="J1971" s="2">
        <f t="shared" si="2090"/>
        <v>1.6350379908950274E-2</v>
      </c>
    </row>
    <row r="1972" spans="1:16" x14ac:dyDescent="0.45">
      <c r="A1972" s="1">
        <v>43045</v>
      </c>
      <c r="B1972">
        <v>57.35</v>
      </c>
      <c r="C1972">
        <v>1.9421999999999999</v>
      </c>
      <c r="D1972">
        <v>1.83</v>
      </c>
      <c r="E1972" s="2">
        <f t="shared" si="2038"/>
        <v>21.080799999999993</v>
      </c>
      <c r="F1972" s="2">
        <f t="shared" si="2040"/>
        <v>20.987599999999997</v>
      </c>
      <c r="G1972" s="2">
        <f t="shared" si="2042"/>
        <v>20.966199999999997</v>
      </c>
      <c r="H1972" s="2">
        <f t="shared" si="2043"/>
        <v>1.9967989637799555E-2</v>
      </c>
      <c r="I1972" s="2">
        <f t="shared" ref="I1972:J1972" si="2091">LN(C1971)-LN(C1970)</f>
        <v>1.7484738977206149E-2</v>
      </c>
      <c r="J1972" s="2">
        <f t="shared" si="2091"/>
        <v>1.3303218840807873E-2</v>
      </c>
    </row>
    <row r="1973" spans="1:16" x14ac:dyDescent="0.45">
      <c r="A1973" s="1">
        <v>43046</v>
      </c>
      <c r="B1973">
        <v>57.2</v>
      </c>
      <c r="C1973">
        <v>1.9218999999999999</v>
      </c>
      <c r="D1973">
        <v>1.8152999999999999</v>
      </c>
      <c r="E1973" s="2">
        <f t="shared" si="2038"/>
        <v>20.534999999999986</v>
      </c>
      <c r="F1973" s="2">
        <f t="shared" si="2040"/>
        <v>21.080799999999993</v>
      </c>
      <c r="G1973" s="2">
        <f t="shared" si="2042"/>
        <v>20.987599999999997</v>
      </c>
      <c r="H1973" s="2">
        <f t="shared" si="2043"/>
        <v>3.0270476520137812E-2</v>
      </c>
      <c r="I1973" s="2">
        <f t="shared" ref="I1973:J1973" si="2092">LN(C1972)-LN(C1971)</f>
        <v>2.9045083944500782E-2</v>
      </c>
      <c r="J1973" s="2">
        <f t="shared" si="2092"/>
        <v>2.0202707317519386E-2</v>
      </c>
    </row>
    <row r="1974" spans="1:16" x14ac:dyDescent="0.45">
      <c r="A1974" s="1">
        <v>43047</v>
      </c>
      <c r="B1974">
        <v>56.81</v>
      </c>
      <c r="C1974">
        <v>1.9216</v>
      </c>
      <c r="D1974">
        <v>1.8212999999999999</v>
      </c>
      <c r="E1974" s="2">
        <f t="shared" si="2038"/>
        <v>21.088799999999992</v>
      </c>
      <c r="F1974" s="2">
        <f t="shared" si="2040"/>
        <v>20.534999999999986</v>
      </c>
      <c r="G1974" s="2">
        <f t="shared" si="2042"/>
        <v>21.080799999999993</v>
      </c>
      <c r="H1974" s="2">
        <f t="shared" si="2043"/>
        <v>-2.6189451896279081E-3</v>
      </c>
      <c r="I1974" s="2">
        <f t="shared" ref="I1974:J1974" si="2093">LN(C1973)-LN(C1972)</f>
        <v>-1.0507071119894684E-2</v>
      </c>
      <c r="J1974" s="2">
        <f t="shared" si="2093"/>
        <v>-8.0652235390812343E-3</v>
      </c>
    </row>
    <row r="1975" spans="1:16" x14ac:dyDescent="0.45">
      <c r="A1975" s="1">
        <v>43048</v>
      </c>
      <c r="B1975">
        <v>57.17</v>
      </c>
      <c r="C1975">
        <v>1.9469000000000001</v>
      </c>
      <c r="D1975">
        <v>1.8197000000000001</v>
      </c>
      <c r="E1975" s="2">
        <f t="shared" si="2038"/>
        <v>21.038200000000007</v>
      </c>
      <c r="F1975" s="2">
        <f t="shared" si="2040"/>
        <v>21.088799999999992</v>
      </c>
      <c r="G1975" s="2">
        <f t="shared" si="2042"/>
        <v>20.534999999999986</v>
      </c>
      <c r="H1975" s="2">
        <f t="shared" si="2043"/>
        <v>-6.8415318167165395E-3</v>
      </c>
      <c r="I1975" s="2">
        <f t="shared" ref="I1975:J1975" si="2094">LN(C1974)-LN(C1973)</f>
        <v>-1.5610771463991924E-4</v>
      </c>
      <c r="J1975" s="2">
        <f t="shared" si="2094"/>
        <v>3.2997885081126332E-3</v>
      </c>
    </row>
    <row r="1976" spans="1:16" x14ac:dyDescent="0.45">
      <c r="A1976" s="1">
        <v>43049</v>
      </c>
      <c r="B1976">
        <v>56.74</v>
      </c>
      <c r="C1976">
        <v>1.9349000000000001</v>
      </c>
      <c r="D1976">
        <v>1.8124</v>
      </c>
      <c r="E1976" s="2">
        <f t="shared" si="2038"/>
        <v>21.095800000000008</v>
      </c>
      <c r="F1976" s="2">
        <f t="shared" si="2040"/>
        <v>21.038200000000007</v>
      </c>
      <c r="G1976" s="2">
        <f t="shared" si="2042"/>
        <v>21.088799999999992</v>
      </c>
      <c r="H1976" s="2">
        <f t="shared" si="2043"/>
        <v>6.3169187068448096E-3</v>
      </c>
      <c r="I1976" s="2">
        <f t="shared" ref="I1976:J1976" si="2095">LN(C1975)-LN(C1974)</f>
        <v>1.3080191659145646E-2</v>
      </c>
      <c r="J1976" s="2">
        <f t="shared" si="2095"/>
        <v>-8.7887948530096516E-4</v>
      </c>
    </row>
    <row r="1977" spans="1:16" x14ac:dyDescent="0.45">
      <c r="A1977" s="1">
        <v>43052</v>
      </c>
      <c r="B1977">
        <v>56.76</v>
      </c>
      <c r="C1977">
        <v>1.9320999999999999</v>
      </c>
      <c r="D1977">
        <v>1.7928999999999999</v>
      </c>
      <c r="E1977" s="2">
        <f t="shared" si="2038"/>
        <v>20.490600000000001</v>
      </c>
      <c r="F1977" s="2">
        <f t="shared" si="2040"/>
        <v>21.095800000000008</v>
      </c>
      <c r="G1977" s="2">
        <f t="shared" si="2042"/>
        <v>21.038200000000007</v>
      </c>
      <c r="H1977" s="2">
        <f t="shared" si="2043"/>
        <v>-7.5498558951752059E-3</v>
      </c>
      <c r="I1977" s="2">
        <f t="shared" ref="I1977:J1977" si="2096">LN(C1976)-LN(C1975)</f>
        <v>-6.1827184429815718E-3</v>
      </c>
      <c r="J1977" s="2">
        <f t="shared" si="2096"/>
        <v>-4.0197185262138557E-3</v>
      </c>
    </row>
    <row r="1978" spans="1:16" x14ac:dyDescent="0.45">
      <c r="A1978" s="1">
        <v>43053</v>
      </c>
      <c r="B1978">
        <v>55.7</v>
      </c>
      <c r="C1978">
        <v>1.907</v>
      </c>
      <c r="D1978">
        <v>1.7612000000000001</v>
      </c>
      <c r="E1978" s="2">
        <f t="shared" si="2038"/>
        <v>20.311599999999988</v>
      </c>
      <c r="F1978" s="2">
        <f t="shared" si="2040"/>
        <v>20.490600000000001</v>
      </c>
      <c r="G1978" s="2">
        <f t="shared" si="2042"/>
        <v>21.095800000000008</v>
      </c>
      <c r="H1978" s="2">
        <f t="shared" si="2043"/>
        <v>3.52422911136685E-4</v>
      </c>
      <c r="I1978" s="2">
        <f t="shared" ref="I1978:J1978" si="2097">LN(C1977)-LN(C1976)</f>
        <v>-1.4481512745453395E-3</v>
      </c>
      <c r="J1978" s="2">
        <f t="shared" si="2097"/>
        <v>-1.0817513191601624E-2</v>
      </c>
    </row>
    <row r="1979" spans="1:16" x14ac:dyDescent="0.45">
      <c r="A1979" s="1">
        <v>43054</v>
      </c>
      <c r="B1979">
        <v>55.33</v>
      </c>
      <c r="C1979">
        <v>1.9087000000000001</v>
      </c>
      <c r="D1979">
        <v>1.7387999999999999</v>
      </c>
      <c r="E1979" s="2">
        <f t="shared" si="2038"/>
        <v>20.078199999999999</v>
      </c>
      <c r="F1979" s="2">
        <f t="shared" si="2040"/>
        <v>20.311599999999988</v>
      </c>
      <c r="G1979" s="2">
        <f t="shared" si="2042"/>
        <v>20.490600000000001</v>
      </c>
      <c r="H1979" s="2">
        <f t="shared" si="2043"/>
        <v>-1.8851705358603255E-2</v>
      </c>
      <c r="I1979" s="2">
        <f t="shared" ref="I1979:J1979" si="2098">LN(C1978)-LN(C1977)</f>
        <v>-1.3076167666918659E-2</v>
      </c>
      <c r="J1979" s="2">
        <f t="shared" si="2098"/>
        <v>-1.7839025719782686E-2</v>
      </c>
      <c r="O1979" t="s">
        <v>10</v>
      </c>
    </row>
    <row r="1980" spans="1:16" ht="14.65" thickBot="1" x14ac:dyDescent="0.5">
      <c r="A1980" s="1">
        <v>43055</v>
      </c>
      <c r="B1980">
        <v>55.14</v>
      </c>
      <c r="C1980">
        <v>1.9020999999999999</v>
      </c>
      <c r="D1980">
        <v>1.7137</v>
      </c>
      <c r="E1980" s="2">
        <f t="shared" si="2038"/>
        <v>19.472999999999995</v>
      </c>
      <c r="F1980" s="2">
        <f t="shared" si="2040"/>
        <v>20.078199999999999</v>
      </c>
      <c r="G1980" s="2">
        <f t="shared" si="2042"/>
        <v>20.311599999999988</v>
      </c>
      <c r="H1980" s="2">
        <f t="shared" si="2043"/>
        <v>-6.6648900232202379E-3</v>
      </c>
      <c r="I1980" s="2">
        <f t="shared" ref="I1980:J1980" si="2099">LN(C1979)-LN(C1978)</f>
        <v>8.9105543542755683E-4</v>
      </c>
      <c r="J1980" s="2">
        <f t="shared" si="2099"/>
        <v>-1.2800174766961936E-2</v>
      </c>
    </row>
    <row r="1981" spans="1:16" x14ac:dyDescent="0.45">
      <c r="A1981" s="1">
        <v>43056</v>
      </c>
      <c r="B1981">
        <v>56.55</v>
      </c>
      <c r="C1981">
        <v>1.9466000000000001</v>
      </c>
      <c r="D1981">
        <v>1.7446999999999999</v>
      </c>
      <c r="E1981" s="2">
        <f t="shared" si="2038"/>
        <v>19.554000000000013</v>
      </c>
      <c r="F1981" s="2">
        <f t="shared" si="2040"/>
        <v>19.472999999999995</v>
      </c>
      <c r="G1981" s="2">
        <f t="shared" si="2042"/>
        <v>20.078199999999999</v>
      </c>
      <c r="H1981" s="2">
        <f t="shared" si="2043"/>
        <v>-3.4398513143676368E-3</v>
      </c>
      <c r="I1981" s="2">
        <f t="shared" ref="I1981:J1981" si="2100">LN(C1980)-LN(C1979)</f>
        <v>-3.4638430770513873E-3</v>
      </c>
      <c r="J1981" s="2">
        <f t="shared" si="2100"/>
        <v>-1.4540444447833423E-2</v>
      </c>
      <c r="O1981" s="6" t="s">
        <v>11</v>
      </c>
      <c r="P1981" s="6"/>
    </row>
    <row r="1982" spans="1:16" ht="30" customHeight="1" x14ac:dyDescent="0.45">
      <c r="A1982" s="1">
        <v>43059</v>
      </c>
      <c r="B1982">
        <v>56.09</v>
      </c>
      <c r="C1982">
        <v>1.9320999999999999</v>
      </c>
      <c r="D1982">
        <v>1.7438</v>
      </c>
      <c r="E1982" s="2">
        <f t="shared" si="2038"/>
        <v>19.785799999999995</v>
      </c>
      <c r="F1982" s="2">
        <f>E1981</f>
        <v>19.554000000000013</v>
      </c>
      <c r="G1982" s="2">
        <f t="shared" si="2042"/>
        <v>19.472999999999995</v>
      </c>
      <c r="H1982" s="2">
        <f>LN(B1981)-LN(B1980)</f>
        <v>2.524979696647911E-2</v>
      </c>
      <c r="I1982" s="2">
        <f t="shared" ref="I1982:J1982" si="2101">LN(C1981)-LN(C1980)</f>
        <v>2.3125722033597973E-2</v>
      </c>
      <c r="J1982" s="2">
        <f t="shared" si="2101"/>
        <v>1.7927845419052568E-2</v>
      </c>
      <c r="K1982" s="7" t="s">
        <v>39</v>
      </c>
      <c r="L1982" s="7" t="s">
        <v>40</v>
      </c>
      <c r="O1982" s="3" t="s">
        <v>12</v>
      </c>
      <c r="P1982" s="3">
        <v>0.9910063881833383</v>
      </c>
    </row>
    <row r="1983" spans="1:16" x14ac:dyDescent="0.45">
      <c r="A1983" s="1">
        <v>43060</v>
      </c>
      <c r="E1983" s="2">
        <f>$P$1995+$P$1996*F1983+$P$1997*G1983+$P$1998*H1983+$P$1999*I1983+$P$2000*J1983</f>
        <v>19.783157114191514</v>
      </c>
      <c r="F1983" s="2">
        <f>E1982</f>
        <v>19.785799999999995</v>
      </c>
      <c r="G1983" s="2">
        <f t="shared" si="2042"/>
        <v>19.554000000000013</v>
      </c>
      <c r="H1983" s="2">
        <f>LN(B1982)-LN(B1981)</f>
        <v>-8.167659041883546E-3</v>
      </c>
      <c r="I1983" s="2">
        <f t="shared" ref="I1983" si="2102">LN(C1982)-LN(C1981)</f>
        <v>-7.4767667250554837E-3</v>
      </c>
      <c r="J1983" s="2">
        <f t="shared" ref="J1983" si="2103">LN(D1982)-LN(D1981)</f>
        <v>-5.1598109214145982E-4</v>
      </c>
      <c r="K1983">
        <f>E1983+_xlfn.T.INV(0.025,P1991)*P1985</f>
        <v>17.852742828120753</v>
      </c>
      <c r="L1983">
        <f>E1983-_xlfn.T.INV(0.025,P1991)*P1985</f>
        <v>21.713571400262275</v>
      </c>
      <c r="O1983" s="3" t="s">
        <v>13</v>
      </c>
      <c r="P1983" s="3">
        <v>0.98209366142018539</v>
      </c>
    </row>
    <row r="1984" spans="1:16" x14ac:dyDescent="0.45">
      <c r="A1984" s="1"/>
      <c r="O1984" s="3" t="s">
        <v>14</v>
      </c>
      <c r="P1984" s="3">
        <v>0.98204828296458524</v>
      </c>
    </row>
    <row r="1985" spans="1:23" x14ac:dyDescent="0.45">
      <c r="A1985" s="1"/>
      <c r="O1985" s="3" t="s">
        <v>15</v>
      </c>
      <c r="P1985" s="3">
        <v>0.98431913741486843</v>
      </c>
    </row>
    <row r="1986" spans="1:23" ht="14.65" thickBot="1" x14ac:dyDescent="0.5">
      <c r="A1986" s="1"/>
      <c r="O1986" s="4" t="s">
        <v>16</v>
      </c>
      <c r="P1986" s="4">
        <v>1979</v>
      </c>
    </row>
    <row r="1987" spans="1:23" x14ac:dyDescent="0.45">
      <c r="A1987" s="1"/>
    </row>
    <row r="1988" spans="1:23" ht="14.65" thickBot="1" x14ac:dyDescent="0.5">
      <c r="O1988" t="s">
        <v>17</v>
      </c>
    </row>
    <row r="1989" spans="1:23" x14ac:dyDescent="0.45">
      <c r="O1989" s="5"/>
      <c r="P1989" s="5" t="s">
        <v>22</v>
      </c>
      <c r="Q1989" s="5" t="s">
        <v>23</v>
      </c>
      <c r="R1989" s="5" t="s">
        <v>24</v>
      </c>
      <c r="S1989" s="5" t="s">
        <v>25</v>
      </c>
      <c r="T1989" s="5" t="s">
        <v>26</v>
      </c>
    </row>
    <row r="1990" spans="1:23" x14ac:dyDescent="0.45">
      <c r="O1990" s="3" t="s">
        <v>18</v>
      </c>
      <c r="P1990" s="3">
        <v>5</v>
      </c>
      <c r="Q1990" s="3">
        <v>104844.35662327922</v>
      </c>
      <c r="R1990" s="3">
        <v>20968.871324655844</v>
      </c>
      <c r="S1990" s="3">
        <v>21642.289241266928</v>
      </c>
      <c r="T1990" s="3">
        <v>0</v>
      </c>
    </row>
    <row r="1991" spans="1:23" x14ac:dyDescent="0.45">
      <c r="O1991" s="3" t="s">
        <v>19</v>
      </c>
      <c r="P1991" s="3">
        <v>1973</v>
      </c>
      <c r="Q1991" s="3">
        <v>1911.6084561267101</v>
      </c>
      <c r="R1991" s="3">
        <v>0.96888416428115054</v>
      </c>
      <c r="S1991" s="3"/>
      <c r="T1991" s="3"/>
    </row>
    <row r="1992" spans="1:23" ht="14.65" thickBot="1" x14ac:dyDescent="0.5">
      <c r="O1992" s="4" t="s">
        <v>20</v>
      </c>
      <c r="P1992" s="4">
        <v>1978</v>
      </c>
      <c r="Q1992" s="4">
        <v>106755.96507940593</v>
      </c>
      <c r="R1992" s="4"/>
      <c r="S1992" s="4"/>
      <c r="T1992" s="4"/>
    </row>
    <row r="1993" spans="1:23" ht="14.65" thickBot="1" x14ac:dyDescent="0.5"/>
    <row r="1994" spans="1:23" x14ac:dyDescent="0.45">
      <c r="O1994" s="5"/>
      <c r="P1994" s="5" t="s">
        <v>27</v>
      </c>
      <c r="Q1994" s="5" t="s">
        <v>15</v>
      </c>
      <c r="R1994" s="5" t="s">
        <v>28</v>
      </c>
      <c r="S1994" s="5" t="s">
        <v>29</v>
      </c>
      <c r="T1994" s="5" t="s">
        <v>30</v>
      </c>
      <c r="U1994" s="5" t="s">
        <v>31</v>
      </c>
      <c r="V1994" s="5" t="s">
        <v>32</v>
      </c>
      <c r="W1994" s="5" t="s">
        <v>33</v>
      </c>
    </row>
    <row r="1995" spans="1:23" x14ac:dyDescent="0.45">
      <c r="O1995" s="3" t="s">
        <v>21</v>
      </c>
      <c r="P1995" s="3">
        <v>0.1937866079957328</v>
      </c>
      <c r="Q1995" s="3">
        <v>6.4294947931066868E-2</v>
      </c>
      <c r="R1995" s="3">
        <v>3.0140254286153092</v>
      </c>
      <c r="S1995" s="3">
        <v>2.610900196400368E-3</v>
      </c>
      <c r="T1995" s="3">
        <v>6.7693472862472598E-2</v>
      </c>
      <c r="U1995" s="3">
        <v>0.31987974312899303</v>
      </c>
      <c r="V1995" s="3">
        <v>6.7693472862472598E-2</v>
      </c>
      <c r="W1995" s="3">
        <v>0.31987974312899303</v>
      </c>
    </row>
    <row r="1996" spans="1:23" x14ac:dyDescent="0.45">
      <c r="O1996" s="3" t="s">
        <v>34</v>
      </c>
      <c r="P1996" s="3">
        <v>0.76060060545706654</v>
      </c>
      <c r="Q1996" s="3">
        <v>6.6064794295315171E-2</v>
      </c>
      <c r="R1996" s="3">
        <v>11.512948970326283</v>
      </c>
      <c r="S1996" s="3">
        <v>9.8800144018475682E-30</v>
      </c>
      <c r="T1996" s="3">
        <v>0.63103650590197435</v>
      </c>
      <c r="U1996" s="3">
        <v>0.89016470501215872</v>
      </c>
      <c r="V1996" s="3">
        <v>0.63103650590197435</v>
      </c>
      <c r="W1996" s="3">
        <v>0.89016470501215872</v>
      </c>
    </row>
    <row r="1997" spans="1:23" x14ac:dyDescent="0.45">
      <c r="O1997" s="3" t="s">
        <v>35</v>
      </c>
      <c r="P1997" s="3">
        <v>0.23005623743111867</v>
      </c>
      <c r="Q1997" s="3">
        <v>6.6063722619863999E-2</v>
      </c>
      <c r="R1997" s="3">
        <v>3.4823383894801214</v>
      </c>
      <c r="S1997" s="3">
        <v>5.0788124902645404E-4</v>
      </c>
      <c r="T1997" s="3">
        <v>0.10049423961063914</v>
      </c>
      <c r="U1997" s="3">
        <v>0.3596182352515982</v>
      </c>
      <c r="V1997" s="3">
        <v>0.10049423961063914</v>
      </c>
      <c r="W1997" s="3">
        <v>0.3596182352515982</v>
      </c>
    </row>
    <row r="1998" spans="1:23" x14ac:dyDescent="0.45">
      <c r="O1998" s="3" t="s">
        <v>36</v>
      </c>
      <c r="P1998" s="3">
        <v>-12.038408205099628</v>
      </c>
      <c r="Q1998" s="3">
        <v>5.0142978123606108</v>
      </c>
      <c r="R1998" s="3">
        <v>-2.4008163566639524</v>
      </c>
      <c r="S1998" s="3">
        <v>1.6450612279672528E-2</v>
      </c>
      <c r="T1998" s="3">
        <v>-21.872283991580979</v>
      </c>
      <c r="U1998" s="3">
        <v>-2.20453241861828</v>
      </c>
      <c r="V1998" s="3">
        <v>-21.872283991580979</v>
      </c>
      <c r="W1998" s="3">
        <v>-2.20453241861828</v>
      </c>
    </row>
    <row r="1999" spans="1:23" x14ac:dyDescent="0.45">
      <c r="O1999" s="3" t="s">
        <v>37</v>
      </c>
      <c r="P1999" s="3">
        <v>6.803527402192473</v>
      </c>
      <c r="Q1999" s="3">
        <v>3.451564979575986</v>
      </c>
      <c r="R1999" s="3">
        <v>1.9711427837665294</v>
      </c>
      <c r="S1999" s="3">
        <v>4.8847104787946835E-2</v>
      </c>
      <c r="T1999" s="3">
        <v>3.4431798327636542E-2</v>
      </c>
      <c r="U1999" s="3">
        <v>13.572623006057309</v>
      </c>
      <c r="V1999" s="3">
        <v>3.4431798327636542E-2</v>
      </c>
      <c r="W1999" s="3">
        <v>13.572623006057309</v>
      </c>
    </row>
    <row r="2000" spans="1:23" ht="14.65" thickBot="1" x14ac:dyDescent="0.5">
      <c r="O2000" s="4" t="s">
        <v>38</v>
      </c>
      <c r="P2000" s="4">
        <v>11.042742464927061</v>
      </c>
      <c r="Q2000" s="4">
        <v>3.9636643471692437</v>
      </c>
      <c r="R2000" s="4">
        <v>2.7859933379105448</v>
      </c>
      <c r="S2000" s="4">
        <v>5.3874310442996644E-3</v>
      </c>
      <c r="T2000" s="4">
        <v>3.269334440919601</v>
      </c>
      <c r="U2000" s="4">
        <v>18.816150488934522</v>
      </c>
      <c r="V2000" s="4">
        <v>3.269334440919601</v>
      </c>
      <c r="W2000" s="4">
        <v>18.816150488934522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CrackSpread-1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Mallory, Mindy L</dc:creator>
  <cp:lastModifiedBy>Mallory, Mindy L</cp:lastModifiedBy>
  <dcterms:created xsi:type="dcterms:W3CDTF">2017-11-30T17:49:02Z</dcterms:created>
  <dcterms:modified xsi:type="dcterms:W3CDTF">2017-11-30T17:49:02Z</dcterms:modified>
</cp:coreProperties>
</file>