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mallorym\Documents\GitHub\PriceAnalysis\Excel-files\"/>
    </mc:Choice>
  </mc:AlternateContent>
  <bookViews>
    <workbookView xWindow="0" yWindow="0" windowWidth="10980" windowHeight="9075"/>
  </bookViews>
  <sheets>
    <sheet name="Acreage" sheetId="1" r:id="rId1"/>
    <sheet name="Yield" sheetId="3" r:id="rId2"/>
    <sheet name="Crop Condition" sheetId="4" r:id="rId3"/>
    <sheet name="Prices Recieved" sheetId="2" r:id="rId4"/>
  </sheets>
  <definedNames>
    <definedName name="_xlnm._FilterDatabase" localSheetId="2" hidden="1">'Crop Condition'!$A$1:$V$558</definedName>
  </definedNames>
  <calcPr calcId="152511"/>
</workbook>
</file>

<file path=xl/calcChain.xml><?xml version="1.0" encoding="utf-8"?>
<calcChain xmlns="http://schemas.openxmlformats.org/spreadsheetml/2006/main">
  <c r="M560" i="4" l="1"/>
  <c r="N2" i="4"/>
  <c r="F5" i="3"/>
  <c r="F4" i="3"/>
  <c r="F7" i="3"/>
  <c r="E7" i="3"/>
  <c r="G5" i="3"/>
  <c r="M559" i="4"/>
  <c r="M526" i="4"/>
  <c r="M509" i="4"/>
  <c r="M491" i="4"/>
  <c r="M471" i="4"/>
  <c r="M450" i="4"/>
  <c r="M448" i="4"/>
  <c r="M425" i="4"/>
  <c r="M411" i="4"/>
  <c r="M391" i="4"/>
  <c r="M371" i="4"/>
  <c r="M351" i="4"/>
  <c r="M332" i="4"/>
  <c r="M296" i="4"/>
  <c r="M277" i="4"/>
  <c r="M257" i="4"/>
  <c r="M237" i="4"/>
  <c r="M220" i="4"/>
  <c r="M201" i="4"/>
  <c r="M192" i="4"/>
  <c r="M175" i="4"/>
  <c r="M148" i="4"/>
  <c r="M130" i="4"/>
  <c r="M119" i="4"/>
  <c r="M111" i="4"/>
  <c r="M102" i="4"/>
  <c r="M77" i="4"/>
  <c r="M73" i="4"/>
  <c r="M39" i="4"/>
  <c r="M2" i="4"/>
  <c r="D5" i="3" l="1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4" i="3"/>
  <c r="G4" i="3" s="1"/>
  <c r="E4" i="3" l="1"/>
  <c r="AB2" i="1"/>
  <c r="Y3" i="1"/>
  <c r="Y4" i="1"/>
  <c r="V2" i="1"/>
  <c r="F20" i="3" l="1"/>
  <c r="F52" i="3"/>
  <c r="F60" i="3"/>
  <c r="F84" i="3"/>
  <c r="F92" i="3"/>
  <c r="F116" i="3"/>
  <c r="F124" i="3"/>
  <c r="F148" i="3"/>
  <c r="E62" i="3"/>
  <c r="E94" i="3"/>
  <c r="E44" i="3"/>
  <c r="E45" i="3"/>
  <c r="F46" i="3"/>
  <c r="E47" i="3"/>
  <c r="F48" i="3"/>
  <c r="F49" i="3"/>
  <c r="E50" i="3"/>
  <c r="E51" i="3"/>
  <c r="E52" i="3"/>
  <c r="E53" i="3"/>
  <c r="F54" i="3"/>
  <c r="E55" i="3"/>
  <c r="F56" i="3"/>
  <c r="F57" i="3"/>
  <c r="E58" i="3"/>
  <c r="E59" i="3"/>
  <c r="E60" i="3"/>
  <c r="E61" i="3"/>
  <c r="F62" i="3"/>
  <c r="E63" i="3"/>
  <c r="F64" i="3"/>
  <c r="F65" i="3"/>
  <c r="E66" i="3"/>
  <c r="E67" i="3"/>
  <c r="E68" i="3"/>
  <c r="E69" i="3"/>
  <c r="F70" i="3"/>
  <c r="E71" i="3"/>
  <c r="F72" i="3"/>
  <c r="F73" i="3"/>
  <c r="E74" i="3"/>
  <c r="E75" i="3"/>
  <c r="E76" i="3"/>
  <c r="E77" i="3"/>
  <c r="F78" i="3"/>
  <c r="E79" i="3"/>
  <c r="F80" i="3"/>
  <c r="F81" i="3"/>
  <c r="E82" i="3"/>
  <c r="E83" i="3"/>
  <c r="E84" i="3"/>
  <c r="E85" i="3"/>
  <c r="F86" i="3"/>
  <c r="E87" i="3"/>
  <c r="F88" i="3"/>
  <c r="F89" i="3"/>
  <c r="E90" i="3"/>
  <c r="E91" i="3"/>
  <c r="E92" i="3"/>
  <c r="E93" i="3"/>
  <c r="F94" i="3"/>
  <c r="E95" i="3"/>
  <c r="F96" i="3"/>
  <c r="F97" i="3"/>
  <c r="E98" i="3"/>
  <c r="E99" i="3"/>
  <c r="E100" i="3"/>
  <c r="E101" i="3"/>
  <c r="F102" i="3"/>
  <c r="E103" i="3"/>
  <c r="F104" i="3"/>
  <c r="F105" i="3"/>
  <c r="E106" i="3"/>
  <c r="E107" i="3"/>
  <c r="E108" i="3"/>
  <c r="E109" i="3"/>
  <c r="F110" i="3"/>
  <c r="E111" i="3"/>
  <c r="F112" i="3"/>
  <c r="F113" i="3"/>
  <c r="E114" i="3"/>
  <c r="E115" i="3"/>
  <c r="E116" i="3"/>
  <c r="E117" i="3"/>
  <c r="F118" i="3"/>
  <c r="E119" i="3"/>
  <c r="F120" i="3"/>
  <c r="F121" i="3"/>
  <c r="E122" i="3"/>
  <c r="E123" i="3"/>
  <c r="E124" i="3"/>
  <c r="E125" i="3"/>
  <c r="F126" i="3"/>
  <c r="E127" i="3"/>
  <c r="F128" i="3"/>
  <c r="F129" i="3"/>
  <c r="E130" i="3"/>
  <c r="E131" i="3"/>
  <c r="E132" i="3"/>
  <c r="E133" i="3"/>
  <c r="F134" i="3"/>
  <c r="E135" i="3"/>
  <c r="F136" i="3"/>
  <c r="F137" i="3"/>
  <c r="E138" i="3"/>
  <c r="E139" i="3"/>
  <c r="E140" i="3"/>
  <c r="E141" i="3"/>
  <c r="F142" i="3"/>
  <c r="E143" i="3"/>
  <c r="F144" i="3"/>
  <c r="F145" i="3"/>
  <c r="E146" i="3"/>
  <c r="E147" i="3"/>
  <c r="E148" i="3"/>
  <c r="E149" i="3"/>
  <c r="F150" i="3"/>
  <c r="E151" i="3"/>
  <c r="F152" i="3"/>
  <c r="F153" i="3"/>
  <c r="E154" i="3"/>
  <c r="F41" i="3"/>
  <c r="E42" i="3"/>
  <c r="E43" i="3"/>
  <c r="F6" i="3"/>
  <c r="F8" i="3"/>
  <c r="F9" i="3"/>
  <c r="E10" i="3"/>
  <c r="E11" i="3"/>
  <c r="E12" i="3"/>
  <c r="E13" i="3"/>
  <c r="F14" i="3"/>
  <c r="E15" i="3"/>
  <c r="F16" i="3"/>
  <c r="F17" i="3"/>
  <c r="E18" i="3"/>
  <c r="E19" i="3"/>
  <c r="E20" i="3"/>
  <c r="E21" i="3"/>
  <c r="F22" i="3"/>
  <c r="E23" i="3"/>
  <c r="F24" i="3"/>
  <c r="F25" i="3"/>
  <c r="E26" i="3"/>
  <c r="E27" i="3"/>
  <c r="E28" i="3"/>
  <c r="E29" i="3"/>
  <c r="F30" i="3"/>
  <c r="E31" i="3"/>
  <c r="F32" i="3"/>
  <c r="F33" i="3"/>
  <c r="E34" i="3"/>
  <c r="E35" i="3"/>
  <c r="E36" i="3"/>
  <c r="E37" i="3"/>
  <c r="F38" i="3"/>
  <c r="E39" i="3"/>
  <c r="F40" i="3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3" i="1"/>
  <c r="E5" i="3" l="1"/>
  <c r="E30" i="3"/>
  <c r="E150" i="3"/>
  <c r="E118" i="3"/>
  <c r="E86" i="3"/>
  <c r="E54" i="3"/>
  <c r="E22" i="3"/>
  <c r="F140" i="3"/>
  <c r="F108" i="3"/>
  <c r="F76" i="3"/>
  <c r="F44" i="3"/>
  <c r="F12" i="3"/>
  <c r="E126" i="3"/>
  <c r="E142" i="3"/>
  <c r="E110" i="3"/>
  <c r="E78" i="3"/>
  <c r="E46" i="3"/>
  <c r="E14" i="3"/>
  <c r="F132" i="3"/>
  <c r="F100" i="3"/>
  <c r="F68" i="3"/>
  <c r="F36" i="3"/>
  <c r="E134" i="3"/>
  <c r="E102" i="3"/>
  <c r="E70" i="3"/>
  <c r="E38" i="3"/>
  <c r="E6" i="3"/>
  <c r="F28" i="3"/>
  <c r="E153" i="3"/>
  <c r="E145" i="3"/>
  <c r="E137" i="3"/>
  <c r="E129" i="3"/>
  <c r="E121" i="3"/>
  <c r="E113" i="3"/>
  <c r="E105" i="3"/>
  <c r="E97" i="3"/>
  <c r="E89" i="3"/>
  <c r="E81" i="3"/>
  <c r="E73" i="3"/>
  <c r="E65" i="3"/>
  <c r="E57" i="3"/>
  <c r="E49" i="3"/>
  <c r="E41" i="3"/>
  <c r="E33" i="3"/>
  <c r="E25" i="3"/>
  <c r="E17" i="3"/>
  <c r="E9" i="3"/>
  <c r="F151" i="3"/>
  <c r="F143" i="3"/>
  <c r="F135" i="3"/>
  <c r="F127" i="3"/>
  <c r="F119" i="3"/>
  <c r="F111" i="3"/>
  <c r="F103" i="3"/>
  <c r="F95" i="3"/>
  <c r="F87" i="3"/>
  <c r="F79" i="3"/>
  <c r="F71" i="3"/>
  <c r="F63" i="3"/>
  <c r="F55" i="3"/>
  <c r="F47" i="3"/>
  <c r="F39" i="3"/>
  <c r="F31" i="3"/>
  <c r="F23" i="3"/>
  <c r="F15" i="3"/>
  <c r="E152" i="3"/>
  <c r="E144" i="3"/>
  <c r="E136" i="3"/>
  <c r="E128" i="3"/>
  <c r="E120" i="3"/>
  <c r="E112" i="3"/>
  <c r="E104" i="3"/>
  <c r="E96" i="3"/>
  <c r="E88" i="3"/>
  <c r="E80" i="3"/>
  <c r="E72" i="3"/>
  <c r="E64" i="3"/>
  <c r="E56" i="3"/>
  <c r="E48" i="3"/>
  <c r="E40" i="3"/>
  <c r="E32" i="3"/>
  <c r="E24" i="3"/>
  <c r="E16" i="3"/>
  <c r="E8" i="3"/>
  <c r="F149" i="3"/>
  <c r="F141" i="3"/>
  <c r="F133" i="3"/>
  <c r="F125" i="3"/>
  <c r="F117" i="3"/>
  <c r="F109" i="3"/>
  <c r="F101" i="3"/>
  <c r="F93" i="3"/>
  <c r="F85" i="3"/>
  <c r="F77" i="3"/>
  <c r="F69" i="3"/>
  <c r="F61" i="3"/>
  <c r="F53" i="3"/>
  <c r="F45" i="3"/>
  <c r="F37" i="3"/>
  <c r="F29" i="3"/>
  <c r="F21" i="3"/>
  <c r="F13" i="3"/>
  <c r="F147" i="3"/>
  <c r="F139" i="3"/>
  <c r="F131" i="3"/>
  <c r="F123" i="3"/>
  <c r="F115" i="3"/>
  <c r="F107" i="3"/>
  <c r="F99" i="3"/>
  <c r="F91" i="3"/>
  <c r="F83" i="3"/>
  <c r="F75" i="3"/>
  <c r="F67" i="3"/>
  <c r="F59" i="3"/>
  <c r="F51" i="3"/>
  <c r="F43" i="3"/>
  <c r="F35" i="3"/>
  <c r="F27" i="3"/>
  <c r="F19" i="3"/>
  <c r="F11" i="3"/>
  <c r="F154" i="3"/>
  <c r="F146" i="3"/>
  <c r="F138" i="3"/>
  <c r="F130" i="3"/>
  <c r="F122" i="3"/>
  <c r="F114" i="3"/>
  <c r="F106" i="3"/>
  <c r="F98" i="3"/>
  <c r="F90" i="3"/>
  <c r="F82" i="3"/>
  <c r="F74" i="3"/>
  <c r="F66" i="3"/>
  <c r="F58" i="3"/>
  <c r="F50" i="3"/>
  <c r="F42" i="3"/>
  <c r="F34" i="3"/>
  <c r="F26" i="3"/>
  <c r="F18" i="3"/>
  <c r="F10" i="3"/>
</calcChain>
</file>

<file path=xl/sharedStrings.xml><?xml version="1.0" encoding="utf-8"?>
<sst xmlns="http://schemas.openxmlformats.org/spreadsheetml/2006/main" count="10030" uniqueCount="96">
  <si>
    <t>Program</t>
  </si>
  <si>
    <t>Year</t>
  </si>
  <si>
    <t>Period</t>
  </si>
  <si>
    <t>Week Ending</t>
  </si>
  <si>
    <t>Geo Level</t>
  </si>
  <si>
    <t>State</t>
  </si>
  <si>
    <t>State ANSI</t>
  </si>
  <si>
    <t>Ag District</t>
  </si>
  <si>
    <t>Ag District Code</t>
  </si>
  <si>
    <t>County</t>
  </si>
  <si>
    <t>County ANSI</t>
  </si>
  <si>
    <t>Zip Code</t>
  </si>
  <si>
    <t>Region</t>
  </si>
  <si>
    <t>watershed_code</t>
  </si>
  <si>
    <t>Watershed</t>
  </si>
  <si>
    <t>Commodity</t>
  </si>
  <si>
    <t>Domain</t>
  </si>
  <si>
    <t>Domain Category</t>
  </si>
  <si>
    <t>CORN - ACRES PLANTED  -  &lt;b&gt;CV (%)&lt;/b&gt;</t>
  </si>
  <si>
    <t>SURVEY</t>
  </si>
  <si>
    <t>YEAR</t>
  </si>
  <si>
    <t>NATIONAL</t>
  </si>
  <si>
    <t>US TOTAL</t>
  </si>
  <si>
    <t>CORN</t>
  </si>
  <si>
    <t>TOTAL</t>
  </si>
  <si>
    <t>NOT SPECIFIED</t>
  </si>
  <si>
    <t>CORN - ACRES PLANTED</t>
  </si>
  <si>
    <t>CORN- ACRES HARVESTED</t>
  </si>
  <si>
    <t>Difference</t>
  </si>
  <si>
    <t>CORN, GRAIN - PRICE RECEIVED, MEASURED IN $ / BU </t>
  </si>
  <si>
    <t>- </t>
  </si>
  <si>
    <t>VALUE</t>
  </si>
  <si>
    <t>CV (%)</t>
  </si>
  <si>
    <t>...</t>
  </si>
  <si>
    <t>Corn Average Prices Received by Farmers</t>
  </si>
  <si>
    <t>SOYBEANS - PRICE RECEIVED, MEASURED IN $ / BU </t>
  </si>
  <si>
    <t>SOYBEANS</t>
  </si>
  <si>
    <t>Soybean Average Prices Received by Farmers</t>
  </si>
  <si>
    <t>Corn/Soybean Price Ratio</t>
  </si>
  <si>
    <t>Average Difference Planted-Historical</t>
  </si>
  <si>
    <t>Yield</t>
  </si>
  <si>
    <t>Trend Yield 1980 - 2014</t>
  </si>
  <si>
    <t>Trend Yield 1952 - 2014</t>
  </si>
  <si>
    <t xml:space="preserve">Deviations from trend yield (1980). </t>
  </si>
  <si>
    <t>Percent Deviations from trend yield (1980)</t>
  </si>
  <si>
    <t>LOCATION</t>
  </si>
  <si>
    <t>STATE ANSI</t>
  </si>
  <si>
    <t>ASD CODE</t>
  </si>
  <si>
    <t>COUNTY ANSI</t>
  </si>
  <si>
    <t>REFERENCE PERIOD</t>
  </si>
  <si>
    <t>COMMODITY</t>
  </si>
  <si>
    <t>CONDITION in PCT FAIR</t>
  </si>
  <si>
    <t>CONDITION in PCT GOOD</t>
  </si>
  <si>
    <t>CONDITION in PCT EXCELLENT</t>
  </si>
  <si>
    <t>CONDITION in PCT VERY POOR</t>
  </si>
  <si>
    <t>CONDITION in PCT POOR</t>
  </si>
  <si>
    <t>CONDITION, 5 YEAR AVG in PCT POOR</t>
  </si>
  <si>
    <t>CONDITION, 5 YEAR AVG in PCT FAIR</t>
  </si>
  <si>
    <t>CONDITION, 5 YEAR AVG in PCT GOOD</t>
  </si>
  <si>
    <t>CONDITION, PREVIOUS YEAR in PCT EXCELLENT</t>
  </si>
  <si>
    <t>CONDITION, PREVIOUS YEAR in PCT POOR</t>
  </si>
  <si>
    <t>CONDITION, PREVIOUS YEAR in PCT VERY POOR</t>
  </si>
  <si>
    <t>CONDITION, PREVIOUS YEAR in PCT GOOD</t>
  </si>
  <si>
    <t>CONDITION, PREVIOUS YEAR in PCT FAIR</t>
  </si>
  <si>
    <t xml:space="preserve">  </t>
  </si>
  <si>
    <t xml:space="preserve">   </t>
  </si>
  <si>
    <t>WEEK #39</t>
  </si>
  <si>
    <t xml:space="preserve"> </t>
  </si>
  <si>
    <t>WEEK #38</t>
  </si>
  <si>
    <t>WEEK #36</t>
  </si>
  <si>
    <t>WEEK #35</t>
  </si>
  <si>
    <t>WEEK #34</t>
  </si>
  <si>
    <t>WEEK #33</t>
  </si>
  <si>
    <t>WEEK #32</t>
  </si>
  <si>
    <t>WEEK #31</t>
  </si>
  <si>
    <t>WEEK #30</t>
  </si>
  <si>
    <t>WEEK #29</t>
  </si>
  <si>
    <t>WEEK #28</t>
  </si>
  <si>
    <t>WEEK #27</t>
  </si>
  <si>
    <t>WEEK #26</t>
  </si>
  <si>
    <t>WEEK #25</t>
  </si>
  <si>
    <t>WEEK #24</t>
  </si>
  <si>
    <t>WEEK #23</t>
  </si>
  <si>
    <t>WEEK #22</t>
  </si>
  <si>
    <t>WEEK #21</t>
  </si>
  <si>
    <t>WEEK #37</t>
  </si>
  <si>
    <t>WEEK #40</t>
  </si>
  <si>
    <t>WEEK #41</t>
  </si>
  <si>
    <t>WEEK #43</t>
  </si>
  <si>
    <t>WEEK #44</t>
  </si>
  <si>
    <t>WEEK #42</t>
  </si>
  <si>
    <t>WEEK #20</t>
  </si>
  <si>
    <t>WEEK #46</t>
  </si>
  <si>
    <t>WEEK #45</t>
  </si>
  <si>
    <t>WEEK #19</t>
  </si>
  <si>
    <t>G + 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</si>
</sst>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sz val="8"/>
      <color theme="1"/>
      <name val="Arial"/>
      <family val="2"/>
    </font>
    <font>
      <sz val="8"/>
      <color rgb="FFFFFFFF"/>
      <name val="Arial"/>
      <family val="2"/>
    </font>
    <font>
      <sz val="9"/>
      <color rgb="FF333333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E9E9E9"/>
        <bgColor indexed="64"/>
      </patternFill>
    </fill>
    <fill>
      <patternFill patternType="solid">
        <fgColor rgb="FF60A1EA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Dashed">
        <color rgb="FF919191"/>
      </left>
      <right style="mediumDashed">
        <color rgb="FF919191"/>
      </right>
      <top style="mediumDashed">
        <color rgb="FFACA899"/>
      </top>
      <bottom/>
      <diagonal/>
    </border>
    <border>
      <left style="mediumDashed">
        <color rgb="FF919191"/>
      </left>
      <right style="mediumDashed">
        <color rgb="FF919191"/>
      </right>
      <top/>
      <bottom/>
      <diagonal/>
    </border>
    <border>
      <left style="mediumDashed">
        <color rgb="FF919191"/>
      </left>
      <right style="mediumDashed">
        <color rgb="FF919191"/>
      </right>
      <top/>
      <bottom style="mediumDashed">
        <color rgb="FFACA899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/>
      <diagonal/>
    </border>
    <border>
      <left style="dotted">
        <color rgb="FF000000"/>
      </left>
      <right style="dotted">
        <color rgb="FF000000"/>
      </right>
      <top/>
      <bottom/>
      <diagonal/>
    </border>
    <border>
      <left style="dotted">
        <color rgb="FF000000"/>
      </left>
      <right style="dotted">
        <color rgb="FF000000"/>
      </right>
      <top/>
      <bottom style="dotted">
        <color rgb="FF000000"/>
      </bottom>
      <diagonal/>
    </border>
    <border>
      <left style="mediumDashed">
        <color rgb="FF919191"/>
      </left>
      <right style="dotted">
        <color rgb="FF000000"/>
      </right>
      <top style="dotted">
        <color rgb="FF000000"/>
      </top>
      <bottom/>
      <diagonal/>
    </border>
    <border>
      <left style="mediumDashed">
        <color rgb="FF919191"/>
      </left>
      <right style="dotted">
        <color rgb="FF000000"/>
      </right>
      <top/>
      <bottom/>
      <diagonal/>
    </border>
    <border>
      <left style="mediumDashed">
        <color rgb="FF919191"/>
      </left>
      <right style="dotted">
        <color rgb="FF000000"/>
      </right>
      <top/>
      <bottom style="dotted">
        <color rgb="FF000000"/>
      </bottom>
      <diagonal/>
    </border>
    <border>
      <left/>
      <right/>
      <top/>
      <bottom style="medium">
        <color rgb="FFCCCCCC"/>
      </bottom>
      <diagonal/>
    </border>
    <border>
      <left style="mediumDashed">
        <color rgb="FF00008B"/>
      </left>
      <right style="mediumDashed">
        <color rgb="FF00008B"/>
      </right>
      <top style="mediumDashed">
        <color rgb="FF00008B"/>
      </top>
      <bottom style="mediumDashed">
        <color rgb="FF00008B"/>
      </bottom>
      <diagonal/>
    </border>
    <border>
      <left style="dotted">
        <color rgb="FFA6A6A6"/>
      </left>
      <right style="dotted">
        <color rgb="FFA6A6A6"/>
      </right>
      <top style="dotted">
        <color rgb="FFA6A6A6"/>
      </top>
      <bottom style="dotted">
        <color rgb="FFA6A6A6"/>
      </bottom>
      <diagonal/>
    </border>
    <border>
      <left style="medium">
        <color rgb="FFEBEADB"/>
      </left>
      <right style="medium">
        <color rgb="FFD5CDB5"/>
      </right>
      <top style="medium">
        <color rgb="FFEBEADB"/>
      </top>
      <bottom style="medium">
        <color rgb="FFEBEADB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3" fontId="0" fillId="0" borderId="0" xfId="0" applyNumberFormat="1"/>
    <xf numFmtId="1" fontId="0" fillId="0" borderId="0" xfId="0" applyNumberFormat="1"/>
    <xf numFmtId="0" fontId="18" fillId="33" borderId="14" xfId="0" applyFont="1" applyFill="1" applyBorder="1" applyAlignment="1">
      <alignment horizontal="left" vertical="center" wrapText="1"/>
    </xf>
    <xf numFmtId="0" fontId="18" fillId="33" borderId="15" xfId="0" applyFont="1" applyFill="1" applyBorder="1" applyAlignment="1">
      <alignment horizontal="left" vertical="center" wrapText="1"/>
    </xf>
    <xf numFmtId="0" fontId="19" fillId="33" borderId="16" xfId="0" applyFont="1" applyFill="1" applyBorder="1" applyAlignment="1">
      <alignment horizontal="left" vertical="center" wrapText="1"/>
    </xf>
    <xf numFmtId="0" fontId="18" fillId="0" borderId="0" xfId="0" applyFont="1" applyAlignment="1">
      <alignment vertical="center" wrapText="1"/>
    </xf>
    <xf numFmtId="0" fontId="20" fillId="0" borderId="20" xfId="0" applyFont="1" applyBorder="1" applyAlignment="1">
      <alignment vertical="center" wrapText="1"/>
    </xf>
    <xf numFmtId="0" fontId="20" fillId="0" borderId="21" xfId="0" applyFont="1" applyBorder="1" applyAlignment="1">
      <alignment horizontal="left" vertical="center" wrapText="1"/>
    </xf>
    <xf numFmtId="0" fontId="20" fillId="0" borderId="13" xfId="0" applyFont="1" applyBorder="1" applyAlignment="1">
      <alignment horizontal="left" vertical="center" wrapText="1"/>
    </xf>
    <xf numFmtId="0" fontId="21" fillId="34" borderId="13" xfId="0" applyFont="1" applyFill="1" applyBorder="1" applyAlignment="1">
      <alignment horizontal="left" vertical="center" wrapText="1"/>
    </xf>
    <xf numFmtId="0" fontId="21" fillId="34" borderId="22" xfId="0" applyFont="1" applyFill="1" applyBorder="1" applyAlignment="1">
      <alignment horizontal="left" vertical="center" wrapText="1"/>
    </xf>
    <xf numFmtId="2" fontId="0" fillId="0" borderId="0" xfId="0" applyNumberFormat="1"/>
    <xf numFmtId="2" fontId="20" fillId="0" borderId="13" xfId="0" applyNumberFormat="1" applyFont="1" applyBorder="1" applyAlignment="1">
      <alignment horizontal="left" vertical="center" wrapText="1"/>
    </xf>
    <xf numFmtId="2" fontId="21" fillId="34" borderId="13" xfId="0" applyNumberFormat="1" applyFont="1" applyFill="1" applyBorder="1" applyAlignment="1">
      <alignment horizontal="left" vertical="center" wrapText="1"/>
    </xf>
    <xf numFmtId="4" fontId="0" fillId="0" borderId="0" xfId="0" applyNumberFormat="1" applyFill="1" applyBorder="1"/>
    <xf numFmtId="0" fontId="18" fillId="33" borderId="14" xfId="0" applyFont="1" applyFill="1" applyBorder="1" applyAlignment="1">
      <alignment horizontal="left" vertical="center" wrapText="1"/>
    </xf>
    <xf numFmtId="0" fontId="18" fillId="33" borderId="15" xfId="0" applyFont="1" applyFill="1" applyBorder="1" applyAlignment="1">
      <alignment horizontal="left" vertical="center" wrapText="1"/>
    </xf>
    <xf numFmtId="0" fontId="18" fillId="33" borderId="16" xfId="0" applyFont="1" applyFill="1" applyBorder="1" applyAlignment="1">
      <alignment horizontal="left" vertical="center" wrapText="1"/>
    </xf>
    <xf numFmtId="0" fontId="18" fillId="33" borderId="10" xfId="0" applyFont="1" applyFill="1" applyBorder="1" applyAlignment="1">
      <alignment horizontal="left" vertical="center" wrapText="1"/>
    </xf>
    <xf numFmtId="0" fontId="18" fillId="33" borderId="11" xfId="0" applyFont="1" applyFill="1" applyBorder="1" applyAlignment="1">
      <alignment horizontal="left" vertical="center" wrapText="1"/>
    </xf>
    <xf numFmtId="0" fontId="18" fillId="33" borderId="12" xfId="0" applyFont="1" applyFill="1" applyBorder="1" applyAlignment="1">
      <alignment horizontal="left" vertical="center" wrapText="1"/>
    </xf>
    <xf numFmtId="0" fontId="18" fillId="33" borderId="17" xfId="0" applyFont="1" applyFill="1" applyBorder="1" applyAlignment="1">
      <alignment horizontal="left" vertical="center" wrapText="1"/>
    </xf>
    <xf numFmtId="0" fontId="18" fillId="33" borderId="18" xfId="0" applyFont="1" applyFill="1" applyBorder="1" applyAlignment="1">
      <alignment horizontal="left" vertical="center" wrapText="1"/>
    </xf>
    <xf numFmtId="0" fontId="18" fillId="33" borderId="19" xfId="0" applyFont="1" applyFill="1" applyBorder="1" applyAlignment="1">
      <alignment horizontal="left" vertical="center" wrapText="1"/>
    </xf>
    <xf numFmtId="0" fontId="22" fillId="0" borderId="23" xfId="0" applyFont="1" applyBorder="1" applyAlignment="1">
      <alignment horizontal="left"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Corn Acres, Planted and Harvested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Acreage!$S$1</c:f>
              <c:strCache>
                <c:ptCount val="1"/>
                <c:pt idx="0">
                  <c:v>CORN - ACRES PLANTED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Acreage!$B$2:$B$18</c:f>
              <c:numCache>
                <c:formatCode>0</c:formatCode>
                <c:ptCount val="17"/>
                <c:pt idx="0" formatCode="General">
                  <c:v>2016</c:v>
                </c:pt>
                <c:pt idx="1">
                  <c:v>2015</c:v>
                </c:pt>
                <c:pt idx="2">
                  <c:v>2014</c:v>
                </c:pt>
                <c:pt idx="3">
                  <c:v>2013</c:v>
                </c:pt>
                <c:pt idx="4">
                  <c:v>2012</c:v>
                </c:pt>
                <c:pt idx="5">
                  <c:v>2011</c:v>
                </c:pt>
                <c:pt idx="6">
                  <c:v>2010</c:v>
                </c:pt>
                <c:pt idx="7">
                  <c:v>2009</c:v>
                </c:pt>
                <c:pt idx="8">
                  <c:v>2008</c:v>
                </c:pt>
                <c:pt idx="9">
                  <c:v>2007</c:v>
                </c:pt>
                <c:pt idx="10">
                  <c:v>2006</c:v>
                </c:pt>
                <c:pt idx="11">
                  <c:v>2005</c:v>
                </c:pt>
                <c:pt idx="12">
                  <c:v>2004</c:v>
                </c:pt>
                <c:pt idx="13">
                  <c:v>2003</c:v>
                </c:pt>
                <c:pt idx="14">
                  <c:v>2002</c:v>
                </c:pt>
                <c:pt idx="15">
                  <c:v>2001</c:v>
                </c:pt>
                <c:pt idx="16">
                  <c:v>2000</c:v>
                </c:pt>
              </c:numCache>
            </c:numRef>
          </c:xVal>
          <c:yVal>
            <c:numRef>
              <c:f>Acreage!$S$2:$S$18</c:f>
              <c:numCache>
                <c:formatCode>#,##0</c:formatCode>
                <c:ptCount val="17"/>
                <c:pt idx="0">
                  <c:v>94148000</c:v>
                </c:pt>
                <c:pt idx="1">
                  <c:v>87999000</c:v>
                </c:pt>
                <c:pt idx="2">
                  <c:v>90597000</c:v>
                </c:pt>
                <c:pt idx="3">
                  <c:v>95365000</c:v>
                </c:pt>
                <c:pt idx="4">
                  <c:v>97291000</c:v>
                </c:pt>
                <c:pt idx="5">
                  <c:v>91936000</c:v>
                </c:pt>
                <c:pt idx="6">
                  <c:v>88192000</c:v>
                </c:pt>
                <c:pt idx="7">
                  <c:v>86382000</c:v>
                </c:pt>
                <c:pt idx="8">
                  <c:v>85982000</c:v>
                </c:pt>
                <c:pt idx="9">
                  <c:v>93527000</c:v>
                </c:pt>
                <c:pt idx="10">
                  <c:v>78327000</c:v>
                </c:pt>
                <c:pt idx="11">
                  <c:v>81779000</c:v>
                </c:pt>
                <c:pt idx="12">
                  <c:v>80929000</c:v>
                </c:pt>
                <c:pt idx="13">
                  <c:v>78603000</c:v>
                </c:pt>
                <c:pt idx="14">
                  <c:v>78894000</c:v>
                </c:pt>
                <c:pt idx="15">
                  <c:v>75702000</c:v>
                </c:pt>
                <c:pt idx="16">
                  <c:v>79551000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161-439D-B15F-C1F4AE64AF05}"/>
            </c:ext>
          </c:extLst>
        </c:ser>
        <c:ser>
          <c:idx val="1"/>
          <c:order val="1"/>
          <c:tx>
            <c:strRef>
              <c:f>Acreage!$U$1</c:f>
              <c:strCache>
                <c:ptCount val="1"/>
                <c:pt idx="0">
                  <c:v>CORN- ACRES HARVESTED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Acreage!$B$2:$B$18</c:f>
              <c:numCache>
                <c:formatCode>0</c:formatCode>
                <c:ptCount val="17"/>
                <c:pt idx="0" formatCode="General">
                  <c:v>2016</c:v>
                </c:pt>
                <c:pt idx="1">
                  <c:v>2015</c:v>
                </c:pt>
                <c:pt idx="2">
                  <c:v>2014</c:v>
                </c:pt>
                <c:pt idx="3">
                  <c:v>2013</c:v>
                </c:pt>
                <c:pt idx="4">
                  <c:v>2012</c:v>
                </c:pt>
                <c:pt idx="5">
                  <c:v>2011</c:v>
                </c:pt>
                <c:pt idx="6">
                  <c:v>2010</c:v>
                </c:pt>
                <c:pt idx="7">
                  <c:v>2009</c:v>
                </c:pt>
                <c:pt idx="8">
                  <c:v>2008</c:v>
                </c:pt>
                <c:pt idx="9">
                  <c:v>2007</c:v>
                </c:pt>
                <c:pt idx="10">
                  <c:v>2006</c:v>
                </c:pt>
                <c:pt idx="11">
                  <c:v>2005</c:v>
                </c:pt>
                <c:pt idx="12">
                  <c:v>2004</c:v>
                </c:pt>
                <c:pt idx="13">
                  <c:v>2003</c:v>
                </c:pt>
                <c:pt idx="14">
                  <c:v>2002</c:v>
                </c:pt>
                <c:pt idx="15">
                  <c:v>2001</c:v>
                </c:pt>
                <c:pt idx="16">
                  <c:v>2000</c:v>
                </c:pt>
              </c:numCache>
            </c:numRef>
          </c:xVal>
          <c:yVal>
            <c:numRef>
              <c:f>Acreage!$U$2:$U$18</c:f>
              <c:numCache>
                <c:formatCode>#,##0</c:formatCode>
                <c:ptCount val="17"/>
                <c:pt idx="0">
                  <c:v>86550000</c:v>
                </c:pt>
                <c:pt idx="1">
                  <c:v>80749000</c:v>
                </c:pt>
                <c:pt idx="2">
                  <c:v>83136000</c:v>
                </c:pt>
                <c:pt idx="3">
                  <c:v>87451000</c:v>
                </c:pt>
                <c:pt idx="4">
                  <c:v>87365000</c:v>
                </c:pt>
                <c:pt idx="5">
                  <c:v>83879000</c:v>
                </c:pt>
                <c:pt idx="6">
                  <c:v>81446000</c:v>
                </c:pt>
                <c:pt idx="7">
                  <c:v>79490000</c:v>
                </c:pt>
                <c:pt idx="8">
                  <c:v>78570000</c:v>
                </c:pt>
                <c:pt idx="9">
                  <c:v>86520000</c:v>
                </c:pt>
                <c:pt idx="10">
                  <c:v>70638000</c:v>
                </c:pt>
                <c:pt idx="11">
                  <c:v>75117000</c:v>
                </c:pt>
                <c:pt idx="12">
                  <c:v>73631000</c:v>
                </c:pt>
                <c:pt idx="13">
                  <c:v>70944000</c:v>
                </c:pt>
                <c:pt idx="14">
                  <c:v>69330000</c:v>
                </c:pt>
                <c:pt idx="15">
                  <c:v>68768000</c:v>
                </c:pt>
                <c:pt idx="16">
                  <c:v>72440000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161-439D-B15F-C1F4AE64A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3168112"/>
        <c:axId val="1843169744"/>
      </c:scatterChart>
      <c:scatterChart>
        <c:scatterStyle val="lineMarker"/>
        <c:varyColors val="0"/>
        <c:ser>
          <c:idx val="2"/>
          <c:order val="2"/>
          <c:tx>
            <c:strRef>
              <c:f>Acreage!$V$1</c:f>
              <c:strCache>
                <c:ptCount val="1"/>
                <c:pt idx="0">
                  <c:v>Difference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Acreage!$B$2:$B$18</c:f>
              <c:numCache>
                <c:formatCode>0</c:formatCode>
                <c:ptCount val="17"/>
                <c:pt idx="0" formatCode="General">
                  <c:v>2016</c:v>
                </c:pt>
                <c:pt idx="1">
                  <c:v>2015</c:v>
                </c:pt>
                <c:pt idx="2">
                  <c:v>2014</c:v>
                </c:pt>
                <c:pt idx="3">
                  <c:v>2013</c:v>
                </c:pt>
                <c:pt idx="4">
                  <c:v>2012</c:v>
                </c:pt>
                <c:pt idx="5">
                  <c:v>2011</c:v>
                </c:pt>
                <c:pt idx="6">
                  <c:v>2010</c:v>
                </c:pt>
                <c:pt idx="7">
                  <c:v>2009</c:v>
                </c:pt>
                <c:pt idx="8">
                  <c:v>2008</c:v>
                </c:pt>
                <c:pt idx="9">
                  <c:v>2007</c:v>
                </c:pt>
                <c:pt idx="10">
                  <c:v>2006</c:v>
                </c:pt>
                <c:pt idx="11">
                  <c:v>2005</c:v>
                </c:pt>
                <c:pt idx="12">
                  <c:v>2004</c:v>
                </c:pt>
                <c:pt idx="13">
                  <c:v>2003</c:v>
                </c:pt>
                <c:pt idx="14">
                  <c:v>2002</c:v>
                </c:pt>
                <c:pt idx="15">
                  <c:v>2001</c:v>
                </c:pt>
                <c:pt idx="16">
                  <c:v>2000</c:v>
                </c:pt>
              </c:numCache>
            </c:numRef>
          </c:xVal>
          <c:yVal>
            <c:numRef>
              <c:f>Acreage!$V$2:$V$18</c:f>
              <c:numCache>
                <c:formatCode>#,##0</c:formatCode>
                <c:ptCount val="17"/>
                <c:pt idx="0">
                  <c:v>7598000</c:v>
                </c:pt>
                <c:pt idx="1">
                  <c:v>7250000</c:v>
                </c:pt>
                <c:pt idx="2">
                  <c:v>7461000</c:v>
                </c:pt>
                <c:pt idx="3">
                  <c:v>7914000</c:v>
                </c:pt>
                <c:pt idx="4">
                  <c:v>9926000</c:v>
                </c:pt>
                <c:pt idx="5">
                  <c:v>8057000</c:v>
                </c:pt>
                <c:pt idx="6">
                  <c:v>6746000</c:v>
                </c:pt>
                <c:pt idx="7">
                  <c:v>6892000</c:v>
                </c:pt>
                <c:pt idx="8">
                  <c:v>7412000</c:v>
                </c:pt>
                <c:pt idx="9">
                  <c:v>7007000</c:v>
                </c:pt>
                <c:pt idx="10">
                  <c:v>7689000</c:v>
                </c:pt>
                <c:pt idx="11">
                  <c:v>6662000</c:v>
                </c:pt>
                <c:pt idx="12">
                  <c:v>7298000</c:v>
                </c:pt>
                <c:pt idx="13">
                  <c:v>7659000</c:v>
                </c:pt>
                <c:pt idx="14">
                  <c:v>9564000</c:v>
                </c:pt>
                <c:pt idx="15">
                  <c:v>6934000</c:v>
                </c:pt>
                <c:pt idx="16">
                  <c:v>7111000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161-439D-B15F-C1F4AE64A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9093392"/>
        <c:axId val="1843170288"/>
      </c:scatterChart>
      <c:valAx>
        <c:axId val="1843168112"/>
        <c:scaling>
          <c:orientation val="minMax"/>
          <c:max val="2017"/>
          <c:min val="19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3169744"/>
        <c:crosses val="autoZero"/>
        <c:crossBetween val="midCat"/>
      </c:valAx>
      <c:valAx>
        <c:axId val="1843169744"/>
        <c:scaling>
          <c:orientation val="minMax"/>
          <c:min val="6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3168112"/>
        <c:crosses val="autoZero"/>
        <c:crossBetween val="midCat"/>
      </c:valAx>
      <c:valAx>
        <c:axId val="1843170288"/>
        <c:scaling>
          <c:orientation val="minMax"/>
          <c:max val="40000000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9093392"/>
        <c:crosses val="max"/>
        <c:crossBetween val="midCat"/>
      </c:valAx>
      <c:valAx>
        <c:axId val="18390933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43170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Corn Planted Acres versus Prices Received 1866 - 2016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Acreage!$W$2:$W$22</c:f>
              <c:numCache>
                <c:formatCode>0.00</c:formatCode>
                <c:ptCount val="21"/>
                <c:pt idx="1">
                  <c:v>3.71</c:v>
                </c:pt>
                <c:pt idx="2">
                  <c:v>4.1100000000000003</c:v>
                </c:pt>
                <c:pt idx="3">
                  <c:v>6.15</c:v>
                </c:pt>
                <c:pt idx="4">
                  <c:v>6.67</c:v>
                </c:pt>
                <c:pt idx="5">
                  <c:v>6.02</c:v>
                </c:pt>
                <c:pt idx="6">
                  <c:v>3.83</c:v>
                </c:pt>
                <c:pt idx="7">
                  <c:v>3.75</c:v>
                </c:pt>
                <c:pt idx="8">
                  <c:v>4.78</c:v>
                </c:pt>
                <c:pt idx="9">
                  <c:v>3.39</c:v>
                </c:pt>
                <c:pt idx="10">
                  <c:v>2.2799999999999998</c:v>
                </c:pt>
                <c:pt idx="11">
                  <c:v>1.96</c:v>
                </c:pt>
                <c:pt idx="12">
                  <c:v>2.4700000000000002</c:v>
                </c:pt>
                <c:pt idx="13">
                  <c:v>2.27</c:v>
                </c:pt>
                <c:pt idx="14">
                  <c:v>2.13</c:v>
                </c:pt>
                <c:pt idx="15">
                  <c:v>1.89</c:v>
                </c:pt>
                <c:pt idx="16">
                  <c:v>1.86</c:v>
                </c:pt>
                <c:pt idx="17">
                  <c:v>1.89</c:v>
                </c:pt>
                <c:pt idx="18">
                  <c:v>2.2000000000000002</c:v>
                </c:pt>
                <c:pt idx="19">
                  <c:v>2.6</c:v>
                </c:pt>
                <c:pt idx="20">
                  <c:v>3.55</c:v>
                </c:pt>
              </c:numCache>
            </c:numRef>
          </c:xVal>
          <c:yVal>
            <c:numRef>
              <c:f>Acreage!$S$2:$S$152</c:f>
              <c:numCache>
                <c:formatCode>#,##0</c:formatCode>
                <c:ptCount val="151"/>
                <c:pt idx="0">
                  <c:v>94148000</c:v>
                </c:pt>
                <c:pt idx="1">
                  <c:v>87999000</c:v>
                </c:pt>
                <c:pt idx="2">
                  <c:v>90597000</c:v>
                </c:pt>
                <c:pt idx="3">
                  <c:v>95365000</c:v>
                </c:pt>
                <c:pt idx="4">
                  <c:v>97291000</c:v>
                </c:pt>
                <c:pt idx="5">
                  <c:v>91936000</c:v>
                </c:pt>
                <c:pt idx="6">
                  <c:v>88192000</c:v>
                </c:pt>
                <c:pt idx="7">
                  <c:v>86382000</c:v>
                </c:pt>
                <c:pt idx="8">
                  <c:v>85982000</c:v>
                </c:pt>
                <c:pt idx="9">
                  <c:v>93527000</c:v>
                </c:pt>
                <c:pt idx="10">
                  <c:v>78327000</c:v>
                </c:pt>
                <c:pt idx="11">
                  <c:v>81779000</c:v>
                </c:pt>
                <c:pt idx="12">
                  <c:v>80929000</c:v>
                </c:pt>
                <c:pt idx="13">
                  <c:v>78603000</c:v>
                </c:pt>
                <c:pt idx="14">
                  <c:v>78894000</c:v>
                </c:pt>
                <c:pt idx="15">
                  <c:v>75702000</c:v>
                </c:pt>
                <c:pt idx="16">
                  <c:v>79551000</c:v>
                </c:pt>
                <c:pt idx="17">
                  <c:v>77386000</c:v>
                </c:pt>
                <c:pt idx="18">
                  <c:v>80165000</c:v>
                </c:pt>
                <c:pt idx="19">
                  <c:v>79537000</c:v>
                </c:pt>
                <c:pt idx="20">
                  <c:v>79229000</c:v>
                </c:pt>
                <c:pt idx="21">
                  <c:v>71479000</c:v>
                </c:pt>
                <c:pt idx="22">
                  <c:v>78921000</c:v>
                </c:pt>
                <c:pt idx="23">
                  <c:v>73239000</c:v>
                </c:pt>
                <c:pt idx="24">
                  <c:v>79311000</c:v>
                </c:pt>
                <c:pt idx="25">
                  <c:v>75957000</c:v>
                </c:pt>
                <c:pt idx="26">
                  <c:v>74166000</c:v>
                </c:pt>
                <c:pt idx="27">
                  <c:v>72322000</c:v>
                </c:pt>
                <c:pt idx="28">
                  <c:v>67717000</c:v>
                </c:pt>
                <c:pt idx="29">
                  <c:v>66200000</c:v>
                </c:pt>
                <c:pt idx="30">
                  <c:v>76580000</c:v>
                </c:pt>
                <c:pt idx="31">
                  <c:v>83398000</c:v>
                </c:pt>
                <c:pt idx="32">
                  <c:v>80517000</c:v>
                </c:pt>
                <c:pt idx="33">
                  <c:v>60207000</c:v>
                </c:pt>
                <c:pt idx="34">
                  <c:v>81857000</c:v>
                </c:pt>
                <c:pt idx="35">
                  <c:v>84097000</c:v>
                </c:pt>
                <c:pt idx="36">
                  <c:v>84043000</c:v>
                </c:pt>
                <c:pt idx="37">
                  <c:v>81394000</c:v>
                </c:pt>
                <c:pt idx="38">
                  <c:v>81675000</c:v>
                </c:pt>
                <c:pt idx="39">
                  <c:v>84328000</c:v>
                </c:pt>
                <c:pt idx="40">
                  <c:v>84588000</c:v>
                </c:pt>
                <c:pt idx="41">
                  <c:v>78719000</c:v>
                </c:pt>
                <c:pt idx="42">
                  <c:v>77935000</c:v>
                </c:pt>
                <c:pt idx="43">
                  <c:v>72253000</c:v>
                </c:pt>
                <c:pt idx="44">
                  <c:v>67126000</c:v>
                </c:pt>
                <c:pt idx="45">
                  <c:v>74179000</c:v>
                </c:pt>
                <c:pt idx="46">
                  <c:v>66863000</c:v>
                </c:pt>
                <c:pt idx="47">
                  <c:v>64264000</c:v>
                </c:pt>
                <c:pt idx="48">
                  <c:v>65126000</c:v>
                </c:pt>
                <c:pt idx="49">
                  <c:v>71156000</c:v>
                </c:pt>
                <c:pt idx="50">
                  <c:v>66347000</c:v>
                </c:pt>
                <c:pt idx="51">
                  <c:v>65171000</c:v>
                </c:pt>
                <c:pt idx="52">
                  <c:v>65823000</c:v>
                </c:pt>
                <c:pt idx="53">
                  <c:v>68771000</c:v>
                </c:pt>
                <c:pt idx="54">
                  <c:v>65017000</c:v>
                </c:pt>
                <c:pt idx="55">
                  <c:v>65919000</c:v>
                </c:pt>
                <c:pt idx="56">
                  <c:v>81425000</c:v>
                </c:pt>
                <c:pt idx="57">
                  <c:v>82742000</c:v>
                </c:pt>
                <c:pt idx="58">
                  <c:v>73351000</c:v>
                </c:pt>
                <c:pt idx="59">
                  <c:v>73180000</c:v>
                </c:pt>
                <c:pt idx="60">
                  <c:v>77828000</c:v>
                </c:pt>
                <c:pt idx="61">
                  <c:v>80932000</c:v>
                </c:pt>
                <c:pt idx="62">
                  <c:v>82185000</c:v>
                </c:pt>
                <c:pt idx="63">
                  <c:v>81574000</c:v>
                </c:pt>
                <c:pt idx="64">
                  <c:v>82230000</c:v>
                </c:pt>
                <c:pt idx="65">
                  <c:v>83275000</c:v>
                </c:pt>
                <c:pt idx="66">
                  <c:v>82859000</c:v>
                </c:pt>
                <c:pt idx="67">
                  <c:v>86738000</c:v>
                </c:pt>
                <c:pt idx="68">
                  <c:v>85522000</c:v>
                </c:pt>
                <c:pt idx="69">
                  <c:v>85038000</c:v>
                </c:pt>
                <c:pt idx="70">
                  <c:v>88898000</c:v>
                </c:pt>
                <c:pt idx="71">
                  <c:v>89261000</c:v>
                </c:pt>
                <c:pt idx="72">
                  <c:v>95475000</c:v>
                </c:pt>
                <c:pt idx="73">
                  <c:v>94341000</c:v>
                </c:pt>
                <c:pt idx="74">
                  <c:v>88818000</c:v>
                </c:pt>
                <c:pt idx="75">
                  <c:v>86837000</c:v>
                </c:pt>
                <c:pt idx="76">
                  <c:v>88692000</c:v>
                </c:pt>
                <c:pt idx="77">
                  <c:v>91639000</c:v>
                </c:pt>
                <c:pt idx="78">
                  <c:v>94473000</c:v>
                </c:pt>
                <c:pt idx="79">
                  <c:v>97174000</c:v>
                </c:pt>
                <c:pt idx="80">
                  <c:v>101959000</c:v>
                </c:pt>
                <c:pt idx="81">
                  <c:v>99974000</c:v>
                </c:pt>
                <c:pt idx="82">
                  <c:v>100563000</c:v>
                </c:pt>
                <c:pt idx="83">
                  <c:v>109830000</c:v>
                </c:pt>
                <c:pt idx="84">
                  <c:v>113024000</c:v>
                </c:pt>
                <c:pt idx="85">
                  <c:v>109364000</c:v>
                </c:pt>
                <c:pt idx="86">
                  <c:v>103915000</c:v>
                </c:pt>
                <c:pt idx="87">
                  <c:v>99130000</c:v>
                </c:pt>
                <c:pt idx="88">
                  <c:v>100399000</c:v>
                </c:pt>
                <c:pt idx="89">
                  <c:v>98460000</c:v>
                </c:pt>
                <c:pt idx="90">
                  <c:v>99660000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76C-4585-B155-9082AAE2AA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9094480"/>
        <c:axId val="1839095024"/>
      </c:scatterChart>
      <c:valAx>
        <c:axId val="1839094480"/>
        <c:scaling>
          <c:orientation val="minMax"/>
          <c:min val="1.5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Prices Received by Farmers 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9095024"/>
        <c:crosses val="autoZero"/>
        <c:crossBetween val="midCat"/>
      </c:valAx>
      <c:valAx>
        <c:axId val="1839095024"/>
        <c:scaling>
          <c:orientation val="minMax"/>
          <c:min val="6000000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Planted Acres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9094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6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Corn Planted</a:t>
            </a:r>
            <a:r>
              <a:rPr lang="en-US" baseline="0"/>
              <a:t> Acres and Corn/Soybeans Price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77348511736535"/>
          <c:y val="0.13072061051263587"/>
          <c:w val="0.71592730356558199"/>
          <c:h val="0.53622409863240783"/>
        </c:manualLayout>
      </c:layout>
      <c:scatterChart>
        <c:scatterStyle val="lineMarker"/>
        <c:varyColors val="0"/>
        <c:ser>
          <c:idx val="0"/>
          <c:order val="0"/>
          <c:tx>
            <c:strRef>
              <c:f>Acreage!$S$1</c:f>
              <c:strCache>
                <c:ptCount val="1"/>
                <c:pt idx="0">
                  <c:v>CORN - ACRES PLANTED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Acreage!$B$2:$B$18</c:f>
              <c:numCache>
                <c:formatCode>0</c:formatCode>
                <c:ptCount val="17"/>
                <c:pt idx="0" formatCode="General">
                  <c:v>2016</c:v>
                </c:pt>
                <c:pt idx="1">
                  <c:v>2015</c:v>
                </c:pt>
                <c:pt idx="2">
                  <c:v>2014</c:v>
                </c:pt>
                <c:pt idx="3">
                  <c:v>2013</c:v>
                </c:pt>
                <c:pt idx="4">
                  <c:v>2012</c:v>
                </c:pt>
                <c:pt idx="5">
                  <c:v>2011</c:v>
                </c:pt>
                <c:pt idx="6">
                  <c:v>2010</c:v>
                </c:pt>
                <c:pt idx="7">
                  <c:v>2009</c:v>
                </c:pt>
                <c:pt idx="8">
                  <c:v>2008</c:v>
                </c:pt>
                <c:pt idx="9">
                  <c:v>2007</c:v>
                </c:pt>
                <c:pt idx="10">
                  <c:v>2006</c:v>
                </c:pt>
                <c:pt idx="11">
                  <c:v>2005</c:v>
                </c:pt>
                <c:pt idx="12">
                  <c:v>2004</c:v>
                </c:pt>
                <c:pt idx="13">
                  <c:v>2003</c:v>
                </c:pt>
                <c:pt idx="14">
                  <c:v>2002</c:v>
                </c:pt>
                <c:pt idx="15">
                  <c:v>2001</c:v>
                </c:pt>
                <c:pt idx="16">
                  <c:v>2000</c:v>
                </c:pt>
              </c:numCache>
            </c:numRef>
          </c:xVal>
          <c:yVal>
            <c:numRef>
              <c:f>Acreage!$S$2:$S$18</c:f>
              <c:numCache>
                <c:formatCode>#,##0</c:formatCode>
                <c:ptCount val="17"/>
                <c:pt idx="0">
                  <c:v>94148000</c:v>
                </c:pt>
                <c:pt idx="1">
                  <c:v>87999000</c:v>
                </c:pt>
                <c:pt idx="2">
                  <c:v>90597000</c:v>
                </c:pt>
                <c:pt idx="3">
                  <c:v>95365000</c:v>
                </c:pt>
                <c:pt idx="4">
                  <c:v>97291000</c:v>
                </c:pt>
                <c:pt idx="5">
                  <c:v>91936000</c:v>
                </c:pt>
                <c:pt idx="6">
                  <c:v>88192000</c:v>
                </c:pt>
                <c:pt idx="7">
                  <c:v>86382000</c:v>
                </c:pt>
                <c:pt idx="8">
                  <c:v>85982000</c:v>
                </c:pt>
                <c:pt idx="9">
                  <c:v>93527000</c:v>
                </c:pt>
                <c:pt idx="10">
                  <c:v>78327000</c:v>
                </c:pt>
                <c:pt idx="11">
                  <c:v>81779000</c:v>
                </c:pt>
                <c:pt idx="12">
                  <c:v>80929000</c:v>
                </c:pt>
                <c:pt idx="13">
                  <c:v>78603000</c:v>
                </c:pt>
                <c:pt idx="14">
                  <c:v>78894000</c:v>
                </c:pt>
                <c:pt idx="15">
                  <c:v>75702000</c:v>
                </c:pt>
                <c:pt idx="16">
                  <c:v>79551000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BC-4F05-B34F-595CF2B57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9092848"/>
        <c:axId val="1839088496"/>
      </c:scatterChart>
      <c:scatterChart>
        <c:scatterStyle val="lineMarker"/>
        <c:varyColors val="0"/>
        <c:ser>
          <c:idx val="1"/>
          <c:order val="1"/>
          <c:tx>
            <c:strRef>
              <c:f>Acreage!$Y$1</c:f>
              <c:strCache>
                <c:ptCount val="1"/>
                <c:pt idx="0">
                  <c:v>Corn/Soybean Price Ratio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Acreage!$B$2:$B$18</c:f>
              <c:numCache>
                <c:formatCode>0</c:formatCode>
                <c:ptCount val="17"/>
                <c:pt idx="0" formatCode="General">
                  <c:v>2016</c:v>
                </c:pt>
                <c:pt idx="1">
                  <c:v>2015</c:v>
                </c:pt>
                <c:pt idx="2">
                  <c:v>2014</c:v>
                </c:pt>
                <c:pt idx="3">
                  <c:v>2013</c:v>
                </c:pt>
                <c:pt idx="4">
                  <c:v>2012</c:v>
                </c:pt>
                <c:pt idx="5">
                  <c:v>2011</c:v>
                </c:pt>
                <c:pt idx="6">
                  <c:v>2010</c:v>
                </c:pt>
                <c:pt idx="7">
                  <c:v>2009</c:v>
                </c:pt>
                <c:pt idx="8">
                  <c:v>2008</c:v>
                </c:pt>
                <c:pt idx="9">
                  <c:v>2007</c:v>
                </c:pt>
                <c:pt idx="10">
                  <c:v>2006</c:v>
                </c:pt>
                <c:pt idx="11">
                  <c:v>2005</c:v>
                </c:pt>
                <c:pt idx="12">
                  <c:v>2004</c:v>
                </c:pt>
                <c:pt idx="13">
                  <c:v>2003</c:v>
                </c:pt>
                <c:pt idx="14">
                  <c:v>2002</c:v>
                </c:pt>
                <c:pt idx="15">
                  <c:v>2001</c:v>
                </c:pt>
                <c:pt idx="16">
                  <c:v>2000</c:v>
                </c:pt>
              </c:numCache>
            </c:numRef>
          </c:xVal>
          <c:yVal>
            <c:numRef>
              <c:f>Acreage!$Y$2:$Y$18</c:f>
              <c:numCache>
                <c:formatCode>General</c:formatCode>
                <c:ptCount val="17"/>
                <c:pt idx="1">
                  <c:v>0.39093782929399368</c:v>
                </c:pt>
                <c:pt idx="2">
                  <c:v>0.32880000000000004</c:v>
                </c:pt>
                <c:pt idx="3">
                  <c:v>0.43617021276595747</c:v>
                </c:pt>
                <c:pt idx="4">
                  <c:v>0.47642857142857142</c:v>
                </c:pt>
                <c:pt idx="5">
                  <c:v>0.48159999999999997</c:v>
                </c:pt>
                <c:pt idx="6">
                  <c:v>0.38415245737211634</c:v>
                </c:pt>
                <c:pt idx="7">
                  <c:v>0.37128712871287128</c:v>
                </c:pt>
                <c:pt idx="8">
                  <c:v>0.4230088495575221</c:v>
                </c:pt>
                <c:pt idx="9">
                  <c:v>0.43798449612403101</c:v>
                </c:pt>
                <c:pt idx="10">
                  <c:v>0.4035398230088495</c:v>
                </c:pt>
                <c:pt idx="11">
                  <c:v>0.32941176470588235</c:v>
                </c:pt>
                <c:pt idx="12">
                  <c:v>0.32671957671957674</c:v>
                </c:pt>
                <c:pt idx="13">
                  <c:v>0.37335526315789475</c:v>
                </c:pt>
                <c:pt idx="14">
                  <c:v>0.43204868154158216</c:v>
                </c:pt>
                <c:pt idx="15">
                  <c:v>0.42663656884875845</c:v>
                </c:pt>
                <c:pt idx="16">
                  <c:v>0.39323467230443976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6BC-4F05-B34F-595CF2B57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9089040"/>
        <c:axId val="1839095568"/>
      </c:scatterChart>
      <c:valAx>
        <c:axId val="1839092848"/>
        <c:scaling>
          <c:orientation val="minMax"/>
          <c:max val="201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9088496"/>
        <c:crosses val="autoZero"/>
        <c:crossBetween val="midCat"/>
      </c:valAx>
      <c:valAx>
        <c:axId val="183908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Acres</a:t>
                </a:r>
                <a:r>
                  <a:rPr lang="en-US" baseline="0"/>
                  <a:t> Planted to Corn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9092848"/>
        <c:crosses val="autoZero"/>
        <c:crossBetween val="midCat"/>
      </c:valAx>
      <c:valAx>
        <c:axId val="1839095568"/>
        <c:scaling>
          <c:orientation val="minMax"/>
          <c:max val="1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Corn/Soybean Price</a:t>
                </a:r>
                <a:r>
                  <a:rPr lang="en-US" baseline="0"/>
                  <a:t> Ratio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9089040"/>
        <c:crosses val="max"/>
        <c:crossBetween val="midCat"/>
      </c:valAx>
      <c:valAx>
        <c:axId val="18390890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39095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6102174344771322"/>
          <c:y val="0.79166234977206795"/>
          <c:w val="0.71491554353251852"/>
          <c:h val="0.166675300455864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Corn Yield, 1980 - 201</a:t>
            </a:r>
            <a:r>
              <a:rPr lang="en-US" altLang="zh-CN"/>
              <a:t>6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Yield!$B$1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32981058617672793"/>
                  <c:y val="-0.130046296296296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Yield!$A$4:$A$40</c:f>
              <c:numCache>
                <c:formatCode>0</c:formatCode>
                <c:ptCount val="37"/>
                <c:pt idx="0">
                  <c:v>2016</c:v>
                </c:pt>
                <c:pt idx="1">
                  <c:v>2015</c:v>
                </c:pt>
                <c:pt idx="2">
                  <c:v>2014</c:v>
                </c:pt>
                <c:pt idx="3">
                  <c:v>2013</c:v>
                </c:pt>
                <c:pt idx="4">
                  <c:v>2012</c:v>
                </c:pt>
                <c:pt idx="5">
                  <c:v>2011</c:v>
                </c:pt>
                <c:pt idx="6">
                  <c:v>2010</c:v>
                </c:pt>
                <c:pt idx="7">
                  <c:v>2009</c:v>
                </c:pt>
                <c:pt idx="8">
                  <c:v>2008</c:v>
                </c:pt>
                <c:pt idx="9">
                  <c:v>2007</c:v>
                </c:pt>
                <c:pt idx="10">
                  <c:v>2006</c:v>
                </c:pt>
                <c:pt idx="11">
                  <c:v>2005</c:v>
                </c:pt>
                <c:pt idx="12">
                  <c:v>2004</c:v>
                </c:pt>
                <c:pt idx="13">
                  <c:v>2003</c:v>
                </c:pt>
                <c:pt idx="14">
                  <c:v>2002</c:v>
                </c:pt>
                <c:pt idx="15">
                  <c:v>2001</c:v>
                </c:pt>
                <c:pt idx="16">
                  <c:v>2000</c:v>
                </c:pt>
                <c:pt idx="17">
                  <c:v>1999</c:v>
                </c:pt>
                <c:pt idx="18">
                  <c:v>1998</c:v>
                </c:pt>
                <c:pt idx="19">
                  <c:v>1997</c:v>
                </c:pt>
                <c:pt idx="20">
                  <c:v>1996</c:v>
                </c:pt>
                <c:pt idx="21">
                  <c:v>1995</c:v>
                </c:pt>
                <c:pt idx="22">
                  <c:v>1994</c:v>
                </c:pt>
                <c:pt idx="23">
                  <c:v>1993</c:v>
                </c:pt>
                <c:pt idx="24">
                  <c:v>1992</c:v>
                </c:pt>
                <c:pt idx="25">
                  <c:v>1991</c:v>
                </c:pt>
                <c:pt idx="26">
                  <c:v>1990</c:v>
                </c:pt>
                <c:pt idx="27">
                  <c:v>1989</c:v>
                </c:pt>
                <c:pt idx="28">
                  <c:v>1988</c:v>
                </c:pt>
                <c:pt idx="29">
                  <c:v>1987</c:v>
                </c:pt>
                <c:pt idx="30">
                  <c:v>1986</c:v>
                </c:pt>
                <c:pt idx="31">
                  <c:v>1985</c:v>
                </c:pt>
                <c:pt idx="32">
                  <c:v>1984</c:v>
                </c:pt>
                <c:pt idx="33">
                  <c:v>1983</c:v>
                </c:pt>
                <c:pt idx="34">
                  <c:v>1982</c:v>
                </c:pt>
                <c:pt idx="35">
                  <c:v>1981</c:v>
                </c:pt>
                <c:pt idx="36">
                  <c:v>1980</c:v>
                </c:pt>
              </c:numCache>
            </c:numRef>
          </c:xVal>
          <c:yVal>
            <c:numRef>
              <c:f>Yield!$B$4:$B$40</c:f>
              <c:numCache>
                <c:formatCode>General</c:formatCode>
                <c:ptCount val="37"/>
                <c:pt idx="0">
                  <c:v>174.4</c:v>
                </c:pt>
                <c:pt idx="1">
                  <c:v>168.4</c:v>
                </c:pt>
                <c:pt idx="2">
                  <c:v>171</c:v>
                </c:pt>
                <c:pt idx="3">
                  <c:v>158.1</c:v>
                </c:pt>
                <c:pt idx="4">
                  <c:v>123.1</c:v>
                </c:pt>
                <c:pt idx="5">
                  <c:v>146.80000000000001</c:v>
                </c:pt>
                <c:pt idx="6">
                  <c:v>152.6</c:v>
                </c:pt>
                <c:pt idx="7">
                  <c:v>164.4</c:v>
                </c:pt>
                <c:pt idx="8">
                  <c:v>153.30000000000001</c:v>
                </c:pt>
                <c:pt idx="9">
                  <c:v>150.69999999999999</c:v>
                </c:pt>
                <c:pt idx="10">
                  <c:v>149.1</c:v>
                </c:pt>
                <c:pt idx="11">
                  <c:v>147.9</c:v>
                </c:pt>
                <c:pt idx="12">
                  <c:v>160.30000000000001</c:v>
                </c:pt>
                <c:pt idx="13">
                  <c:v>142.19999999999999</c:v>
                </c:pt>
                <c:pt idx="14">
                  <c:v>129.30000000000001</c:v>
                </c:pt>
                <c:pt idx="15">
                  <c:v>138.19999999999999</c:v>
                </c:pt>
                <c:pt idx="16">
                  <c:v>136.9</c:v>
                </c:pt>
                <c:pt idx="17">
                  <c:v>133.80000000000001</c:v>
                </c:pt>
                <c:pt idx="18">
                  <c:v>134.4</c:v>
                </c:pt>
                <c:pt idx="19">
                  <c:v>126.7</c:v>
                </c:pt>
                <c:pt idx="20">
                  <c:v>127.1</c:v>
                </c:pt>
                <c:pt idx="21">
                  <c:v>113.5</c:v>
                </c:pt>
                <c:pt idx="22">
                  <c:v>138.6</c:v>
                </c:pt>
                <c:pt idx="23">
                  <c:v>100.7</c:v>
                </c:pt>
                <c:pt idx="24">
                  <c:v>131.5</c:v>
                </c:pt>
                <c:pt idx="25">
                  <c:v>108.6</c:v>
                </c:pt>
                <c:pt idx="26">
                  <c:v>118.5</c:v>
                </c:pt>
                <c:pt idx="27">
                  <c:v>116.3</c:v>
                </c:pt>
                <c:pt idx="28">
                  <c:v>84.6</c:v>
                </c:pt>
                <c:pt idx="29">
                  <c:v>119.8</c:v>
                </c:pt>
                <c:pt idx="30">
                  <c:v>119.4</c:v>
                </c:pt>
                <c:pt idx="31">
                  <c:v>118</c:v>
                </c:pt>
                <c:pt idx="32">
                  <c:v>106.7</c:v>
                </c:pt>
                <c:pt idx="33">
                  <c:v>81.099999999999994</c:v>
                </c:pt>
                <c:pt idx="34">
                  <c:v>113.2</c:v>
                </c:pt>
                <c:pt idx="35">
                  <c:v>108.9</c:v>
                </c:pt>
                <c:pt idx="36">
                  <c:v>91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13B-4693-B67E-7BFAEDA679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9092304"/>
        <c:axId val="1537214464"/>
      </c:scatterChart>
      <c:valAx>
        <c:axId val="183909230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7214464"/>
        <c:crosses val="autoZero"/>
        <c:crossBetween val="midCat"/>
      </c:valAx>
      <c:valAx>
        <c:axId val="1537214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Bushels</a:t>
                </a:r>
                <a:r>
                  <a:rPr lang="en-US" baseline="0"/>
                  <a:t> Per Acre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3.0555555555555555E-2"/>
              <c:y val="0.434078083989501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9092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Corn Yield, 1866 - 201</a:t>
            </a:r>
            <a:r>
              <a:rPr lang="en-US" altLang="zh-CN"/>
              <a:t>6</a:t>
            </a:r>
            <a:r>
              <a:rPr lang="en-US"/>
              <a:t>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Yield!$B$1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37402909011373581"/>
                  <c:y val="-0.2422440944881889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Yield!$A$4:$A$154</c:f>
              <c:numCache>
                <c:formatCode>0</c:formatCode>
                <c:ptCount val="151"/>
                <c:pt idx="0">
                  <c:v>2016</c:v>
                </c:pt>
                <c:pt idx="1">
                  <c:v>2015</c:v>
                </c:pt>
                <c:pt idx="2">
                  <c:v>2014</c:v>
                </c:pt>
                <c:pt idx="3">
                  <c:v>2013</c:v>
                </c:pt>
                <c:pt idx="4">
                  <c:v>2012</c:v>
                </c:pt>
                <c:pt idx="5">
                  <c:v>2011</c:v>
                </c:pt>
                <c:pt idx="6">
                  <c:v>2010</c:v>
                </c:pt>
                <c:pt idx="7">
                  <c:v>2009</c:v>
                </c:pt>
                <c:pt idx="8">
                  <c:v>2008</c:v>
                </c:pt>
                <c:pt idx="9">
                  <c:v>2007</c:v>
                </c:pt>
                <c:pt idx="10">
                  <c:v>2006</c:v>
                </c:pt>
                <c:pt idx="11">
                  <c:v>2005</c:v>
                </c:pt>
                <c:pt idx="12">
                  <c:v>2004</c:v>
                </c:pt>
                <c:pt idx="13">
                  <c:v>2003</c:v>
                </c:pt>
                <c:pt idx="14">
                  <c:v>2002</c:v>
                </c:pt>
                <c:pt idx="15">
                  <c:v>2001</c:v>
                </c:pt>
                <c:pt idx="16">
                  <c:v>2000</c:v>
                </c:pt>
                <c:pt idx="17">
                  <c:v>1999</c:v>
                </c:pt>
                <c:pt idx="18">
                  <c:v>1998</c:v>
                </c:pt>
                <c:pt idx="19">
                  <c:v>1997</c:v>
                </c:pt>
                <c:pt idx="20">
                  <c:v>1996</c:v>
                </c:pt>
                <c:pt idx="21">
                  <c:v>1995</c:v>
                </c:pt>
                <c:pt idx="22">
                  <c:v>1994</c:v>
                </c:pt>
                <c:pt idx="23">
                  <c:v>1993</c:v>
                </c:pt>
                <c:pt idx="24">
                  <c:v>1992</c:v>
                </c:pt>
                <c:pt idx="25">
                  <c:v>1991</c:v>
                </c:pt>
                <c:pt idx="26">
                  <c:v>1990</c:v>
                </c:pt>
                <c:pt idx="27">
                  <c:v>1989</c:v>
                </c:pt>
                <c:pt idx="28">
                  <c:v>1988</c:v>
                </c:pt>
                <c:pt idx="29">
                  <c:v>1987</c:v>
                </c:pt>
                <c:pt idx="30">
                  <c:v>1986</c:v>
                </c:pt>
                <c:pt idx="31">
                  <c:v>1985</c:v>
                </c:pt>
                <c:pt idx="32">
                  <c:v>1984</c:v>
                </c:pt>
                <c:pt idx="33">
                  <c:v>1983</c:v>
                </c:pt>
                <c:pt idx="34">
                  <c:v>1982</c:v>
                </c:pt>
                <c:pt idx="35">
                  <c:v>1981</c:v>
                </c:pt>
                <c:pt idx="36">
                  <c:v>1980</c:v>
                </c:pt>
                <c:pt idx="37">
                  <c:v>1979</c:v>
                </c:pt>
                <c:pt idx="38">
                  <c:v>1978</c:v>
                </c:pt>
                <c:pt idx="39">
                  <c:v>1977</c:v>
                </c:pt>
                <c:pt idx="40">
                  <c:v>1976</c:v>
                </c:pt>
                <c:pt idx="41">
                  <c:v>1975</c:v>
                </c:pt>
                <c:pt idx="42">
                  <c:v>1974</c:v>
                </c:pt>
                <c:pt idx="43">
                  <c:v>1973</c:v>
                </c:pt>
                <c:pt idx="44">
                  <c:v>1972</c:v>
                </c:pt>
                <c:pt idx="45">
                  <c:v>1971</c:v>
                </c:pt>
                <c:pt idx="46">
                  <c:v>1970</c:v>
                </c:pt>
                <c:pt idx="47">
                  <c:v>1969</c:v>
                </c:pt>
                <c:pt idx="48">
                  <c:v>1968</c:v>
                </c:pt>
                <c:pt idx="49">
                  <c:v>1967</c:v>
                </c:pt>
                <c:pt idx="50">
                  <c:v>1966</c:v>
                </c:pt>
                <c:pt idx="51">
                  <c:v>1965</c:v>
                </c:pt>
                <c:pt idx="52">
                  <c:v>1964</c:v>
                </c:pt>
                <c:pt idx="53">
                  <c:v>1963</c:v>
                </c:pt>
                <c:pt idx="54">
                  <c:v>1962</c:v>
                </c:pt>
                <c:pt idx="55">
                  <c:v>1961</c:v>
                </c:pt>
                <c:pt idx="56">
                  <c:v>1960</c:v>
                </c:pt>
                <c:pt idx="57">
                  <c:v>1959</c:v>
                </c:pt>
                <c:pt idx="58">
                  <c:v>1958</c:v>
                </c:pt>
                <c:pt idx="59">
                  <c:v>1957</c:v>
                </c:pt>
                <c:pt idx="60">
                  <c:v>1956</c:v>
                </c:pt>
                <c:pt idx="61">
                  <c:v>1955</c:v>
                </c:pt>
                <c:pt idx="62">
                  <c:v>1954</c:v>
                </c:pt>
                <c:pt idx="63">
                  <c:v>1953</c:v>
                </c:pt>
                <c:pt idx="64">
                  <c:v>1952</c:v>
                </c:pt>
                <c:pt idx="65">
                  <c:v>1951</c:v>
                </c:pt>
                <c:pt idx="66">
                  <c:v>1950</c:v>
                </c:pt>
                <c:pt idx="67">
                  <c:v>1949</c:v>
                </c:pt>
                <c:pt idx="68">
                  <c:v>1948</c:v>
                </c:pt>
                <c:pt idx="69">
                  <c:v>1947</c:v>
                </c:pt>
                <c:pt idx="70">
                  <c:v>1946</c:v>
                </c:pt>
                <c:pt idx="71">
                  <c:v>1945</c:v>
                </c:pt>
                <c:pt idx="72">
                  <c:v>1944</c:v>
                </c:pt>
                <c:pt idx="73">
                  <c:v>1943</c:v>
                </c:pt>
                <c:pt idx="74">
                  <c:v>1942</c:v>
                </c:pt>
                <c:pt idx="75">
                  <c:v>1941</c:v>
                </c:pt>
                <c:pt idx="76">
                  <c:v>1940</c:v>
                </c:pt>
                <c:pt idx="77">
                  <c:v>1939</c:v>
                </c:pt>
                <c:pt idx="78">
                  <c:v>1938</c:v>
                </c:pt>
                <c:pt idx="79">
                  <c:v>1937</c:v>
                </c:pt>
                <c:pt idx="80">
                  <c:v>1936</c:v>
                </c:pt>
                <c:pt idx="81">
                  <c:v>1935</c:v>
                </c:pt>
                <c:pt idx="82">
                  <c:v>1934</c:v>
                </c:pt>
                <c:pt idx="83">
                  <c:v>1933</c:v>
                </c:pt>
                <c:pt idx="84">
                  <c:v>1932</c:v>
                </c:pt>
                <c:pt idx="85">
                  <c:v>1931</c:v>
                </c:pt>
                <c:pt idx="86">
                  <c:v>1930</c:v>
                </c:pt>
                <c:pt idx="87">
                  <c:v>1929</c:v>
                </c:pt>
                <c:pt idx="88">
                  <c:v>1928</c:v>
                </c:pt>
                <c:pt idx="89">
                  <c:v>1927</c:v>
                </c:pt>
                <c:pt idx="90">
                  <c:v>1926</c:v>
                </c:pt>
                <c:pt idx="91">
                  <c:v>1925</c:v>
                </c:pt>
                <c:pt idx="92">
                  <c:v>1924</c:v>
                </c:pt>
                <c:pt idx="93">
                  <c:v>1923</c:v>
                </c:pt>
                <c:pt idx="94">
                  <c:v>1922</c:v>
                </c:pt>
                <c:pt idx="95">
                  <c:v>1921</c:v>
                </c:pt>
                <c:pt idx="96">
                  <c:v>1920</c:v>
                </c:pt>
                <c:pt idx="97">
                  <c:v>1919</c:v>
                </c:pt>
                <c:pt idx="98">
                  <c:v>1918</c:v>
                </c:pt>
                <c:pt idx="99">
                  <c:v>1917</c:v>
                </c:pt>
                <c:pt idx="100">
                  <c:v>1916</c:v>
                </c:pt>
                <c:pt idx="101">
                  <c:v>1915</c:v>
                </c:pt>
                <c:pt idx="102">
                  <c:v>1914</c:v>
                </c:pt>
                <c:pt idx="103">
                  <c:v>1913</c:v>
                </c:pt>
                <c:pt idx="104">
                  <c:v>1912</c:v>
                </c:pt>
                <c:pt idx="105">
                  <c:v>1911</c:v>
                </c:pt>
                <c:pt idx="106">
                  <c:v>1910</c:v>
                </c:pt>
                <c:pt idx="107">
                  <c:v>1909</c:v>
                </c:pt>
                <c:pt idx="108">
                  <c:v>1908</c:v>
                </c:pt>
                <c:pt idx="109">
                  <c:v>1907</c:v>
                </c:pt>
                <c:pt idx="110">
                  <c:v>1906</c:v>
                </c:pt>
                <c:pt idx="111">
                  <c:v>1905</c:v>
                </c:pt>
                <c:pt idx="112">
                  <c:v>1904</c:v>
                </c:pt>
                <c:pt idx="113">
                  <c:v>1903</c:v>
                </c:pt>
                <c:pt idx="114">
                  <c:v>1902</c:v>
                </c:pt>
                <c:pt idx="115">
                  <c:v>1901</c:v>
                </c:pt>
                <c:pt idx="116">
                  <c:v>1900</c:v>
                </c:pt>
                <c:pt idx="117">
                  <c:v>1899</c:v>
                </c:pt>
                <c:pt idx="118">
                  <c:v>1898</c:v>
                </c:pt>
                <c:pt idx="119">
                  <c:v>1897</c:v>
                </c:pt>
                <c:pt idx="120">
                  <c:v>1896</c:v>
                </c:pt>
                <c:pt idx="121">
                  <c:v>1895</c:v>
                </c:pt>
                <c:pt idx="122">
                  <c:v>1894</c:v>
                </c:pt>
                <c:pt idx="123">
                  <c:v>1893</c:v>
                </c:pt>
                <c:pt idx="124">
                  <c:v>1892</c:v>
                </c:pt>
                <c:pt idx="125">
                  <c:v>1891</c:v>
                </c:pt>
                <c:pt idx="126">
                  <c:v>1890</c:v>
                </c:pt>
                <c:pt idx="127">
                  <c:v>1889</c:v>
                </c:pt>
                <c:pt idx="128">
                  <c:v>1888</c:v>
                </c:pt>
                <c:pt idx="129">
                  <c:v>1887</c:v>
                </c:pt>
                <c:pt idx="130">
                  <c:v>1886</c:v>
                </c:pt>
                <c:pt idx="131">
                  <c:v>1885</c:v>
                </c:pt>
                <c:pt idx="132">
                  <c:v>1884</c:v>
                </c:pt>
                <c:pt idx="133">
                  <c:v>1883</c:v>
                </c:pt>
                <c:pt idx="134">
                  <c:v>1882</c:v>
                </c:pt>
                <c:pt idx="135">
                  <c:v>1881</c:v>
                </c:pt>
                <c:pt idx="136">
                  <c:v>1880</c:v>
                </c:pt>
                <c:pt idx="137">
                  <c:v>1879</c:v>
                </c:pt>
                <c:pt idx="138">
                  <c:v>1878</c:v>
                </c:pt>
                <c:pt idx="139">
                  <c:v>1877</c:v>
                </c:pt>
                <c:pt idx="140">
                  <c:v>1876</c:v>
                </c:pt>
                <c:pt idx="141">
                  <c:v>1875</c:v>
                </c:pt>
                <c:pt idx="142">
                  <c:v>1874</c:v>
                </c:pt>
                <c:pt idx="143">
                  <c:v>1873</c:v>
                </c:pt>
                <c:pt idx="144">
                  <c:v>1872</c:v>
                </c:pt>
                <c:pt idx="145">
                  <c:v>1871</c:v>
                </c:pt>
                <c:pt idx="146">
                  <c:v>1870</c:v>
                </c:pt>
                <c:pt idx="147">
                  <c:v>1869</c:v>
                </c:pt>
                <c:pt idx="148">
                  <c:v>1868</c:v>
                </c:pt>
                <c:pt idx="149">
                  <c:v>1867</c:v>
                </c:pt>
                <c:pt idx="150">
                  <c:v>1866</c:v>
                </c:pt>
              </c:numCache>
            </c:numRef>
          </c:xVal>
          <c:yVal>
            <c:numRef>
              <c:f>Yield!$B$4:$B$154</c:f>
              <c:numCache>
                <c:formatCode>General</c:formatCode>
                <c:ptCount val="151"/>
                <c:pt idx="0">
                  <c:v>174.4</c:v>
                </c:pt>
                <c:pt idx="1">
                  <c:v>168.4</c:v>
                </c:pt>
                <c:pt idx="2">
                  <c:v>171</c:v>
                </c:pt>
                <c:pt idx="3">
                  <c:v>158.1</c:v>
                </c:pt>
                <c:pt idx="4">
                  <c:v>123.1</c:v>
                </c:pt>
                <c:pt idx="5">
                  <c:v>146.80000000000001</c:v>
                </c:pt>
                <c:pt idx="6">
                  <c:v>152.6</c:v>
                </c:pt>
                <c:pt idx="7">
                  <c:v>164.4</c:v>
                </c:pt>
                <c:pt idx="8">
                  <c:v>153.30000000000001</c:v>
                </c:pt>
                <c:pt idx="9">
                  <c:v>150.69999999999999</c:v>
                </c:pt>
                <c:pt idx="10">
                  <c:v>149.1</c:v>
                </c:pt>
                <c:pt idx="11">
                  <c:v>147.9</c:v>
                </c:pt>
                <c:pt idx="12">
                  <c:v>160.30000000000001</c:v>
                </c:pt>
                <c:pt idx="13">
                  <c:v>142.19999999999999</c:v>
                </c:pt>
                <c:pt idx="14">
                  <c:v>129.30000000000001</c:v>
                </c:pt>
                <c:pt idx="15">
                  <c:v>138.19999999999999</c:v>
                </c:pt>
                <c:pt idx="16">
                  <c:v>136.9</c:v>
                </c:pt>
                <c:pt idx="17">
                  <c:v>133.80000000000001</c:v>
                </c:pt>
                <c:pt idx="18">
                  <c:v>134.4</c:v>
                </c:pt>
                <c:pt idx="19">
                  <c:v>126.7</c:v>
                </c:pt>
                <c:pt idx="20">
                  <c:v>127.1</c:v>
                </c:pt>
                <c:pt idx="21">
                  <c:v>113.5</c:v>
                </c:pt>
                <c:pt idx="22">
                  <c:v>138.6</c:v>
                </c:pt>
                <c:pt idx="23">
                  <c:v>100.7</c:v>
                </c:pt>
                <c:pt idx="24">
                  <c:v>131.5</c:v>
                </c:pt>
                <c:pt idx="25">
                  <c:v>108.6</c:v>
                </c:pt>
                <c:pt idx="26">
                  <c:v>118.5</c:v>
                </c:pt>
                <c:pt idx="27">
                  <c:v>116.3</c:v>
                </c:pt>
                <c:pt idx="28">
                  <c:v>84.6</c:v>
                </c:pt>
                <c:pt idx="29">
                  <c:v>119.8</c:v>
                </c:pt>
                <c:pt idx="30">
                  <c:v>119.4</c:v>
                </c:pt>
                <c:pt idx="31">
                  <c:v>118</c:v>
                </c:pt>
                <c:pt idx="32">
                  <c:v>106.7</c:v>
                </c:pt>
                <c:pt idx="33">
                  <c:v>81.099999999999994</c:v>
                </c:pt>
                <c:pt idx="34">
                  <c:v>113.2</c:v>
                </c:pt>
                <c:pt idx="35">
                  <c:v>108.9</c:v>
                </c:pt>
                <c:pt idx="36">
                  <c:v>91</c:v>
                </c:pt>
                <c:pt idx="37">
                  <c:v>109.5</c:v>
                </c:pt>
                <c:pt idx="38">
                  <c:v>101</c:v>
                </c:pt>
                <c:pt idx="39">
                  <c:v>90.8</c:v>
                </c:pt>
                <c:pt idx="40">
                  <c:v>88</c:v>
                </c:pt>
                <c:pt idx="41">
                  <c:v>86.4</c:v>
                </c:pt>
                <c:pt idx="42">
                  <c:v>71.900000000000006</c:v>
                </c:pt>
                <c:pt idx="43">
                  <c:v>91.3</c:v>
                </c:pt>
                <c:pt idx="44">
                  <c:v>97</c:v>
                </c:pt>
                <c:pt idx="45">
                  <c:v>88.1</c:v>
                </c:pt>
                <c:pt idx="46">
                  <c:v>72.400000000000006</c:v>
                </c:pt>
                <c:pt idx="47">
                  <c:v>85.9</c:v>
                </c:pt>
                <c:pt idx="48">
                  <c:v>79.5</c:v>
                </c:pt>
                <c:pt idx="49">
                  <c:v>80.099999999999994</c:v>
                </c:pt>
                <c:pt idx="50">
                  <c:v>73.099999999999994</c:v>
                </c:pt>
                <c:pt idx="51">
                  <c:v>74.099999999999994</c:v>
                </c:pt>
                <c:pt idx="52">
                  <c:v>62.9</c:v>
                </c:pt>
                <c:pt idx="53">
                  <c:v>67.900000000000006</c:v>
                </c:pt>
                <c:pt idx="54">
                  <c:v>64.7</c:v>
                </c:pt>
                <c:pt idx="55">
                  <c:v>62.4</c:v>
                </c:pt>
                <c:pt idx="56">
                  <c:v>54.7</c:v>
                </c:pt>
                <c:pt idx="57">
                  <c:v>53.1</c:v>
                </c:pt>
                <c:pt idx="58">
                  <c:v>52.8</c:v>
                </c:pt>
                <c:pt idx="59">
                  <c:v>48.3</c:v>
                </c:pt>
                <c:pt idx="60">
                  <c:v>47.4</c:v>
                </c:pt>
                <c:pt idx="61">
                  <c:v>42</c:v>
                </c:pt>
                <c:pt idx="62">
                  <c:v>39.4</c:v>
                </c:pt>
                <c:pt idx="63">
                  <c:v>40.700000000000003</c:v>
                </c:pt>
                <c:pt idx="64">
                  <c:v>41.8</c:v>
                </c:pt>
                <c:pt idx="65">
                  <c:v>36.9</c:v>
                </c:pt>
                <c:pt idx="66">
                  <c:v>38.200000000000003</c:v>
                </c:pt>
                <c:pt idx="67">
                  <c:v>38.200000000000003</c:v>
                </c:pt>
                <c:pt idx="68">
                  <c:v>43</c:v>
                </c:pt>
                <c:pt idx="69">
                  <c:v>28.6</c:v>
                </c:pt>
                <c:pt idx="70">
                  <c:v>37.200000000000003</c:v>
                </c:pt>
                <c:pt idx="71">
                  <c:v>33.1</c:v>
                </c:pt>
                <c:pt idx="72">
                  <c:v>33</c:v>
                </c:pt>
                <c:pt idx="73">
                  <c:v>32.6</c:v>
                </c:pt>
                <c:pt idx="74">
                  <c:v>35.4</c:v>
                </c:pt>
                <c:pt idx="75">
                  <c:v>31.2</c:v>
                </c:pt>
                <c:pt idx="76">
                  <c:v>28.9</c:v>
                </c:pt>
                <c:pt idx="77">
                  <c:v>29.9</c:v>
                </c:pt>
                <c:pt idx="78">
                  <c:v>27.8</c:v>
                </c:pt>
                <c:pt idx="79">
                  <c:v>28.9</c:v>
                </c:pt>
                <c:pt idx="80">
                  <c:v>18.600000000000001</c:v>
                </c:pt>
                <c:pt idx="81">
                  <c:v>24.2</c:v>
                </c:pt>
                <c:pt idx="82">
                  <c:v>18.7</c:v>
                </c:pt>
                <c:pt idx="83">
                  <c:v>22.8</c:v>
                </c:pt>
                <c:pt idx="84">
                  <c:v>26.5</c:v>
                </c:pt>
                <c:pt idx="85">
                  <c:v>24.5</c:v>
                </c:pt>
                <c:pt idx="86">
                  <c:v>20.5</c:v>
                </c:pt>
                <c:pt idx="87">
                  <c:v>25.7</c:v>
                </c:pt>
                <c:pt idx="88">
                  <c:v>26.3</c:v>
                </c:pt>
                <c:pt idx="89">
                  <c:v>26.4</c:v>
                </c:pt>
                <c:pt idx="90">
                  <c:v>25.7</c:v>
                </c:pt>
                <c:pt idx="91">
                  <c:v>27.4</c:v>
                </c:pt>
                <c:pt idx="92">
                  <c:v>22.1</c:v>
                </c:pt>
                <c:pt idx="93">
                  <c:v>27.8</c:v>
                </c:pt>
                <c:pt idx="94">
                  <c:v>26.3</c:v>
                </c:pt>
                <c:pt idx="95">
                  <c:v>27.8</c:v>
                </c:pt>
                <c:pt idx="96">
                  <c:v>29.9</c:v>
                </c:pt>
                <c:pt idx="97">
                  <c:v>26.8</c:v>
                </c:pt>
                <c:pt idx="98">
                  <c:v>23.9</c:v>
                </c:pt>
                <c:pt idx="99">
                  <c:v>26.2</c:v>
                </c:pt>
                <c:pt idx="100">
                  <c:v>24.1</c:v>
                </c:pt>
                <c:pt idx="101">
                  <c:v>28.1</c:v>
                </c:pt>
                <c:pt idx="102">
                  <c:v>25.8</c:v>
                </c:pt>
                <c:pt idx="103">
                  <c:v>22.7</c:v>
                </c:pt>
                <c:pt idx="104">
                  <c:v>29.1</c:v>
                </c:pt>
                <c:pt idx="105">
                  <c:v>24.4</c:v>
                </c:pt>
                <c:pt idx="106">
                  <c:v>27.9</c:v>
                </c:pt>
                <c:pt idx="107">
                  <c:v>26.1</c:v>
                </c:pt>
                <c:pt idx="108">
                  <c:v>26.9</c:v>
                </c:pt>
                <c:pt idx="109">
                  <c:v>27.2</c:v>
                </c:pt>
                <c:pt idx="110">
                  <c:v>31.7</c:v>
                </c:pt>
                <c:pt idx="111">
                  <c:v>30.9</c:v>
                </c:pt>
                <c:pt idx="112">
                  <c:v>28.2</c:v>
                </c:pt>
                <c:pt idx="113">
                  <c:v>26.9</c:v>
                </c:pt>
                <c:pt idx="114">
                  <c:v>28.5</c:v>
                </c:pt>
                <c:pt idx="115">
                  <c:v>18.2</c:v>
                </c:pt>
                <c:pt idx="116">
                  <c:v>28.1</c:v>
                </c:pt>
                <c:pt idx="117">
                  <c:v>28</c:v>
                </c:pt>
                <c:pt idx="118">
                  <c:v>26.8</c:v>
                </c:pt>
                <c:pt idx="119">
                  <c:v>25.4</c:v>
                </c:pt>
                <c:pt idx="120">
                  <c:v>30</c:v>
                </c:pt>
                <c:pt idx="121">
                  <c:v>28</c:v>
                </c:pt>
                <c:pt idx="122">
                  <c:v>20.2</c:v>
                </c:pt>
                <c:pt idx="123">
                  <c:v>23.8</c:v>
                </c:pt>
                <c:pt idx="124">
                  <c:v>24.7</c:v>
                </c:pt>
                <c:pt idx="125">
                  <c:v>29.6</c:v>
                </c:pt>
                <c:pt idx="126">
                  <c:v>22.1</c:v>
                </c:pt>
                <c:pt idx="127">
                  <c:v>29.5</c:v>
                </c:pt>
                <c:pt idx="128">
                  <c:v>29.1</c:v>
                </c:pt>
                <c:pt idx="129">
                  <c:v>21.9</c:v>
                </c:pt>
                <c:pt idx="130">
                  <c:v>24.1</c:v>
                </c:pt>
                <c:pt idx="131">
                  <c:v>28.6</c:v>
                </c:pt>
                <c:pt idx="132">
                  <c:v>28.3</c:v>
                </c:pt>
                <c:pt idx="133">
                  <c:v>24.2</c:v>
                </c:pt>
                <c:pt idx="134">
                  <c:v>26.5</c:v>
                </c:pt>
                <c:pt idx="135">
                  <c:v>19.8</c:v>
                </c:pt>
                <c:pt idx="136">
                  <c:v>27.3</c:v>
                </c:pt>
                <c:pt idx="137">
                  <c:v>28.2</c:v>
                </c:pt>
                <c:pt idx="138">
                  <c:v>26.2</c:v>
                </c:pt>
                <c:pt idx="139">
                  <c:v>25.8</c:v>
                </c:pt>
                <c:pt idx="140">
                  <c:v>26.7</c:v>
                </c:pt>
                <c:pt idx="141">
                  <c:v>27.7</c:v>
                </c:pt>
                <c:pt idx="142">
                  <c:v>22.2</c:v>
                </c:pt>
                <c:pt idx="143">
                  <c:v>22.9</c:v>
                </c:pt>
                <c:pt idx="144">
                  <c:v>29.4</c:v>
                </c:pt>
                <c:pt idx="145">
                  <c:v>27.2</c:v>
                </c:pt>
                <c:pt idx="146">
                  <c:v>29.3</c:v>
                </c:pt>
                <c:pt idx="147">
                  <c:v>21.8</c:v>
                </c:pt>
                <c:pt idx="148">
                  <c:v>26.2</c:v>
                </c:pt>
                <c:pt idx="149">
                  <c:v>24.7</c:v>
                </c:pt>
                <c:pt idx="150">
                  <c:v>24.3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05F-467F-8112-F1536F3756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7216640"/>
        <c:axId val="1537218816"/>
      </c:scatterChart>
      <c:valAx>
        <c:axId val="153721664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7218816"/>
        <c:crosses val="autoZero"/>
        <c:crossBetween val="midCat"/>
      </c:valAx>
      <c:valAx>
        <c:axId val="1537218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Bushels Per Acre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7216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Corn Yield</a:t>
            </a:r>
            <a:r>
              <a:rPr lang="en-US" baseline="0"/>
              <a:t>, 1952 - 201</a:t>
            </a:r>
            <a:r>
              <a:rPr lang="en-US" altLang="zh-CN" baseline="0"/>
              <a:t>6</a:t>
            </a:r>
            <a:r>
              <a:rPr lang="en-US"/>
              <a:t> </a:t>
            </a:r>
          </a:p>
        </c:rich>
      </c:tx>
      <c:layout>
        <c:manualLayout>
          <c:xMode val="edge"/>
          <c:yMode val="edge"/>
          <c:x val="0.26201377952755911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Yield!$B$1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32853455818022748"/>
                  <c:y val="-0.1531944444444444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Yield!$A$4:$A$68</c:f>
              <c:numCache>
                <c:formatCode>0</c:formatCode>
                <c:ptCount val="65"/>
                <c:pt idx="0">
                  <c:v>2016</c:v>
                </c:pt>
                <c:pt idx="1">
                  <c:v>2015</c:v>
                </c:pt>
                <c:pt idx="2">
                  <c:v>2014</c:v>
                </c:pt>
                <c:pt idx="3">
                  <c:v>2013</c:v>
                </c:pt>
                <c:pt idx="4">
                  <c:v>2012</c:v>
                </c:pt>
                <c:pt idx="5">
                  <c:v>2011</c:v>
                </c:pt>
                <c:pt idx="6">
                  <c:v>2010</c:v>
                </c:pt>
                <c:pt idx="7">
                  <c:v>2009</c:v>
                </c:pt>
                <c:pt idx="8">
                  <c:v>2008</c:v>
                </c:pt>
                <c:pt idx="9">
                  <c:v>2007</c:v>
                </c:pt>
                <c:pt idx="10">
                  <c:v>2006</c:v>
                </c:pt>
                <c:pt idx="11">
                  <c:v>2005</c:v>
                </c:pt>
                <c:pt idx="12">
                  <c:v>2004</c:v>
                </c:pt>
                <c:pt idx="13">
                  <c:v>2003</c:v>
                </c:pt>
                <c:pt idx="14">
                  <c:v>2002</c:v>
                </c:pt>
                <c:pt idx="15">
                  <c:v>2001</c:v>
                </c:pt>
                <c:pt idx="16">
                  <c:v>2000</c:v>
                </c:pt>
                <c:pt idx="17">
                  <c:v>1999</c:v>
                </c:pt>
                <c:pt idx="18">
                  <c:v>1998</c:v>
                </c:pt>
                <c:pt idx="19">
                  <c:v>1997</c:v>
                </c:pt>
                <c:pt idx="20">
                  <c:v>1996</c:v>
                </c:pt>
                <c:pt idx="21">
                  <c:v>1995</c:v>
                </c:pt>
                <c:pt idx="22">
                  <c:v>1994</c:v>
                </c:pt>
                <c:pt idx="23">
                  <c:v>1993</c:v>
                </c:pt>
                <c:pt idx="24">
                  <c:v>1992</c:v>
                </c:pt>
                <c:pt idx="25">
                  <c:v>1991</c:v>
                </c:pt>
                <c:pt idx="26">
                  <c:v>1990</c:v>
                </c:pt>
                <c:pt idx="27">
                  <c:v>1989</c:v>
                </c:pt>
                <c:pt idx="28">
                  <c:v>1988</c:v>
                </c:pt>
                <c:pt idx="29">
                  <c:v>1987</c:v>
                </c:pt>
                <c:pt idx="30">
                  <c:v>1986</c:v>
                </c:pt>
                <c:pt idx="31">
                  <c:v>1985</c:v>
                </c:pt>
                <c:pt idx="32">
                  <c:v>1984</c:v>
                </c:pt>
                <c:pt idx="33">
                  <c:v>1983</c:v>
                </c:pt>
                <c:pt idx="34">
                  <c:v>1982</c:v>
                </c:pt>
                <c:pt idx="35">
                  <c:v>1981</c:v>
                </c:pt>
                <c:pt idx="36">
                  <c:v>1980</c:v>
                </c:pt>
                <c:pt idx="37">
                  <c:v>1979</c:v>
                </c:pt>
                <c:pt idx="38">
                  <c:v>1978</c:v>
                </c:pt>
                <c:pt idx="39">
                  <c:v>1977</c:v>
                </c:pt>
                <c:pt idx="40">
                  <c:v>1976</c:v>
                </c:pt>
                <c:pt idx="41">
                  <c:v>1975</c:v>
                </c:pt>
                <c:pt idx="42">
                  <c:v>1974</c:v>
                </c:pt>
                <c:pt idx="43">
                  <c:v>1973</c:v>
                </c:pt>
                <c:pt idx="44">
                  <c:v>1972</c:v>
                </c:pt>
                <c:pt idx="45">
                  <c:v>1971</c:v>
                </c:pt>
                <c:pt idx="46">
                  <c:v>1970</c:v>
                </c:pt>
                <c:pt idx="47">
                  <c:v>1969</c:v>
                </c:pt>
                <c:pt idx="48">
                  <c:v>1968</c:v>
                </c:pt>
                <c:pt idx="49">
                  <c:v>1967</c:v>
                </c:pt>
                <c:pt idx="50">
                  <c:v>1966</c:v>
                </c:pt>
                <c:pt idx="51">
                  <c:v>1965</c:v>
                </c:pt>
                <c:pt idx="52">
                  <c:v>1964</c:v>
                </c:pt>
                <c:pt idx="53">
                  <c:v>1963</c:v>
                </c:pt>
                <c:pt idx="54">
                  <c:v>1962</c:v>
                </c:pt>
                <c:pt idx="55">
                  <c:v>1961</c:v>
                </c:pt>
                <c:pt idx="56">
                  <c:v>1960</c:v>
                </c:pt>
                <c:pt idx="57">
                  <c:v>1959</c:v>
                </c:pt>
                <c:pt idx="58">
                  <c:v>1958</c:v>
                </c:pt>
                <c:pt idx="59">
                  <c:v>1957</c:v>
                </c:pt>
                <c:pt idx="60">
                  <c:v>1956</c:v>
                </c:pt>
                <c:pt idx="61">
                  <c:v>1955</c:v>
                </c:pt>
                <c:pt idx="62">
                  <c:v>1954</c:v>
                </c:pt>
                <c:pt idx="63">
                  <c:v>1953</c:v>
                </c:pt>
                <c:pt idx="64">
                  <c:v>1952</c:v>
                </c:pt>
              </c:numCache>
            </c:numRef>
          </c:xVal>
          <c:yVal>
            <c:numRef>
              <c:f>Yield!$B$4:$B$68</c:f>
              <c:numCache>
                <c:formatCode>General</c:formatCode>
                <c:ptCount val="65"/>
                <c:pt idx="0">
                  <c:v>174.4</c:v>
                </c:pt>
                <c:pt idx="1">
                  <c:v>168.4</c:v>
                </c:pt>
                <c:pt idx="2">
                  <c:v>171</c:v>
                </c:pt>
                <c:pt idx="3">
                  <c:v>158.1</c:v>
                </c:pt>
                <c:pt idx="4">
                  <c:v>123.1</c:v>
                </c:pt>
                <c:pt idx="5">
                  <c:v>146.80000000000001</c:v>
                </c:pt>
                <c:pt idx="6">
                  <c:v>152.6</c:v>
                </c:pt>
                <c:pt idx="7">
                  <c:v>164.4</c:v>
                </c:pt>
                <c:pt idx="8">
                  <c:v>153.30000000000001</c:v>
                </c:pt>
                <c:pt idx="9">
                  <c:v>150.69999999999999</c:v>
                </c:pt>
                <c:pt idx="10">
                  <c:v>149.1</c:v>
                </c:pt>
                <c:pt idx="11">
                  <c:v>147.9</c:v>
                </c:pt>
                <c:pt idx="12">
                  <c:v>160.30000000000001</c:v>
                </c:pt>
                <c:pt idx="13">
                  <c:v>142.19999999999999</c:v>
                </c:pt>
                <c:pt idx="14">
                  <c:v>129.30000000000001</c:v>
                </c:pt>
                <c:pt idx="15">
                  <c:v>138.19999999999999</c:v>
                </c:pt>
                <c:pt idx="16">
                  <c:v>136.9</c:v>
                </c:pt>
                <c:pt idx="17">
                  <c:v>133.80000000000001</c:v>
                </c:pt>
                <c:pt idx="18">
                  <c:v>134.4</c:v>
                </c:pt>
                <c:pt idx="19">
                  <c:v>126.7</c:v>
                </c:pt>
                <c:pt idx="20">
                  <c:v>127.1</c:v>
                </c:pt>
                <c:pt idx="21">
                  <c:v>113.5</c:v>
                </c:pt>
                <c:pt idx="22">
                  <c:v>138.6</c:v>
                </c:pt>
                <c:pt idx="23">
                  <c:v>100.7</c:v>
                </c:pt>
                <c:pt idx="24">
                  <c:v>131.5</c:v>
                </c:pt>
                <c:pt idx="25">
                  <c:v>108.6</c:v>
                </c:pt>
                <c:pt idx="26">
                  <c:v>118.5</c:v>
                </c:pt>
                <c:pt idx="27">
                  <c:v>116.3</c:v>
                </c:pt>
                <c:pt idx="28">
                  <c:v>84.6</c:v>
                </c:pt>
                <c:pt idx="29">
                  <c:v>119.8</c:v>
                </c:pt>
                <c:pt idx="30">
                  <c:v>119.4</c:v>
                </c:pt>
                <c:pt idx="31">
                  <c:v>118</c:v>
                </c:pt>
                <c:pt idx="32">
                  <c:v>106.7</c:v>
                </c:pt>
                <c:pt idx="33">
                  <c:v>81.099999999999994</c:v>
                </c:pt>
                <c:pt idx="34">
                  <c:v>113.2</c:v>
                </c:pt>
                <c:pt idx="35">
                  <c:v>108.9</c:v>
                </c:pt>
                <c:pt idx="36">
                  <c:v>91</c:v>
                </c:pt>
                <c:pt idx="37">
                  <c:v>109.5</c:v>
                </c:pt>
                <c:pt idx="38">
                  <c:v>101</c:v>
                </c:pt>
                <c:pt idx="39">
                  <c:v>90.8</c:v>
                </c:pt>
                <c:pt idx="40">
                  <c:v>88</c:v>
                </c:pt>
                <c:pt idx="41">
                  <c:v>86.4</c:v>
                </c:pt>
                <c:pt idx="42">
                  <c:v>71.900000000000006</c:v>
                </c:pt>
                <c:pt idx="43">
                  <c:v>91.3</c:v>
                </c:pt>
                <c:pt idx="44">
                  <c:v>97</c:v>
                </c:pt>
                <c:pt idx="45">
                  <c:v>88.1</c:v>
                </c:pt>
                <c:pt idx="46">
                  <c:v>72.400000000000006</c:v>
                </c:pt>
                <c:pt idx="47">
                  <c:v>85.9</c:v>
                </c:pt>
                <c:pt idx="48">
                  <c:v>79.5</c:v>
                </c:pt>
                <c:pt idx="49">
                  <c:v>80.099999999999994</c:v>
                </c:pt>
                <c:pt idx="50">
                  <c:v>73.099999999999994</c:v>
                </c:pt>
                <c:pt idx="51">
                  <c:v>74.099999999999994</c:v>
                </c:pt>
                <c:pt idx="52">
                  <c:v>62.9</c:v>
                </c:pt>
                <c:pt idx="53">
                  <c:v>67.900000000000006</c:v>
                </c:pt>
                <c:pt idx="54">
                  <c:v>64.7</c:v>
                </c:pt>
                <c:pt idx="55">
                  <c:v>62.4</c:v>
                </c:pt>
                <c:pt idx="56">
                  <c:v>54.7</c:v>
                </c:pt>
                <c:pt idx="57">
                  <c:v>53.1</c:v>
                </c:pt>
                <c:pt idx="58">
                  <c:v>52.8</c:v>
                </c:pt>
                <c:pt idx="59">
                  <c:v>48.3</c:v>
                </c:pt>
                <c:pt idx="60">
                  <c:v>47.4</c:v>
                </c:pt>
                <c:pt idx="61">
                  <c:v>42</c:v>
                </c:pt>
                <c:pt idx="62">
                  <c:v>39.4</c:v>
                </c:pt>
                <c:pt idx="63">
                  <c:v>40.700000000000003</c:v>
                </c:pt>
                <c:pt idx="64">
                  <c:v>41.8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1AA-4595-9DC0-5A020316DC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7217184"/>
        <c:axId val="1537216096"/>
      </c:scatterChart>
      <c:valAx>
        <c:axId val="153721718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7216096"/>
        <c:crosses val="autoZero"/>
        <c:crossBetween val="midCat"/>
      </c:valAx>
      <c:valAx>
        <c:axId val="153721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Bushels</a:t>
                </a:r>
                <a:r>
                  <a:rPr lang="en-US" baseline="0"/>
                  <a:t> Per Acre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721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Yield!$E$1</c:f>
              <c:strCache>
                <c:ptCount val="1"/>
                <c:pt idx="0">
                  <c:v>Deviations from trend yield (1980).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Yield!$A$4:$A$40</c:f>
              <c:numCache>
                <c:formatCode>0</c:formatCode>
                <c:ptCount val="37"/>
                <c:pt idx="0">
                  <c:v>2016</c:v>
                </c:pt>
                <c:pt idx="1">
                  <c:v>2015</c:v>
                </c:pt>
                <c:pt idx="2">
                  <c:v>2014</c:v>
                </c:pt>
                <c:pt idx="3">
                  <c:v>2013</c:v>
                </c:pt>
                <c:pt idx="4">
                  <c:v>2012</c:v>
                </c:pt>
                <c:pt idx="5">
                  <c:v>2011</c:v>
                </c:pt>
                <c:pt idx="6">
                  <c:v>2010</c:v>
                </c:pt>
                <c:pt idx="7">
                  <c:v>2009</c:v>
                </c:pt>
                <c:pt idx="8">
                  <c:v>2008</c:v>
                </c:pt>
                <c:pt idx="9">
                  <c:v>2007</c:v>
                </c:pt>
                <c:pt idx="10">
                  <c:v>2006</c:v>
                </c:pt>
                <c:pt idx="11">
                  <c:v>2005</c:v>
                </c:pt>
                <c:pt idx="12">
                  <c:v>2004</c:v>
                </c:pt>
                <c:pt idx="13">
                  <c:v>2003</c:v>
                </c:pt>
                <c:pt idx="14">
                  <c:v>2002</c:v>
                </c:pt>
                <c:pt idx="15">
                  <c:v>2001</c:v>
                </c:pt>
                <c:pt idx="16">
                  <c:v>2000</c:v>
                </c:pt>
                <c:pt idx="17">
                  <c:v>1999</c:v>
                </c:pt>
                <c:pt idx="18">
                  <c:v>1998</c:v>
                </c:pt>
                <c:pt idx="19">
                  <c:v>1997</c:v>
                </c:pt>
                <c:pt idx="20">
                  <c:v>1996</c:v>
                </c:pt>
                <c:pt idx="21">
                  <c:v>1995</c:v>
                </c:pt>
                <c:pt idx="22">
                  <c:v>1994</c:v>
                </c:pt>
                <c:pt idx="23">
                  <c:v>1993</c:v>
                </c:pt>
                <c:pt idx="24">
                  <c:v>1992</c:v>
                </c:pt>
                <c:pt idx="25">
                  <c:v>1991</c:v>
                </c:pt>
                <c:pt idx="26">
                  <c:v>1990</c:v>
                </c:pt>
                <c:pt idx="27">
                  <c:v>1989</c:v>
                </c:pt>
                <c:pt idx="28">
                  <c:v>1988</c:v>
                </c:pt>
                <c:pt idx="29">
                  <c:v>1987</c:v>
                </c:pt>
                <c:pt idx="30">
                  <c:v>1986</c:v>
                </c:pt>
                <c:pt idx="31">
                  <c:v>1985</c:v>
                </c:pt>
                <c:pt idx="32">
                  <c:v>1984</c:v>
                </c:pt>
                <c:pt idx="33">
                  <c:v>1983</c:v>
                </c:pt>
                <c:pt idx="34">
                  <c:v>1982</c:v>
                </c:pt>
                <c:pt idx="35">
                  <c:v>1981</c:v>
                </c:pt>
                <c:pt idx="36">
                  <c:v>1980</c:v>
                </c:pt>
              </c:numCache>
            </c:numRef>
          </c:xVal>
          <c:yVal>
            <c:numRef>
              <c:f>Yield!$E$4:$E$40</c:f>
              <c:numCache>
                <c:formatCode>General</c:formatCode>
                <c:ptCount val="37"/>
                <c:pt idx="0">
                  <c:v>8.7800000000001148</c:v>
                </c:pt>
                <c:pt idx="1">
                  <c:v>4.6875000000003695</c:v>
                </c:pt>
                <c:pt idx="2">
                  <c:v>9.1950000000001637</c:v>
                </c:pt>
                <c:pt idx="3">
                  <c:v>-1.7975000000000421</c:v>
                </c:pt>
                <c:pt idx="4">
                  <c:v>-34.889999999999787</c:v>
                </c:pt>
                <c:pt idx="5">
                  <c:v>-9.2824999999999704</c:v>
                </c:pt>
                <c:pt idx="6">
                  <c:v>-1.5749999999997328</c:v>
                </c:pt>
                <c:pt idx="7">
                  <c:v>12.132500000000078</c:v>
                </c:pt>
                <c:pt idx="8">
                  <c:v>2.9400000000003388</c:v>
                </c:pt>
                <c:pt idx="9">
                  <c:v>2.247500000000116</c:v>
                </c:pt>
                <c:pt idx="10">
                  <c:v>2.5549999999999216</c:v>
                </c:pt>
                <c:pt idx="11">
                  <c:v>3.2625000000001876</c:v>
                </c:pt>
                <c:pt idx="12">
                  <c:v>17.569999999999993</c:v>
                </c:pt>
                <c:pt idx="13">
                  <c:v>1.3775000000002251</c:v>
                </c:pt>
                <c:pt idx="14">
                  <c:v>-9.6149999999999523</c:v>
                </c:pt>
                <c:pt idx="15">
                  <c:v>1.1925000000002797</c:v>
                </c:pt>
                <c:pt idx="16">
                  <c:v>1.8000000000000966</c:v>
                </c:pt>
                <c:pt idx="17">
                  <c:v>0.60750000000035698</c:v>
                </c:pt>
                <c:pt idx="18">
                  <c:v>3.1150000000001512</c:v>
                </c:pt>
                <c:pt idx="19">
                  <c:v>-2.6775000000000517</c:v>
                </c:pt>
                <c:pt idx="20">
                  <c:v>-0.3699999999998056</c:v>
                </c:pt>
                <c:pt idx="21">
                  <c:v>-12.0625</c:v>
                </c:pt>
                <c:pt idx="22">
                  <c:v>14.945000000000249</c:v>
                </c:pt>
                <c:pt idx="23">
                  <c:v>-21.047499999999943</c:v>
                </c:pt>
                <c:pt idx="24">
                  <c:v>11.660000000000309</c:v>
                </c:pt>
                <c:pt idx="25">
                  <c:v>-9.3324999999998965</c:v>
                </c:pt>
                <c:pt idx="26">
                  <c:v>2.4750000000003638</c:v>
                </c:pt>
                <c:pt idx="27">
                  <c:v>2.1825000000001609</c:v>
                </c:pt>
                <c:pt idx="28">
                  <c:v>-27.610000000000042</c:v>
                </c:pt>
                <c:pt idx="29">
                  <c:v>9.4975000000002154</c:v>
                </c:pt>
                <c:pt idx="30">
                  <c:v>11.005000000000024</c:v>
                </c:pt>
                <c:pt idx="31">
                  <c:v>11.512500000000273</c:v>
                </c:pt>
                <c:pt idx="32">
                  <c:v>2.1200000000000756</c:v>
                </c:pt>
                <c:pt idx="33">
                  <c:v>-21.572499999999678</c:v>
                </c:pt>
                <c:pt idx="34">
                  <c:v>12.43500000000013</c:v>
                </c:pt>
                <c:pt idx="35">
                  <c:v>10.042499999999933</c:v>
                </c:pt>
                <c:pt idx="36">
                  <c:v>-5.9499999999998181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81F-4D1B-B8E0-5324D9062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7218272"/>
        <c:axId val="1537212832"/>
      </c:scatterChart>
      <c:valAx>
        <c:axId val="1537218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7212832"/>
        <c:crosses val="autoZero"/>
        <c:crossBetween val="midCat"/>
      </c:valAx>
      <c:valAx>
        <c:axId val="1537212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7218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Yield!$F$1</c:f>
              <c:strCache>
                <c:ptCount val="1"/>
                <c:pt idx="0">
                  <c:v>Percent Deviations from trend yield (1980)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Yield!$A$4:$A$40</c:f>
              <c:numCache>
                <c:formatCode>0</c:formatCode>
                <c:ptCount val="37"/>
                <c:pt idx="0">
                  <c:v>2016</c:v>
                </c:pt>
                <c:pt idx="1">
                  <c:v>2015</c:v>
                </c:pt>
                <c:pt idx="2">
                  <c:v>2014</c:v>
                </c:pt>
                <c:pt idx="3">
                  <c:v>2013</c:v>
                </c:pt>
                <c:pt idx="4">
                  <c:v>2012</c:v>
                </c:pt>
                <c:pt idx="5">
                  <c:v>2011</c:v>
                </c:pt>
                <c:pt idx="6">
                  <c:v>2010</c:v>
                </c:pt>
                <c:pt idx="7">
                  <c:v>2009</c:v>
                </c:pt>
                <c:pt idx="8">
                  <c:v>2008</c:v>
                </c:pt>
                <c:pt idx="9">
                  <c:v>2007</c:v>
                </c:pt>
                <c:pt idx="10">
                  <c:v>2006</c:v>
                </c:pt>
                <c:pt idx="11">
                  <c:v>2005</c:v>
                </c:pt>
                <c:pt idx="12">
                  <c:v>2004</c:v>
                </c:pt>
                <c:pt idx="13">
                  <c:v>2003</c:v>
                </c:pt>
                <c:pt idx="14">
                  <c:v>2002</c:v>
                </c:pt>
                <c:pt idx="15">
                  <c:v>2001</c:v>
                </c:pt>
                <c:pt idx="16">
                  <c:v>2000</c:v>
                </c:pt>
                <c:pt idx="17">
                  <c:v>1999</c:v>
                </c:pt>
                <c:pt idx="18">
                  <c:v>1998</c:v>
                </c:pt>
                <c:pt idx="19">
                  <c:v>1997</c:v>
                </c:pt>
                <c:pt idx="20">
                  <c:v>1996</c:v>
                </c:pt>
                <c:pt idx="21">
                  <c:v>1995</c:v>
                </c:pt>
                <c:pt idx="22">
                  <c:v>1994</c:v>
                </c:pt>
                <c:pt idx="23">
                  <c:v>1993</c:v>
                </c:pt>
                <c:pt idx="24">
                  <c:v>1992</c:v>
                </c:pt>
                <c:pt idx="25">
                  <c:v>1991</c:v>
                </c:pt>
                <c:pt idx="26">
                  <c:v>1990</c:v>
                </c:pt>
                <c:pt idx="27">
                  <c:v>1989</c:v>
                </c:pt>
                <c:pt idx="28">
                  <c:v>1988</c:v>
                </c:pt>
                <c:pt idx="29">
                  <c:v>1987</c:v>
                </c:pt>
                <c:pt idx="30">
                  <c:v>1986</c:v>
                </c:pt>
                <c:pt idx="31">
                  <c:v>1985</c:v>
                </c:pt>
                <c:pt idx="32">
                  <c:v>1984</c:v>
                </c:pt>
                <c:pt idx="33">
                  <c:v>1983</c:v>
                </c:pt>
                <c:pt idx="34">
                  <c:v>1982</c:v>
                </c:pt>
                <c:pt idx="35">
                  <c:v>1981</c:v>
                </c:pt>
                <c:pt idx="36">
                  <c:v>1980</c:v>
                </c:pt>
              </c:numCache>
            </c:numRef>
          </c:xVal>
          <c:yVal>
            <c:numRef>
              <c:f>Yield!$F$4:$F$40</c:f>
              <c:numCache>
                <c:formatCode>General</c:formatCode>
                <c:ptCount val="37"/>
                <c:pt idx="0">
                  <c:v>5.1655503869326047E-2</c:v>
                </c:pt>
                <c:pt idx="1">
                  <c:v>2.8230261152707214E-2</c:v>
                </c:pt>
                <c:pt idx="2">
                  <c:v>5.5271650007159501E-2</c:v>
                </c:pt>
                <c:pt idx="3">
                  <c:v>-1.1305240730525412E-2</c:v>
                </c:pt>
                <c:pt idx="4">
                  <c:v>-0.24953470669434807</c:v>
                </c:pt>
                <c:pt idx="5">
                  <c:v>-6.1313597433122702E-2</c:v>
                </c:pt>
                <c:pt idx="6">
                  <c:v>-1.026820202719847E-2</c:v>
                </c:pt>
                <c:pt idx="7">
                  <c:v>7.6663640108725062E-2</c:v>
                </c:pt>
                <c:pt idx="8">
                  <c:v>1.9364367181793796E-2</c:v>
                </c:pt>
                <c:pt idx="9">
                  <c:v>1.5026063877384921E-2</c:v>
                </c:pt>
                <c:pt idx="10">
                  <c:v>1.7284673244272852E-2</c:v>
                </c:pt>
                <c:pt idx="11">
                  <c:v>2.2305757514299529E-2</c:v>
                </c:pt>
                <c:pt idx="12">
                  <c:v>0.11609232597383023</c:v>
                </c:pt>
                <c:pt idx="13">
                  <c:v>9.7342852756776566E-3</c:v>
                </c:pt>
                <c:pt idx="14">
                  <c:v>-7.1726949512529892E-2</c:v>
                </c:pt>
                <c:pt idx="15">
                  <c:v>8.6662424783261471E-3</c:v>
                </c:pt>
                <c:pt idx="16">
                  <c:v>1.3235487328251416E-2</c:v>
                </c:pt>
                <c:pt idx="17">
                  <c:v>4.5506974794076172E-3</c:v>
                </c:pt>
                <c:pt idx="18">
                  <c:v>2.3449895499886075E-2</c:v>
                </c:pt>
                <c:pt idx="19">
                  <c:v>-2.0912400177338419E-2</c:v>
                </c:pt>
                <c:pt idx="20">
                  <c:v>-2.9068645994199116E-3</c:v>
                </c:pt>
                <c:pt idx="21">
                  <c:v>-0.10100080565369574</c:v>
                </c:pt>
                <c:pt idx="22">
                  <c:v>0.11409665688938286</c:v>
                </c:pt>
                <c:pt idx="23">
                  <c:v>-0.18980342814645557</c:v>
                </c:pt>
                <c:pt idx="24">
                  <c:v>9.2849331848912975E-2</c:v>
                </c:pt>
                <c:pt idx="25">
                  <c:v>-8.2441019393712622E-2</c:v>
                </c:pt>
                <c:pt idx="26">
                  <c:v>2.1107275447949547E-2</c:v>
                </c:pt>
                <c:pt idx="27">
                  <c:v>1.8944440184086808E-2</c:v>
                </c:pt>
                <c:pt idx="28">
                  <c:v>-0.28243784906459712</c:v>
                </c:pt>
                <c:pt idx="29">
                  <c:v>8.2597094220909106E-2</c:v>
                </c:pt>
                <c:pt idx="30">
                  <c:v>9.6697238478022918E-2</c:v>
                </c:pt>
                <c:pt idx="31">
                  <c:v>0.10265701709670871</c:v>
                </c:pt>
                <c:pt idx="32">
                  <c:v>2.0068829547724043E-2</c:v>
                </c:pt>
                <c:pt idx="33">
                  <c:v>-0.23586134975182116</c:v>
                </c:pt>
                <c:pt idx="34">
                  <c:v>0.11636509264963113</c:v>
                </c:pt>
                <c:pt idx="35">
                  <c:v>9.6750610666320291E-2</c:v>
                </c:pt>
                <c:pt idx="36">
                  <c:v>-6.3335875171809164E-2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20C-4B31-BD70-0D6F311C49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1662144"/>
        <c:axId val="1761665952"/>
      </c:scatterChart>
      <c:valAx>
        <c:axId val="1761662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1665952"/>
        <c:crosses val="autoZero"/>
        <c:crossBetween val="midCat"/>
      </c:valAx>
      <c:valAx>
        <c:axId val="1761665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1662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Forecasting Crop Yield Deviations from Trend Using Good + Excellent Crop Condition Ratings?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197246293933929"/>
          <c:y val="0.14941053186541356"/>
          <c:w val="0.81374448305693636"/>
          <c:h val="0.6630679441986668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'Crop Condition'!$A$2:$A$560</c:f>
              <c:numCache>
                <c:formatCode>General</c:formatCode>
                <c:ptCount val="31"/>
                <c:pt idx="0">
                  <c:v>1986</c:v>
                </c:pt>
                <c:pt idx="1">
                  <c:v>1987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1992</c:v>
                </c:pt>
                <c:pt idx="7">
                  <c:v>1993</c:v>
                </c:pt>
                <c:pt idx="8">
                  <c:v>1994</c:v>
                </c:pt>
                <c:pt idx="9">
                  <c:v>1995</c:v>
                </c:pt>
                <c:pt idx="10">
                  <c:v>1996</c:v>
                </c:pt>
                <c:pt idx="11">
                  <c:v>1997</c:v>
                </c:pt>
                <c:pt idx="12">
                  <c:v>1998</c:v>
                </c:pt>
                <c:pt idx="13">
                  <c:v>1999</c:v>
                </c:pt>
                <c:pt idx="14">
                  <c:v>2000</c:v>
                </c:pt>
                <c:pt idx="15">
                  <c:v>2001</c:v>
                </c:pt>
                <c:pt idx="16">
                  <c:v>2002</c:v>
                </c:pt>
                <c:pt idx="17">
                  <c:v>2003</c:v>
                </c:pt>
                <c:pt idx="18">
                  <c:v>2004</c:v>
                </c:pt>
                <c:pt idx="19">
                  <c:v>2005</c:v>
                </c:pt>
                <c:pt idx="20">
                  <c:v>2006</c:v>
                </c:pt>
                <c:pt idx="21">
                  <c:v>2007</c:v>
                </c:pt>
                <c:pt idx="22">
                  <c:v>2008</c:v>
                </c:pt>
                <c:pt idx="23">
                  <c:v>2009</c:v>
                </c:pt>
                <c:pt idx="24">
                  <c:v>2010</c:v>
                </c:pt>
                <c:pt idx="25">
                  <c:v>2011</c:v>
                </c:pt>
                <c:pt idx="26">
                  <c:v>2012</c:v>
                </c:pt>
                <c:pt idx="27">
                  <c:v>2013</c:v>
                </c:pt>
                <c:pt idx="28">
                  <c:v>2014</c:v>
                </c:pt>
                <c:pt idx="29">
                  <c:v>2015</c:v>
                </c:pt>
                <c:pt idx="30">
                  <c:v>2016</c:v>
                </c:pt>
              </c:numCache>
            </c:numRef>
          </c:xVal>
          <c:yVal>
            <c:numRef>
              <c:f>'Crop Condition'!$N$2:$N$560</c:f>
              <c:numCache>
                <c:formatCode>General</c:formatCode>
                <c:ptCount val="31"/>
                <c:pt idx="0">
                  <c:v>9.6697238478022918E-2</c:v>
                </c:pt>
                <c:pt idx="1">
                  <c:v>8.2597094220909106E-2</c:v>
                </c:pt>
                <c:pt idx="2">
                  <c:v>-0.28243784906459712</c:v>
                </c:pt>
                <c:pt idx="3">
                  <c:v>1.8944440184086808E-2</c:v>
                </c:pt>
                <c:pt idx="4">
                  <c:v>2.1107275447949547E-2</c:v>
                </c:pt>
                <c:pt idx="5">
                  <c:v>-8.2441019393712622E-2</c:v>
                </c:pt>
                <c:pt idx="6">
                  <c:v>9.2849331848912975E-2</c:v>
                </c:pt>
                <c:pt idx="7">
                  <c:v>-0.18980342814645557</c:v>
                </c:pt>
                <c:pt idx="8">
                  <c:v>0.11409665688938286</c:v>
                </c:pt>
                <c:pt idx="9">
                  <c:v>-0.10100080565369574</c:v>
                </c:pt>
                <c:pt idx="10">
                  <c:v>-2.9068645994199116E-3</c:v>
                </c:pt>
                <c:pt idx="11">
                  <c:v>-2.0912400177338419E-2</c:v>
                </c:pt>
                <c:pt idx="12">
                  <c:v>2.3449895499886075E-2</c:v>
                </c:pt>
                <c:pt idx="13">
                  <c:v>4.5506974794076172E-3</c:v>
                </c:pt>
                <c:pt idx="14">
                  <c:v>1.3235487328251416E-2</c:v>
                </c:pt>
                <c:pt idx="15">
                  <c:v>8.6662424783261471E-3</c:v>
                </c:pt>
                <c:pt idx="16">
                  <c:v>-7.1726949512529892E-2</c:v>
                </c:pt>
                <c:pt idx="17">
                  <c:v>9.7342852756776566E-3</c:v>
                </c:pt>
                <c:pt idx="18">
                  <c:v>0.11609232597383023</c:v>
                </c:pt>
                <c:pt idx="19">
                  <c:v>2.2305757514299529E-2</c:v>
                </c:pt>
                <c:pt idx="20">
                  <c:v>1.7284673244272852E-2</c:v>
                </c:pt>
                <c:pt idx="21">
                  <c:v>1.5026063877384921E-2</c:v>
                </c:pt>
                <c:pt idx="22">
                  <c:v>1.9364367181793796E-2</c:v>
                </c:pt>
                <c:pt idx="23">
                  <c:v>7.6663640108725062E-2</c:v>
                </c:pt>
                <c:pt idx="24">
                  <c:v>-1.026820202719847E-2</c:v>
                </c:pt>
                <c:pt idx="25">
                  <c:v>-6.1313597433122702E-2</c:v>
                </c:pt>
                <c:pt idx="26">
                  <c:v>-0.24953470669434807</c:v>
                </c:pt>
                <c:pt idx="27">
                  <c:v>-1.1305240730525412E-2</c:v>
                </c:pt>
                <c:pt idx="28">
                  <c:v>5.5271650007159501E-2</c:v>
                </c:pt>
                <c:pt idx="29">
                  <c:v>2.8230261152707214E-2</c:v>
                </c:pt>
                <c:pt idx="30">
                  <c:v>5.1655503869326047E-2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AF6-49A0-A72B-61F09597C1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1665408"/>
        <c:axId val="1761661600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'Crop Condition'!$A$2:$A$560</c:f>
              <c:numCache>
                <c:formatCode>General</c:formatCode>
                <c:ptCount val="31"/>
                <c:pt idx="0">
                  <c:v>1986</c:v>
                </c:pt>
                <c:pt idx="1">
                  <c:v>1987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1992</c:v>
                </c:pt>
                <c:pt idx="7">
                  <c:v>1993</c:v>
                </c:pt>
                <c:pt idx="8">
                  <c:v>1994</c:v>
                </c:pt>
                <c:pt idx="9">
                  <c:v>1995</c:v>
                </c:pt>
                <c:pt idx="10">
                  <c:v>1996</c:v>
                </c:pt>
                <c:pt idx="11">
                  <c:v>1997</c:v>
                </c:pt>
                <c:pt idx="12">
                  <c:v>1998</c:v>
                </c:pt>
                <c:pt idx="13">
                  <c:v>1999</c:v>
                </c:pt>
                <c:pt idx="14">
                  <c:v>2000</c:v>
                </c:pt>
                <c:pt idx="15">
                  <c:v>2001</c:v>
                </c:pt>
                <c:pt idx="16">
                  <c:v>2002</c:v>
                </c:pt>
                <c:pt idx="17">
                  <c:v>2003</c:v>
                </c:pt>
                <c:pt idx="18">
                  <c:v>2004</c:v>
                </c:pt>
                <c:pt idx="19">
                  <c:v>2005</c:v>
                </c:pt>
                <c:pt idx="20">
                  <c:v>2006</c:v>
                </c:pt>
                <c:pt idx="21">
                  <c:v>2007</c:v>
                </c:pt>
                <c:pt idx="22">
                  <c:v>2008</c:v>
                </c:pt>
                <c:pt idx="23">
                  <c:v>2009</c:v>
                </c:pt>
                <c:pt idx="24">
                  <c:v>2010</c:v>
                </c:pt>
                <c:pt idx="25">
                  <c:v>2011</c:v>
                </c:pt>
                <c:pt idx="26">
                  <c:v>2012</c:v>
                </c:pt>
                <c:pt idx="27">
                  <c:v>2013</c:v>
                </c:pt>
                <c:pt idx="28">
                  <c:v>2014</c:v>
                </c:pt>
                <c:pt idx="29">
                  <c:v>2015</c:v>
                </c:pt>
                <c:pt idx="30">
                  <c:v>2016</c:v>
                </c:pt>
              </c:numCache>
            </c:numRef>
          </c:xVal>
          <c:yVal>
            <c:numRef>
              <c:f>'Crop Condition'!$M$2:$M$560</c:f>
              <c:numCache>
                <c:formatCode>General</c:formatCode>
                <c:ptCount val="31"/>
                <c:pt idx="0">
                  <c:v>84</c:v>
                </c:pt>
                <c:pt idx="1">
                  <c:v>83</c:v>
                </c:pt>
                <c:pt idx="2">
                  <c:v>66</c:v>
                </c:pt>
                <c:pt idx="3">
                  <c:v>75</c:v>
                </c:pt>
                <c:pt idx="4">
                  <c:v>53</c:v>
                </c:pt>
                <c:pt idx="5">
                  <c:v>80</c:v>
                </c:pt>
                <c:pt idx="6">
                  <c:v>79</c:v>
                </c:pt>
                <c:pt idx="7">
                  <c:v>45</c:v>
                </c:pt>
                <c:pt idx="8">
                  <c:v>86</c:v>
                </c:pt>
                <c:pt idx="9">
                  <c:v>52</c:v>
                </c:pt>
                <c:pt idx="10">
                  <c:v>66</c:v>
                </c:pt>
                <c:pt idx="11">
                  <c:v>64</c:v>
                </c:pt>
                <c:pt idx="12">
                  <c:v>69</c:v>
                </c:pt>
                <c:pt idx="13">
                  <c:v>60</c:v>
                </c:pt>
                <c:pt idx="14">
                  <c:v>63</c:v>
                </c:pt>
                <c:pt idx="15">
                  <c:v>58</c:v>
                </c:pt>
                <c:pt idx="16">
                  <c:v>44</c:v>
                </c:pt>
                <c:pt idx="17">
                  <c:v>53</c:v>
                </c:pt>
                <c:pt idx="18">
                  <c:v>75</c:v>
                </c:pt>
                <c:pt idx="19">
                  <c:v>57</c:v>
                </c:pt>
                <c:pt idx="20">
                  <c:v>63</c:v>
                </c:pt>
                <c:pt idx="21">
                  <c:v>65</c:v>
                </c:pt>
                <c:pt idx="22">
                  <c:v>64</c:v>
                </c:pt>
                <c:pt idx="23">
                  <c:v>67</c:v>
                </c:pt>
                <c:pt idx="24">
                  <c:v>68</c:v>
                </c:pt>
                <c:pt idx="25">
                  <c:v>54</c:v>
                </c:pt>
                <c:pt idx="26">
                  <c:v>25</c:v>
                </c:pt>
                <c:pt idx="27">
                  <c:v>62</c:v>
                </c:pt>
                <c:pt idx="28">
                  <c:v>74</c:v>
                </c:pt>
                <c:pt idx="29">
                  <c:v>68</c:v>
                </c:pt>
                <c:pt idx="30">
                  <c:v>74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AF6-49A0-A72B-61F09597C1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1659968"/>
        <c:axId val="1761659424"/>
      </c:scatterChart>
      <c:valAx>
        <c:axId val="176166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1661600"/>
        <c:crosses val="autoZero"/>
        <c:crossBetween val="midCat"/>
      </c:valAx>
      <c:valAx>
        <c:axId val="1761661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1665408"/>
        <c:crosses val="autoZero"/>
        <c:crossBetween val="midCat"/>
      </c:valAx>
      <c:valAx>
        <c:axId val="17616594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1659968"/>
        <c:crosses val="max"/>
        <c:crossBetween val="midCat"/>
      </c:valAx>
      <c:valAx>
        <c:axId val="17616599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61659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9.6292614261206153E-2"/>
          <c:y val="0.83323612729402274"/>
          <c:w val="0.71190105426765793"/>
          <c:h val="0.1530519584013160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22860</xdr:colOff>
      <xdr:row>4</xdr:row>
      <xdr:rowOff>76200</xdr:rowOff>
    </xdr:from>
    <xdr:to>
      <xdr:col>16</xdr:col>
      <xdr:colOff>436418</xdr:colOff>
      <xdr:row>33</xdr:row>
      <xdr:rowOff>83127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142875</xdr:colOff>
      <xdr:row>36</xdr:row>
      <xdr:rowOff>47625</xdr:rowOff>
    </xdr:from>
    <xdr:to>
      <xdr:col>18</xdr:col>
      <xdr:colOff>962025</xdr:colOff>
      <xdr:row>63</xdr:row>
      <xdr:rowOff>104775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735330</xdr:colOff>
      <xdr:row>25</xdr:row>
      <xdr:rowOff>3810</xdr:rowOff>
    </xdr:from>
    <xdr:to>
      <xdr:col>32</xdr:col>
      <xdr:colOff>323850</xdr:colOff>
      <xdr:row>52</xdr:row>
      <xdr:rowOff>148590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10767</xdr:rowOff>
        </xdr:from>
        <xdr:to>
          <xdr:col>0</xdr:col>
          <xdr:colOff>295275</xdr:colOff>
          <xdr:row>5</xdr:row>
          <xdr:rowOff>125067</xdr:rowOff>
        </xdr:to>
        <xdr:sp macro="" textlink="">
          <xdr:nvSpPr>
            <xdr:cNvPr id="3073" name="Control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4</xdr:row>
          <xdr:rowOff>10767</xdr:rowOff>
        </xdr:from>
        <xdr:to>
          <xdr:col>1</xdr:col>
          <xdr:colOff>291962</xdr:colOff>
          <xdr:row>5</xdr:row>
          <xdr:rowOff>125067</xdr:rowOff>
        </xdr:to>
        <xdr:sp macro="" textlink="">
          <xdr:nvSpPr>
            <xdr:cNvPr id="3074" name="Control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10767</xdr:rowOff>
        </xdr:from>
        <xdr:to>
          <xdr:col>0</xdr:col>
          <xdr:colOff>295275</xdr:colOff>
          <xdr:row>5</xdr:row>
          <xdr:rowOff>125067</xdr:rowOff>
        </xdr:to>
        <xdr:sp macro="" textlink="">
          <xdr:nvSpPr>
            <xdr:cNvPr id="3075" name="Control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4</xdr:row>
          <xdr:rowOff>10767</xdr:rowOff>
        </xdr:from>
        <xdr:to>
          <xdr:col>1</xdr:col>
          <xdr:colOff>291962</xdr:colOff>
          <xdr:row>5</xdr:row>
          <xdr:rowOff>125067</xdr:rowOff>
        </xdr:to>
        <xdr:sp macro="" textlink="">
          <xdr:nvSpPr>
            <xdr:cNvPr id="3076" name="Control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10767</xdr:rowOff>
        </xdr:from>
        <xdr:to>
          <xdr:col>0</xdr:col>
          <xdr:colOff>295275</xdr:colOff>
          <xdr:row>5</xdr:row>
          <xdr:rowOff>125067</xdr:rowOff>
        </xdr:to>
        <xdr:sp macro="" textlink="">
          <xdr:nvSpPr>
            <xdr:cNvPr id="3077" name="Control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4</xdr:row>
          <xdr:rowOff>10767</xdr:rowOff>
        </xdr:from>
        <xdr:to>
          <xdr:col>1</xdr:col>
          <xdr:colOff>291962</xdr:colOff>
          <xdr:row>5</xdr:row>
          <xdr:rowOff>125067</xdr:rowOff>
        </xdr:to>
        <xdr:sp macro="" textlink="">
          <xdr:nvSpPr>
            <xdr:cNvPr id="3078" name="Control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</xdr:row>
          <xdr:rowOff>1242</xdr:rowOff>
        </xdr:from>
        <xdr:to>
          <xdr:col>0</xdr:col>
          <xdr:colOff>295275</xdr:colOff>
          <xdr:row>97</xdr:row>
          <xdr:rowOff>115542</xdr:rowOff>
        </xdr:to>
        <xdr:sp macro="" textlink="">
          <xdr:nvSpPr>
            <xdr:cNvPr id="3079" name="Control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96</xdr:row>
          <xdr:rowOff>1242</xdr:rowOff>
        </xdr:from>
        <xdr:to>
          <xdr:col>1</xdr:col>
          <xdr:colOff>291962</xdr:colOff>
          <xdr:row>97</xdr:row>
          <xdr:rowOff>115542</xdr:rowOff>
        </xdr:to>
        <xdr:sp macro="" textlink="">
          <xdr:nvSpPr>
            <xdr:cNvPr id="3080" name="Control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10767</xdr:rowOff>
        </xdr:from>
        <xdr:to>
          <xdr:col>0</xdr:col>
          <xdr:colOff>295275</xdr:colOff>
          <xdr:row>5</xdr:row>
          <xdr:rowOff>125067</xdr:rowOff>
        </xdr:to>
        <xdr:sp macro="" textlink="">
          <xdr:nvSpPr>
            <xdr:cNvPr id="3081" name="Control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4</xdr:row>
          <xdr:rowOff>10767</xdr:rowOff>
        </xdr:from>
        <xdr:to>
          <xdr:col>1</xdr:col>
          <xdr:colOff>291962</xdr:colOff>
          <xdr:row>5</xdr:row>
          <xdr:rowOff>125067</xdr:rowOff>
        </xdr:to>
        <xdr:sp macro="" textlink="">
          <xdr:nvSpPr>
            <xdr:cNvPr id="3082" name="Control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</xdr:row>
          <xdr:rowOff>1242</xdr:rowOff>
        </xdr:from>
        <xdr:to>
          <xdr:col>0</xdr:col>
          <xdr:colOff>295275</xdr:colOff>
          <xdr:row>97</xdr:row>
          <xdr:rowOff>115542</xdr:rowOff>
        </xdr:to>
        <xdr:sp macro="" textlink="">
          <xdr:nvSpPr>
            <xdr:cNvPr id="3083" name="Control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96</xdr:row>
          <xdr:rowOff>1242</xdr:rowOff>
        </xdr:from>
        <xdr:to>
          <xdr:col>1</xdr:col>
          <xdr:colOff>291962</xdr:colOff>
          <xdr:row>97</xdr:row>
          <xdr:rowOff>115542</xdr:rowOff>
        </xdr:to>
        <xdr:sp macro="" textlink="">
          <xdr:nvSpPr>
            <xdr:cNvPr id="3084" name="Control 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10767</xdr:rowOff>
        </xdr:from>
        <xdr:to>
          <xdr:col>0</xdr:col>
          <xdr:colOff>295275</xdr:colOff>
          <xdr:row>5</xdr:row>
          <xdr:rowOff>125067</xdr:rowOff>
        </xdr:to>
        <xdr:sp macro="" textlink="">
          <xdr:nvSpPr>
            <xdr:cNvPr id="3085" name="Control 13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4</xdr:row>
          <xdr:rowOff>10767</xdr:rowOff>
        </xdr:from>
        <xdr:to>
          <xdr:col>1</xdr:col>
          <xdr:colOff>291962</xdr:colOff>
          <xdr:row>5</xdr:row>
          <xdr:rowOff>125067</xdr:rowOff>
        </xdr:to>
        <xdr:sp macro="" textlink="">
          <xdr:nvSpPr>
            <xdr:cNvPr id="3086" name="Control 14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</xdr:row>
          <xdr:rowOff>1242</xdr:rowOff>
        </xdr:from>
        <xdr:to>
          <xdr:col>0</xdr:col>
          <xdr:colOff>295275</xdr:colOff>
          <xdr:row>97</xdr:row>
          <xdr:rowOff>115542</xdr:rowOff>
        </xdr:to>
        <xdr:sp macro="" textlink="">
          <xdr:nvSpPr>
            <xdr:cNvPr id="3087" name="Control 15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96</xdr:row>
          <xdr:rowOff>1242</xdr:rowOff>
        </xdr:from>
        <xdr:to>
          <xdr:col>1</xdr:col>
          <xdr:colOff>291962</xdr:colOff>
          <xdr:row>97</xdr:row>
          <xdr:rowOff>115542</xdr:rowOff>
        </xdr:to>
        <xdr:sp macro="" textlink="">
          <xdr:nvSpPr>
            <xdr:cNvPr id="3088" name="Control 16" hidden="1">
              <a:extLst>
                <a:ext uri="{63B3BB69-23CF-44E3-9099-C40C66FF867C}">
                  <a14:compatExt spid="_x0000_s3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10767</xdr:rowOff>
        </xdr:from>
        <xdr:to>
          <xdr:col>0</xdr:col>
          <xdr:colOff>295275</xdr:colOff>
          <xdr:row>5</xdr:row>
          <xdr:rowOff>125067</xdr:rowOff>
        </xdr:to>
        <xdr:sp macro="" textlink="">
          <xdr:nvSpPr>
            <xdr:cNvPr id="3089" name="Control 17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4</xdr:row>
          <xdr:rowOff>10767</xdr:rowOff>
        </xdr:from>
        <xdr:to>
          <xdr:col>1</xdr:col>
          <xdr:colOff>291962</xdr:colOff>
          <xdr:row>5</xdr:row>
          <xdr:rowOff>125067</xdr:rowOff>
        </xdr:to>
        <xdr:sp macro="" textlink="">
          <xdr:nvSpPr>
            <xdr:cNvPr id="3090" name="Control 18" hidden="1">
              <a:extLst>
                <a:ext uri="{63B3BB69-23CF-44E3-9099-C40C66FF867C}">
                  <a14:compatExt spid="_x0000_s3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</xdr:row>
          <xdr:rowOff>125067</xdr:rowOff>
        </xdr:from>
        <xdr:to>
          <xdr:col>0</xdr:col>
          <xdr:colOff>295275</xdr:colOff>
          <xdr:row>67</xdr:row>
          <xdr:rowOff>48867</xdr:rowOff>
        </xdr:to>
        <xdr:sp macro="" textlink="">
          <xdr:nvSpPr>
            <xdr:cNvPr id="3091" name="Control 19" hidden="1">
              <a:extLst>
                <a:ext uri="{63B3BB69-23CF-44E3-9099-C40C66FF867C}">
                  <a14:compatExt spid="_x0000_s3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65</xdr:row>
          <xdr:rowOff>125067</xdr:rowOff>
        </xdr:from>
        <xdr:to>
          <xdr:col>1</xdr:col>
          <xdr:colOff>291962</xdr:colOff>
          <xdr:row>67</xdr:row>
          <xdr:rowOff>48867</xdr:rowOff>
        </xdr:to>
        <xdr:sp macro="" textlink="">
          <xdr:nvSpPr>
            <xdr:cNvPr id="3092" name="Control 20" hidden="1">
              <a:extLst>
                <a:ext uri="{63B3BB69-23CF-44E3-9099-C40C66FF867C}">
                  <a14:compatExt spid="_x0000_s3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385970</xdr:colOff>
      <xdr:row>17</xdr:row>
      <xdr:rowOff>45553</xdr:rowOff>
    </xdr:from>
    <xdr:to>
      <xdr:col>15</xdr:col>
      <xdr:colOff>54665</xdr:colOff>
      <xdr:row>31</xdr:row>
      <xdr:rowOff>113471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298175</xdr:colOff>
      <xdr:row>0</xdr:row>
      <xdr:rowOff>48867</xdr:rowOff>
    </xdr:from>
    <xdr:to>
      <xdr:col>14</xdr:col>
      <xdr:colOff>579783</xdr:colOff>
      <xdr:row>15</xdr:row>
      <xdr:rowOff>116784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314739</xdr:colOff>
      <xdr:row>0</xdr:row>
      <xdr:rowOff>15736</xdr:rowOff>
    </xdr:from>
    <xdr:to>
      <xdr:col>23</xdr:col>
      <xdr:colOff>622853</xdr:colOff>
      <xdr:row>15</xdr:row>
      <xdr:rowOff>83653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422413</xdr:colOff>
      <xdr:row>17</xdr:row>
      <xdr:rowOff>164823</xdr:rowOff>
    </xdr:from>
    <xdr:to>
      <xdr:col>24</xdr:col>
      <xdr:colOff>91109</xdr:colOff>
      <xdr:row>32</xdr:row>
      <xdr:rowOff>50523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372717</xdr:colOff>
      <xdr:row>33</xdr:row>
      <xdr:rowOff>123411</xdr:rowOff>
    </xdr:from>
    <xdr:to>
      <xdr:col>24</xdr:col>
      <xdr:colOff>41413</xdr:colOff>
      <xdr:row>48</xdr:row>
      <xdr:rowOff>9111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342900</xdr:colOff>
      <xdr:row>560</xdr:row>
      <xdr:rowOff>80962</xdr:rowOff>
    </xdr:from>
    <xdr:to>
      <xdr:col>12</xdr:col>
      <xdr:colOff>1676400</xdr:colOff>
      <xdr:row>584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0</xdr:col>
          <xdr:colOff>257175</xdr:colOff>
          <xdr:row>4</xdr:row>
          <xdr:rowOff>47625</xdr:rowOff>
        </xdr:to>
        <xdr:sp macro="" textlink="">
          <xdr:nvSpPr>
            <xdr:cNvPr id="2049" name="Control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1</xdr:col>
          <xdr:colOff>257175</xdr:colOff>
          <xdr:row>4</xdr:row>
          <xdr:rowOff>76200</xdr:rowOff>
        </xdr:to>
        <xdr:sp macro="" textlink="">
          <xdr:nvSpPr>
            <xdr:cNvPr id="2050" name="Control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0</xdr:col>
          <xdr:colOff>257175</xdr:colOff>
          <xdr:row>24</xdr:row>
          <xdr:rowOff>38100</xdr:rowOff>
        </xdr:to>
        <xdr:sp macro="" textlink="">
          <xdr:nvSpPr>
            <xdr:cNvPr id="2051" name="Control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1</xdr:col>
          <xdr:colOff>257175</xdr:colOff>
          <xdr:row>24</xdr:row>
          <xdr:rowOff>66675</xdr:rowOff>
        </xdr:to>
        <xdr:sp macro="" textlink="">
          <xdr:nvSpPr>
            <xdr:cNvPr id="2052" name="Control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</xdr:row>
          <xdr:rowOff>0</xdr:rowOff>
        </xdr:from>
        <xdr:to>
          <xdr:col>13</xdr:col>
          <xdr:colOff>257175</xdr:colOff>
          <xdr:row>4</xdr:row>
          <xdr:rowOff>47625</xdr:rowOff>
        </xdr:to>
        <xdr:sp macro="" textlink="">
          <xdr:nvSpPr>
            <xdr:cNvPr id="2057" name="Control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</xdr:row>
          <xdr:rowOff>0</xdr:rowOff>
        </xdr:from>
        <xdr:to>
          <xdr:col>14</xdr:col>
          <xdr:colOff>257175</xdr:colOff>
          <xdr:row>4</xdr:row>
          <xdr:rowOff>76200</xdr:rowOff>
        </xdr:to>
        <xdr:sp macro="" textlink="">
          <xdr:nvSpPr>
            <xdr:cNvPr id="2058" name="Control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23</xdr:row>
          <xdr:rowOff>0</xdr:rowOff>
        </xdr:from>
        <xdr:to>
          <xdr:col>13</xdr:col>
          <xdr:colOff>257175</xdr:colOff>
          <xdr:row>24</xdr:row>
          <xdr:rowOff>38100</xdr:rowOff>
        </xdr:to>
        <xdr:sp macro="" textlink="">
          <xdr:nvSpPr>
            <xdr:cNvPr id="2059" name="Control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23</xdr:row>
          <xdr:rowOff>0</xdr:rowOff>
        </xdr:from>
        <xdr:to>
          <xdr:col>14</xdr:col>
          <xdr:colOff>257175</xdr:colOff>
          <xdr:row>24</xdr:row>
          <xdr:rowOff>66675</xdr:rowOff>
        </xdr:to>
        <xdr:sp macro="" textlink="">
          <xdr:nvSpPr>
            <xdr:cNvPr id="2060" name="Control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8.xml"/><Relationship Id="rId18" Type="http://schemas.openxmlformats.org/officeDocument/2006/relationships/control" Target="../activeX/activeX13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6.x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7.xml"/><Relationship Id="rId17" Type="http://schemas.openxmlformats.org/officeDocument/2006/relationships/control" Target="../activeX/activeX12.xml"/><Relationship Id="rId25" Type="http://schemas.openxmlformats.org/officeDocument/2006/relationships/control" Target="../activeX/activeX20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1.xml"/><Relationship Id="rId20" Type="http://schemas.openxmlformats.org/officeDocument/2006/relationships/control" Target="../activeX/activeX15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6.xml"/><Relationship Id="rId24" Type="http://schemas.openxmlformats.org/officeDocument/2006/relationships/control" Target="../activeX/activeX19.xml"/><Relationship Id="rId5" Type="http://schemas.openxmlformats.org/officeDocument/2006/relationships/image" Target="../media/image1.emf"/><Relationship Id="rId15" Type="http://schemas.openxmlformats.org/officeDocument/2006/relationships/control" Target="../activeX/activeX10.xml"/><Relationship Id="rId23" Type="http://schemas.openxmlformats.org/officeDocument/2006/relationships/control" Target="../activeX/activeX18.xml"/><Relationship Id="rId10" Type="http://schemas.openxmlformats.org/officeDocument/2006/relationships/control" Target="../activeX/activeX5.xml"/><Relationship Id="rId19" Type="http://schemas.openxmlformats.org/officeDocument/2006/relationships/control" Target="../activeX/activeX14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control" Target="../activeX/activeX28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2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2.xml"/><Relationship Id="rId11" Type="http://schemas.openxmlformats.org/officeDocument/2006/relationships/control" Target="../activeX/activeX26.xml"/><Relationship Id="rId5" Type="http://schemas.openxmlformats.org/officeDocument/2006/relationships/image" Target="../media/image3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1.xml"/><Relationship Id="rId9" Type="http://schemas.openxmlformats.org/officeDocument/2006/relationships/control" Target="../activeX/activeX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152"/>
  <sheetViews>
    <sheetView tabSelected="1" topLeftCell="A19" zoomScaleNormal="100" workbookViewId="0">
      <selection activeCell="R34" sqref="R34"/>
    </sheetView>
  </sheetViews>
  <sheetFormatPr defaultRowHeight="15" x14ac:dyDescent="0.25"/>
  <cols>
    <col min="2" max="2" width="9.140625" style="2"/>
    <col min="4" max="4" width="10.85546875" bestFit="1" customWidth="1"/>
    <col min="5" max="5" width="9" bestFit="1" customWidth="1"/>
    <col min="6" max="6" width="8.42578125" bestFit="1" customWidth="1"/>
    <col min="7" max="7" width="8.85546875" bestFit="1" customWidth="1"/>
    <col min="8" max="8" width="8.7109375" bestFit="1" customWidth="1"/>
    <col min="9" max="9" width="13.140625" bestFit="1" customWidth="1"/>
    <col min="10" max="10" width="6.28515625" bestFit="1" customWidth="1"/>
    <col min="11" max="11" width="10.42578125" bestFit="1" customWidth="1"/>
    <col min="12" max="12" width="7.42578125" bestFit="1" customWidth="1"/>
    <col min="13" max="13" width="6" bestFit="1" customWidth="1"/>
    <col min="14" max="14" width="13.85546875" bestFit="1" customWidth="1"/>
    <col min="15" max="15" width="9.28515625" bestFit="1" customWidth="1"/>
    <col min="16" max="16" width="10" bestFit="1" customWidth="1"/>
    <col min="17" max="17" width="6.85546875" bestFit="1" customWidth="1"/>
    <col min="18" max="18" width="14.42578125" bestFit="1" customWidth="1"/>
    <col min="19" max="19" width="19.7109375" bestFit="1" customWidth="1"/>
    <col min="20" max="20" width="33.85546875" bestFit="1" customWidth="1"/>
    <col min="21" max="21" width="21.42578125" bestFit="1" customWidth="1"/>
    <col min="22" max="22" width="13.5703125" customWidth="1"/>
    <col min="23" max="23" width="33.42578125" style="12" bestFit="1" customWidth="1"/>
    <col min="24" max="24" width="36.28515625" bestFit="1" customWidth="1"/>
    <col min="25" max="25" width="21" bestFit="1" customWidth="1"/>
    <col min="26" max="26" width="4.42578125" bestFit="1" customWidth="1"/>
    <col min="28" max="28" width="30.28515625" bestFit="1" customWidth="1"/>
  </cols>
  <sheetData>
    <row r="1" spans="1:28" x14ac:dyDescent="0.25">
      <c r="A1" t="s">
        <v>0</v>
      </c>
      <c r="B1" s="2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26</v>
      </c>
      <c r="T1" t="s">
        <v>18</v>
      </c>
      <c r="U1" t="s">
        <v>27</v>
      </c>
      <c r="V1" t="s">
        <v>28</v>
      </c>
      <c r="W1" s="12" t="s">
        <v>34</v>
      </c>
      <c r="X1" s="12" t="s">
        <v>37</v>
      </c>
      <c r="Y1" t="s">
        <v>38</v>
      </c>
      <c r="Z1" t="s">
        <v>40</v>
      </c>
      <c r="AB1" t="s">
        <v>39</v>
      </c>
    </row>
    <row r="2" spans="1:28" x14ac:dyDescent="0.25">
      <c r="A2" t="s">
        <v>19</v>
      </c>
      <c r="B2">
        <v>2016</v>
      </c>
      <c r="C2" t="s">
        <v>20</v>
      </c>
      <c r="E2" t="s">
        <v>21</v>
      </c>
      <c r="F2" t="s">
        <v>22</v>
      </c>
      <c r="N2">
        <v>0</v>
      </c>
      <c r="P2" t="s">
        <v>23</v>
      </c>
      <c r="Q2" t="s">
        <v>24</v>
      </c>
      <c r="R2" t="s">
        <v>25</v>
      </c>
      <c r="S2" s="1">
        <v>94148000</v>
      </c>
      <c r="U2" s="1">
        <v>86550000</v>
      </c>
      <c r="V2" s="1">
        <f>S2-U2</f>
        <v>7598000</v>
      </c>
      <c r="W2"/>
      <c r="Z2">
        <v>174.4</v>
      </c>
      <c r="AB2" s="1">
        <f>AVERAGE(V3:V17)</f>
        <v>7631400</v>
      </c>
    </row>
    <row r="3" spans="1:28" x14ac:dyDescent="0.25">
      <c r="A3" t="s">
        <v>19</v>
      </c>
      <c r="B3" s="2">
        <v>2015</v>
      </c>
      <c r="C3" t="s">
        <v>20</v>
      </c>
      <c r="E3" t="s">
        <v>21</v>
      </c>
      <c r="F3" t="s">
        <v>22</v>
      </c>
      <c r="N3">
        <v>0</v>
      </c>
      <c r="P3" t="s">
        <v>23</v>
      </c>
      <c r="Q3" t="s">
        <v>24</v>
      </c>
      <c r="R3" t="s">
        <v>25</v>
      </c>
      <c r="S3" s="1">
        <v>87999000</v>
      </c>
      <c r="U3" s="1">
        <v>80749000</v>
      </c>
      <c r="V3" s="1">
        <f>S3-U3</f>
        <v>7250000</v>
      </c>
      <c r="W3" s="13">
        <v>3.71</v>
      </c>
      <c r="X3" s="15">
        <v>9.49</v>
      </c>
      <c r="Y3">
        <f>W3/X3</f>
        <v>0.39093782929399368</v>
      </c>
      <c r="Z3" s="9">
        <v>168.4</v>
      </c>
    </row>
    <row r="4" spans="1:28" x14ac:dyDescent="0.25">
      <c r="A4" t="s">
        <v>19</v>
      </c>
      <c r="B4" s="2">
        <v>2014</v>
      </c>
      <c r="C4" t="s">
        <v>20</v>
      </c>
      <c r="E4" t="s">
        <v>21</v>
      </c>
      <c r="F4" t="s">
        <v>22</v>
      </c>
      <c r="N4">
        <v>0</v>
      </c>
      <c r="P4" t="s">
        <v>23</v>
      </c>
      <c r="Q4" t="s">
        <v>24</v>
      </c>
      <c r="R4" t="s">
        <v>25</v>
      </c>
      <c r="S4" s="1">
        <v>90597000</v>
      </c>
      <c r="U4" s="1">
        <v>83136000</v>
      </c>
      <c r="V4" s="1">
        <f t="shared" ref="V4:V67" si="0">S4-U4</f>
        <v>7461000</v>
      </c>
      <c r="W4" s="13">
        <v>4.1100000000000003</v>
      </c>
      <c r="X4" s="9">
        <v>12.5</v>
      </c>
      <c r="Y4">
        <f>W4/X4</f>
        <v>0.32880000000000004</v>
      </c>
      <c r="Z4" s="9">
        <v>171</v>
      </c>
    </row>
    <row r="5" spans="1:28" x14ac:dyDescent="0.25">
      <c r="A5" t="s">
        <v>19</v>
      </c>
      <c r="B5" s="2">
        <v>2013</v>
      </c>
      <c r="C5" t="s">
        <v>20</v>
      </c>
      <c r="E5" t="s">
        <v>21</v>
      </c>
      <c r="F5" t="s">
        <v>22</v>
      </c>
      <c r="N5">
        <v>0</v>
      </c>
      <c r="P5" t="s">
        <v>23</v>
      </c>
      <c r="Q5" t="s">
        <v>24</v>
      </c>
      <c r="R5" t="s">
        <v>25</v>
      </c>
      <c r="S5" s="1">
        <v>95365000</v>
      </c>
      <c r="U5" s="1">
        <v>87451000</v>
      </c>
      <c r="V5" s="1">
        <f t="shared" si="0"/>
        <v>7914000</v>
      </c>
      <c r="W5" s="13">
        <v>6.15</v>
      </c>
      <c r="X5" s="9">
        <v>14.1</v>
      </c>
      <c r="Y5">
        <f t="shared" ref="Y5:Y18" si="1">W5/X5</f>
        <v>0.43617021276595747</v>
      </c>
      <c r="Z5" s="9">
        <v>158.1</v>
      </c>
    </row>
    <row r="6" spans="1:28" x14ac:dyDescent="0.25">
      <c r="A6" t="s">
        <v>19</v>
      </c>
      <c r="B6" s="2">
        <v>2012</v>
      </c>
      <c r="C6" t="s">
        <v>20</v>
      </c>
      <c r="E6" t="s">
        <v>21</v>
      </c>
      <c r="F6" t="s">
        <v>22</v>
      </c>
      <c r="N6">
        <v>0</v>
      </c>
      <c r="P6" t="s">
        <v>23</v>
      </c>
      <c r="Q6" t="s">
        <v>24</v>
      </c>
      <c r="R6" t="s">
        <v>25</v>
      </c>
      <c r="S6" s="1">
        <v>97291000</v>
      </c>
      <c r="U6" s="1">
        <v>87365000</v>
      </c>
      <c r="V6" s="1">
        <f t="shared" si="0"/>
        <v>9926000</v>
      </c>
      <c r="W6" s="13">
        <v>6.67</v>
      </c>
      <c r="X6" s="9">
        <v>14</v>
      </c>
      <c r="Y6">
        <f t="shared" si="1"/>
        <v>0.47642857142857142</v>
      </c>
      <c r="Z6" s="9">
        <v>123.1</v>
      </c>
    </row>
    <row r="7" spans="1:28" x14ac:dyDescent="0.25">
      <c r="A7" t="s">
        <v>19</v>
      </c>
      <c r="B7" s="2">
        <v>2011</v>
      </c>
      <c r="C7" t="s">
        <v>20</v>
      </c>
      <c r="E7" t="s">
        <v>21</v>
      </c>
      <c r="F7" t="s">
        <v>22</v>
      </c>
      <c r="N7">
        <v>0</v>
      </c>
      <c r="P7" t="s">
        <v>23</v>
      </c>
      <c r="Q7" t="s">
        <v>24</v>
      </c>
      <c r="R7" t="s">
        <v>25</v>
      </c>
      <c r="S7" s="1">
        <v>91936000</v>
      </c>
      <c r="U7" s="1">
        <v>83879000</v>
      </c>
      <c r="V7" s="1">
        <f t="shared" si="0"/>
        <v>8057000</v>
      </c>
      <c r="W7" s="13">
        <v>6.02</v>
      </c>
      <c r="X7" s="9">
        <v>12.5</v>
      </c>
      <c r="Y7">
        <f t="shared" si="1"/>
        <v>0.48159999999999997</v>
      </c>
      <c r="Z7" s="9">
        <v>146.80000000000001</v>
      </c>
    </row>
    <row r="8" spans="1:28" x14ac:dyDescent="0.25">
      <c r="A8" t="s">
        <v>19</v>
      </c>
      <c r="B8" s="2">
        <v>2010</v>
      </c>
      <c r="C8" t="s">
        <v>20</v>
      </c>
      <c r="E8" t="s">
        <v>21</v>
      </c>
      <c r="F8" t="s">
        <v>22</v>
      </c>
      <c r="N8">
        <v>0</v>
      </c>
      <c r="P8" t="s">
        <v>23</v>
      </c>
      <c r="Q8" t="s">
        <v>24</v>
      </c>
      <c r="R8" t="s">
        <v>25</v>
      </c>
      <c r="S8" s="1">
        <v>88192000</v>
      </c>
      <c r="U8" s="1">
        <v>81446000</v>
      </c>
      <c r="V8" s="1">
        <f t="shared" si="0"/>
        <v>6746000</v>
      </c>
      <c r="W8" s="13">
        <v>3.83</v>
      </c>
      <c r="X8" s="9">
        <v>9.9700000000000006</v>
      </c>
      <c r="Y8">
        <f t="shared" si="1"/>
        <v>0.38415245737211634</v>
      </c>
      <c r="Z8" s="9">
        <v>152.6</v>
      </c>
    </row>
    <row r="9" spans="1:28" x14ac:dyDescent="0.25">
      <c r="A9" t="s">
        <v>19</v>
      </c>
      <c r="B9" s="2">
        <v>2009</v>
      </c>
      <c r="C9" t="s">
        <v>20</v>
      </c>
      <c r="E9" t="s">
        <v>21</v>
      </c>
      <c r="F9" t="s">
        <v>22</v>
      </c>
      <c r="N9">
        <v>0</v>
      </c>
      <c r="P9" t="s">
        <v>23</v>
      </c>
      <c r="Q9" t="s">
        <v>24</v>
      </c>
      <c r="R9" t="s">
        <v>25</v>
      </c>
      <c r="S9" s="1">
        <v>86382000</v>
      </c>
      <c r="U9" s="1">
        <v>79490000</v>
      </c>
      <c r="V9" s="1">
        <f t="shared" si="0"/>
        <v>6892000</v>
      </c>
      <c r="W9" s="13">
        <v>3.75</v>
      </c>
      <c r="X9" s="9">
        <v>10.1</v>
      </c>
      <c r="Y9">
        <f t="shared" si="1"/>
        <v>0.37128712871287128</v>
      </c>
      <c r="Z9" s="9">
        <v>164.4</v>
      </c>
    </row>
    <row r="10" spans="1:28" x14ac:dyDescent="0.25">
      <c r="A10" t="s">
        <v>19</v>
      </c>
      <c r="B10" s="2">
        <v>2008</v>
      </c>
      <c r="C10" t="s">
        <v>20</v>
      </c>
      <c r="E10" t="s">
        <v>21</v>
      </c>
      <c r="F10" t="s">
        <v>22</v>
      </c>
      <c r="N10">
        <v>0</v>
      </c>
      <c r="P10" t="s">
        <v>23</v>
      </c>
      <c r="Q10" t="s">
        <v>24</v>
      </c>
      <c r="R10" t="s">
        <v>25</v>
      </c>
      <c r="S10" s="1">
        <v>85982000</v>
      </c>
      <c r="U10" s="1">
        <v>78570000</v>
      </c>
      <c r="V10" s="1">
        <f t="shared" si="0"/>
        <v>7412000</v>
      </c>
      <c r="W10" s="13">
        <v>4.78</v>
      </c>
      <c r="X10" s="9">
        <v>11.3</v>
      </c>
      <c r="Y10">
        <f t="shared" si="1"/>
        <v>0.4230088495575221</v>
      </c>
      <c r="Z10" s="9">
        <v>153.30000000000001</v>
      </c>
    </row>
    <row r="11" spans="1:28" x14ac:dyDescent="0.25">
      <c r="A11" t="s">
        <v>19</v>
      </c>
      <c r="B11" s="2">
        <v>2007</v>
      </c>
      <c r="C11" t="s">
        <v>20</v>
      </c>
      <c r="E11" t="s">
        <v>21</v>
      </c>
      <c r="F11" t="s">
        <v>22</v>
      </c>
      <c r="N11">
        <v>0</v>
      </c>
      <c r="P11" t="s">
        <v>23</v>
      </c>
      <c r="Q11" t="s">
        <v>24</v>
      </c>
      <c r="R11" t="s">
        <v>25</v>
      </c>
      <c r="S11" s="1">
        <v>93527000</v>
      </c>
      <c r="U11" s="1">
        <v>86520000</v>
      </c>
      <c r="V11" s="1">
        <f t="shared" si="0"/>
        <v>7007000</v>
      </c>
      <c r="W11" s="13">
        <v>3.39</v>
      </c>
      <c r="X11" s="9">
        <v>7.74</v>
      </c>
      <c r="Y11">
        <f t="shared" si="1"/>
        <v>0.43798449612403101</v>
      </c>
      <c r="Z11" s="9">
        <v>150.69999999999999</v>
      </c>
    </row>
    <row r="12" spans="1:28" x14ac:dyDescent="0.25">
      <c r="A12" t="s">
        <v>19</v>
      </c>
      <c r="B12" s="2">
        <v>2006</v>
      </c>
      <c r="C12" t="s">
        <v>20</v>
      </c>
      <c r="E12" t="s">
        <v>21</v>
      </c>
      <c r="F12" t="s">
        <v>22</v>
      </c>
      <c r="N12">
        <v>0</v>
      </c>
      <c r="P12" t="s">
        <v>23</v>
      </c>
      <c r="Q12" t="s">
        <v>24</v>
      </c>
      <c r="R12" t="s">
        <v>25</v>
      </c>
      <c r="S12" s="1">
        <v>78327000</v>
      </c>
      <c r="U12" s="1">
        <v>70638000</v>
      </c>
      <c r="V12" s="1">
        <f t="shared" si="0"/>
        <v>7689000</v>
      </c>
      <c r="W12" s="13">
        <v>2.2799999999999998</v>
      </c>
      <c r="X12" s="9">
        <v>5.65</v>
      </c>
      <c r="Y12">
        <f t="shared" si="1"/>
        <v>0.4035398230088495</v>
      </c>
      <c r="Z12" s="9">
        <v>149.1</v>
      </c>
    </row>
    <row r="13" spans="1:28" x14ac:dyDescent="0.25">
      <c r="A13" t="s">
        <v>19</v>
      </c>
      <c r="B13" s="2">
        <v>2005</v>
      </c>
      <c r="C13" t="s">
        <v>20</v>
      </c>
      <c r="E13" t="s">
        <v>21</v>
      </c>
      <c r="F13" t="s">
        <v>22</v>
      </c>
      <c r="N13">
        <v>0</v>
      </c>
      <c r="P13" t="s">
        <v>23</v>
      </c>
      <c r="Q13" t="s">
        <v>24</v>
      </c>
      <c r="R13" t="s">
        <v>25</v>
      </c>
      <c r="S13" s="1">
        <v>81779000</v>
      </c>
      <c r="U13" s="1">
        <v>75117000</v>
      </c>
      <c r="V13" s="1">
        <f t="shared" si="0"/>
        <v>6662000</v>
      </c>
      <c r="W13" s="13">
        <v>1.96</v>
      </c>
      <c r="X13" s="9">
        <v>5.95</v>
      </c>
      <c r="Y13">
        <f t="shared" si="1"/>
        <v>0.32941176470588235</v>
      </c>
      <c r="Z13" s="9">
        <v>147.9</v>
      </c>
    </row>
    <row r="14" spans="1:28" x14ac:dyDescent="0.25">
      <c r="A14" t="s">
        <v>19</v>
      </c>
      <c r="B14" s="2">
        <v>2004</v>
      </c>
      <c r="C14" t="s">
        <v>20</v>
      </c>
      <c r="E14" t="s">
        <v>21</v>
      </c>
      <c r="F14" t="s">
        <v>22</v>
      </c>
      <c r="N14">
        <v>0</v>
      </c>
      <c r="P14" t="s">
        <v>23</v>
      </c>
      <c r="Q14" t="s">
        <v>24</v>
      </c>
      <c r="R14" t="s">
        <v>25</v>
      </c>
      <c r="S14" s="1">
        <v>80929000</v>
      </c>
      <c r="U14" s="1">
        <v>73631000</v>
      </c>
      <c r="V14" s="1">
        <f t="shared" si="0"/>
        <v>7298000</v>
      </c>
      <c r="W14" s="13">
        <v>2.4700000000000002</v>
      </c>
      <c r="X14" s="9">
        <v>7.56</v>
      </c>
      <c r="Y14">
        <f t="shared" si="1"/>
        <v>0.32671957671957674</v>
      </c>
      <c r="Z14" s="9">
        <v>160.30000000000001</v>
      </c>
    </row>
    <row r="15" spans="1:28" x14ac:dyDescent="0.25">
      <c r="A15" t="s">
        <v>19</v>
      </c>
      <c r="B15" s="2">
        <v>2003</v>
      </c>
      <c r="C15" t="s">
        <v>20</v>
      </c>
      <c r="E15" t="s">
        <v>21</v>
      </c>
      <c r="F15" t="s">
        <v>22</v>
      </c>
      <c r="N15">
        <v>0</v>
      </c>
      <c r="P15" t="s">
        <v>23</v>
      </c>
      <c r="Q15" t="s">
        <v>24</v>
      </c>
      <c r="R15" t="s">
        <v>25</v>
      </c>
      <c r="S15" s="1">
        <v>78603000</v>
      </c>
      <c r="U15" s="1">
        <v>70944000</v>
      </c>
      <c r="V15" s="1">
        <f t="shared" si="0"/>
        <v>7659000</v>
      </c>
      <c r="W15" s="13">
        <v>2.27</v>
      </c>
      <c r="X15" s="9">
        <v>6.08</v>
      </c>
      <c r="Y15">
        <f t="shared" si="1"/>
        <v>0.37335526315789475</v>
      </c>
      <c r="Z15" s="9">
        <v>142.19999999999999</v>
      </c>
    </row>
    <row r="16" spans="1:28" x14ac:dyDescent="0.25">
      <c r="A16" t="s">
        <v>19</v>
      </c>
      <c r="B16" s="2">
        <v>2002</v>
      </c>
      <c r="C16" t="s">
        <v>20</v>
      </c>
      <c r="E16" t="s">
        <v>21</v>
      </c>
      <c r="F16" t="s">
        <v>22</v>
      </c>
      <c r="N16">
        <v>0</v>
      </c>
      <c r="P16" t="s">
        <v>23</v>
      </c>
      <c r="Q16" t="s">
        <v>24</v>
      </c>
      <c r="R16" t="s">
        <v>25</v>
      </c>
      <c r="S16" s="1">
        <v>78894000</v>
      </c>
      <c r="U16" s="1">
        <v>69330000</v>
      </c>
      <c r="V16" s="1">
        <f t="shared" si="0"/>
        <v>9564000</v>
      </c>
      <c r="W16" s="13">
        <v>2.13</v>
      </c>
      <c r="X16" s="9">
        <v>4.93</v>
      </c>
      <c r="Y16">
        <f t="shared" si="1"/>
        <v>0.43204868154158216</v>
      </c>
      <c r="Z16" s="9">
        <v>129.30000000000001</v>
      </c>
    </row>
    <row r="17" spans="1:26" x14ac:dyDescent="0.25">
      <c r="A17" t="s">
        <v>19</v>
      </c>
      <c r="B17" s="2">
        <v>2001</v>
      </c>
      <c r="C17" t="s">
        <v>20</v>
      </c>
      <c r="E17" t="s">
        <v>21</v>
      </c>
      <c r="F17" t="s">
        <v>22</v>
      </c>
      <c r="N17">
        <v>0</v>
      </c>
      <c r="P17" t="s">
        <v>23</v>
      </c>
      <c r="Q17" t="s">
        <v>24</v>
      </c>
      <c r="R17" t="s">
        <v>25</v>
      </c>
      <c r="S17" s="1">
        <v>75702000</v>
      </c>
      <c r="U17" s="1">
        <v>68768000</v>
      </c>
      <c r="V17" s="1">
        <f t="shared" si="0"/>
        <v>6934000</v>
      </c>
      <c r="W17" s="13">
        <v>1.89</v>
      </c>
      <c r="X17" s="9">
        <v>4.43</v>
      </c>
      <c r="Y17">
        <f t="shared" si="1"/>
        <v>0.42663656884875845</v>
      </c>
      <c r="Z17" s="9">
        <v>138.19999999999999</v>
      </c>
    </row>
    <row r="18" spans="1:26" x14ac:dyDescent="0.25">
      <c r="A18" t="s">
        <v>19</v>
      </c>
      <c r="B18" s="2">
        <v>2000</v>
      </c>
      <c r="C18" t="s">
        <v>20</v>
      </c>
      <c r="E18" t="s">
        <v>21</v>
      </c>
      <c r="F18" t="s">
        <v>22</v>
      </c>
      <c r="N18">
        <v>0</v>
      </c>
      <c r="P18" t="s">
        <v>23</v>
      </c>
      <c r="Q18" t="s">
        <v>24</v>
      </c>
      <c r="R18" t="s">
        <v>25</v>
      </c>
      <c r="S18" s="1">
        <v>79551000</v>
      </c>
      <c r="U18" s="1">
        <v>72440000</v>
      </c>
      <c r="V18" s="1">
        <f t="shared" si="0"/>
        <v>7111000</v>
      </c>
      <c r="W18" s="13">
        <v>1.86</v>
      </c>
      <c r="X18" s="10">
        <v>4.7300000000000004</v>
      </c>
      <c r="Y18">
        <f t="shared" si="1"/>
        <v>0.39323467230443976</v>
      </c>
      <c r="Z18" s="9">
        <v>136.9</v>
      </c>
    </row>
    <row r="19" spans="1:26" x14ac:dyDescent="0.25">
      <c r="A19" t="s">
        <v>19</v>
      </c>
      <c r="B19" s="2">
        <v>1999</v>
      </c>
      <c r="C19" t="s">
        <v>20</v>
      </c>
      <c r="E19" t="s">
        <v>21</v>
      </c>
      <c r="F19" t="s">
        <v>22</v>
      </c>
      <c r="N19">
        <v>0</v>
      </c>
      <c r="P19" t="s">
        <v>23</v>
      </c>
      <c r="Q19" t="s">
        <v>24</v>
      </c>
      <c r="R19" t="s">
        <v>25</v>
      </c>
      <c r="S19" s="1">
        <v>77386000</v>
      </c>
      <c r="U19" s="1">
        <v>70487000</v>
      </c>
      <c r="V19" s="1">
        <f t="shared" si="0"/>
        <v>6899000</v>
      </c>
      <c r="W19" s="13">
        <v>1.89</v>
      </c>
    </row>
    <row r="20" spans="1:26" x14ac:dyDescent="0.25">
      <c r="A20" t="s">
        <v>19</v>
      </c>
      <c r="B20" s="2">
        <v>1998</v>
      </c>
      <c r="C20" t="s">
        <v>20</v>
      </c>
      <c r="E20" t="s">
        <v>21</v>
      </c>
      <c r="F20" t="s">
        <v>22</v>
      </c>
      <c r="N20">
        <v>0</v>
      </c>
      <c r="P20" t="s">
        <v>23</v>
      </c>
      <c r="Q20" t="s">
        <v>24</v>
      </c>
      <c r="R20" t="s">
        <v>25</v>
      </c>
      <c r="S20" s="1">
        <v>80165000</v>
      </c>
      <c r="U20" s="1">
        <v>72589000</v>
      </c>
      <c r="V20" s="1">
        <f t="shared" si="0"/>
        <v>7576000</v>
      </c>
      <c r="W20" s="13">
        <v>2.2000000000000002</v>
      </c>
    </row>
    <row r="21" spans="1:26" x14ac:dyDescent="0.25">
      <c r="A21" t="s">
        <v>19</v>
      </c>
      <c r="B21" s="2">
        <v>1997</v>
      </c>
      <c r="C21" t="s">
        <v>20</v>
      </c>
      <c r="E21" t="s">
        <v>21</v>
      </c>
      <c r="F21" t="s">
        <v>22</v>
      </c>
      <c r="N21">
        <v>0</v>
      </c>
      <c r="P21" t="s">
        <v>23</v>
      </c>
      <c r="Q21" t="s">
        <v>24</v>
      </c>
      <c r="R21" t="s">
        <v>25</v>
      </c>
      <c r="S21" s="1">
        <v>79537000</v>
      </c>
      <c r="U21" s="1">
        <v>72671000</v>
      </c>
      <c r="V21" s="1">
        <f t="shared" si="0"/>
        <v>6866000</v>
      </c>
      <c r="W21" s="13">
        <v>2.6</v>
      </c>
    </row>
    <row r="22" spans="1:26" x14ac:dyDescent="0.25">
      <c r="A22" t="s">
        <v>19</v>
      </c>
      <c r="B22" s="2">
        <v>1996</v>
      </c>
      <c r="C22" t="s">
        <v>20</v>
      </c>
      <c r="E22" t="s">
        <v>21</v>
      </c>
      <c r="F22" t="s">
        <v>22</v>
      </c>
      <c r="N22">
        <v>0</v>
      </c>
      <c r="P22" t="s">
        <v>23</v>
      </c>
      <c r="Q22" t="s">
        <v>24</v>
      </c>
      <c r="R22" t="s">
        <v>25</v>
      </c>
      <c r="S22" s="1">
        <v>79229000</v>
      </c>
      <c r="U22" s="1">
        <v>72644000</v>
      </c>
      <c r="V22" s="1">
        <f t="shared" si="0"/>
        <v>6585000</v>
      </c>
      <c r="W22" s="14">
        <v>3.55</v>
      </c>
    </row>
    <row r="23" spans="1:26" x14ac:dyDescent="0.25">
      <c r="A23" t="s">
        <v>19</v>
      </c>
      <c r="B23" s="2">
        <v>1995</v>
      </c>
      <c r="C23" t="s">
        <v>20</v>
      </c>
      <c r="E23" t="s">
        <v>21</v>
      </c>
      <c r="F23" t="s">
        <v>22</v>
      </c>
      <c r="N23">
        <v>0</v>
      </c>
      <c r="P23" t="s">
        <v>23</v>
      </c>
      <c r="Q23" t="s">
        <v>24</v>
      </c>
      <c r="R23" t="s">
        <v>25</v>
      </c>
      <c r="S23" s="1">
        <v>71479000</v>
      </c>
      <c r="U23" s="1">
        <v>65210000</v>
      </c>
      <c r="V23" s="1">
        <f t="shared" si="0"/>
        <v>6269000</v>
      </c>
    </row>
    <row r="24" spans="1:26" x14ac:dyDescent="0.25">
      <c r="A24" t="s">
        <v>19</v>
      </c>
      <c r="B24" s="2">
        <v>1994</v>
      </c>
      <c r="C24" t="s">
        <v>20</v>
      </c>
      <c r="E24" t="s">
        <v>21</v>
      </c>
      <c r="F24" t="s">
        <v>22</v>
      </c>
      <c r="N24">
        <v>0</v>
      </c>
      <c r="P24" t="s">
        <v>23</v>
      </c>
      <c r="Q24" t="s">
        <v>24</v>
      </c>
      <c r="R24" t="s">
        <v>25</v>
      </c>
      <c r="S24" s="1">
        <v>78921000</v>
      </c>
      <c r="U24" s="1">
        <v>72514000</v>
      </c>
      <c r="V24" s="1">
        <f t="shared" si="0"/>
        <v>6407000</v>
      </c>
    </row>
    <row r="25" spans="1:26" x14ac:dyDescent="0.25">
      <c r="A25" t="s">
        <v>19</v>
      </c>
      <c r="B25" s="2">
        <v>1993</v>
      </c>
      <c r="C25" t="s">
        <v>20</v>
      </c>
      <c r="E25" t="s">
        <v>21</v>
      </c>
      <c r="F25" t="s">
        <v>22</v>
      </c>
      <c r="N25">
        <v>0</v>
      </c>
      <c r="P25" t="s">
        <v>23</v>
      </c>
      <c r="Q25" t="s">
        <v>24</v>
      </c>
      <c r="R25" t="s">
        <v>25</v>
      </c>
      <c r="S25" s="1">
        <v>73239000</v>
      </c>
      <c r="U25" s="1">
        <v>62933000</v>
      </c>
      <c r="V25" s="1">
        <f t="shared" si="0"/>
        <v>10306000</v>
      </c>
    </row>
    <row r="26" spans="1:26" x14ac:dyDescent="0.25">
      <c r="A26" t="s">
        <v>19</v>
      </c>
      <c r="B26" s="2">
        <v>1992</v>
      </c>
      <c r="C26" t="s">
        <v>20</v>
      </c>
      <c r="E26" t="s">
        <v>21</v>
      </c>
      <c r="F26" t="s">
        <v>22</v>
      </c>
      <c r="N26">
        <v>0</v>
      </c>
      <c r="P26" t="s">
        <v>23</v>
      </c>
      <c r="Q26" t="s">
        <v>24</v>
      </c>
      <c r="R26" t="s">
        <v>25</v>
      </c>
      <c r="S26" s="1">
        <v>79311000</v>
      </c>
      <c r="U26" s="1">
        <v>72077000</v>
      </c>
      <c r="V26" s="1">
        <f t="shared" si="0"/>
        <v>7234000</v>
      </c>
    </row>
    <row r="27" spans="1:26" x14ac:dyDescent="0.25">
      <c r="A27" t="s">
        <v>19</v>
      </c>
      <c r="B27" s="2">
        <v>1991</v>
      </c>
      <c r="C27" t="s">
        <v>20</v>
      </c>
      <c r="E27" t="s">
        <v>21</v>
      </c>
      <c r="F27" t="s">
        <v>22</v>
      </c>
      <c r="N27">
        <v>0</v>
      </c>
      <c r="P27" t="s">
        <v>23</v>
      </c>
      <c r="Q27" t="s">
        <v>24</v>
      </c>
      <c r="R27" t="s">
        <v>25</v>
      </c>
      <c r="S27" s="1">
        <v>75957000</v>
      </c>
      <c r="U27" s="1">
        <v>68822000</v>
      </c>
      <c r="V27" s="1">
        <f t="shared" si="0"/>
        <v>7135000</v>
      </c>
    </row>
    <row r="28" spans="1:26" x14ac:dyDescent="0.25">
      <c r="A28" t="s">
        <v>19</v>
      </c>
      <c r="B28" s="2">
        <v>1990</v>
      </c>
      <c r="C28" t="s">
        <v>20</v>
      </c>
      <c r="E28" t="s">
        <v>21</v>
      </c>
      <c r="F28" t="s">
        <v>22</v>
      </c>
      <c r="N28">
        <v>0</v>
      </c>
      <c r="P28" t="s">
        <v>23</v>
      </c>
      <c r="Q28" t="s">
        <v>24</v>
      </c>
      <c r="R28" t="s">
        <v>25</v>
      </c>
      <c r="S28" s="1">
        <v>74166000</v>
      </c>
      <c r="U28" s="1">
        <v>66952000</v>
      </c>
      <c r="V28" s="1">
        <f t="shared" si="0"/>
        <v>7214000</v>
      </c>
    </row>
    <row r="29" spans="1:26" x14ac:dyDescent="0.25">
      <c r="A29" t="s">
        <v>19</v>
      </c>
      <c r="B29" s="2">
        <v>1989</v>
      </c>
      <c r="C29" t="s">
        <v>20</v>
      </c>
      <c r="E29" t="s">
        <v>21</v>
      </c>
      <c r="F29" t="s">
        <v>22</v>
      </c>
      <c r="N29">
        <v>0</v>
      </c>
      <c r="P29" t="s">
        <v>23</v>
      </c>
      <c r="Q29" t="s">
        <v>24</v>
      </c>
      <c r="R29" t="s">
        <v>25</v>
      </c>
      <c r="S29" s="1">
        <v>72322000</v>
      </c>
      <c r="U29" s="1">
        <v>64783000</v>
      </c>
      <c r="V29" s="1">
        <f t="shared" si="0"/>
        <v>7539000</v>
      </c>
    </row>
    <row r="30" spans="1:26" x14ac:dyDescent="0.25">
      <c r="A30" t="s">
        <v>19</v>
      </c>
      <c r="B30" s="2">
        <v>1988</v>
      </c>
      <c r="C30" t="s">
        <v>20</v>
      </c>
      <c r="E30" t="s">
        <v>21</v>
      </c>
      <c r="F30" t="s">
        <v>22</v>
      </c>
      <c r="N30">
        <v>0</v>
      </c>
      <c r="P30" t="s">
        <v>23</v>
      </c>
      <c r="Q30" t="s">
        <v>24</v>
      </c>
      <c r="R30" t="s">
        <v>25</v>
      </c>
      <c r="S30" s="1">
        <v>67717000</v>
      </c>
      <c r="U30" s="1">
        <v>58250000</v>
      </c>
      <c r="V30" s="1">
        <f t="shared" si="0"/>
        <v>9467000</v>
      </c>
    </row>
    <row r="31" spans="1:26" x14ac:dyDescent="0.25">
      <c r="A31" t="s">
        <v>19</v>
      </c>
      <c r="B31" s="2">
        <v>1987</v>
      </c>
      <c r="C31" t="s">
        <v>20</v>
      </c>
      <c r="E31" t="s">
        <v>21</v>
      </c>
      <c r="F31" t="s">
        <v>22</v>
      </c>
      <c r="N31">
        <v>0</v>
      </c>
      <c r="P31" t="s">
        <v>23</v>
      </c>
      <c r="Q31" t="s">
        <v>24</v>
      </c>
      <c r="R31" t="s">
        <v>25</v>
      </c>
      <c r="S31" s="1">
        <v>66200000</v>
      </c>
      <c r="U31" s="1">
        <v>59505000</v>
      </c>
      <c r="V31" s="1">
        <f t="shared" si="0"/>
        <v>6695000</v>
      </c>
    </row>
    <row r="32" spans="1:26" x14ac:dyDescent="0.25">
      <c r="A32" t="s">
        <v>19</v>
      </c>
      <c r="B32" s="2">
        <v>1986</v>
      </c>
      <c r="C32" t="s">
        <v>20</v>
      </c>
      <c r="E32" t="s">
        <v>21</v>
      </c>
      <c r="F32" t="s">
        <v>22</v>
      </c>
      <c r="N32">
        <v>0</v>
      </c>
      <c r="P32" t="s">
        <v>23</v>
      </c>
      <c r="Q32" t="s">
        <v>24</v>
      </c>
      <c r="R32" t="s">
        <v>25</v>
      </c>
      <c r="S32" s="1">
        <v>76580000</v>
      </c>
      <c r="U32" s="1">
        <v>68907000</v>
      </c>
      <c r="V32" s="1">
        <f t="shared" si="0"/>
        <v>7673000</v>
      </c>
    </row>
    <row r="33" spans="1:22" x14ac:dyDescent="0.25">
      <c r="A33" t="s">
        <v>19</v>
      </c>
      <c r="B33" s="2">
        <v>1985</v>
      </c>
      <c r="C33" t="s">
        <v>20</v>
      </c>
      <c r="E33" t="s">
        <v>21</v>
      </c>
      <c r="F33" t="s">
        <v>22</v>
      </c>
      <c r="N33">
        <v>0</v>
      </c>
      <c r="P33" t="s">
        <v>23</v>
      </c>
      <c r="Q33" t="s">
        <v>24</v>
      </c>
      <c r="R33" t="s">
        <v>25</v>
      </c>
      <c r="S33" s="1">
        <v>83398000</v>
      </c>
      <c r="U33" s="1">
        <v>75209000</v>
      </c>
      <c r="V33" s="1">
        <f t="shared" si="0"/>
        <v>8189000</v>
      </c>
    </row>
    <row r="34" spans="1:22" x14ac:dyDescent="0.25">
      <c r="A34" t="s">
        <v>19</v>
      </c>
      <c r="B34" s="2">
        <v>1984</v>
      </c>
      <c r="C34" t="s">
        <v>20</v>
      </c>
      <c r="E34" t="s">
        <v>21</v>
      </c>
      <c r="F34" t="s">
        <v>22</v>
      </c>
      <c r="N34">
        <v>0</v>
      </c>
      <c r="P34" t="s">
        <v>23</v>
      </c>
      <c r="Q34" t="s">
        <v>24</v>
      </c>
      <c r="R34" t="s">
        <v>25</v>
      </c>
      <c r="S34" s="1">
        <v>80517000</v>
      </c>
      <c r="U34" s="1">
        <v>71897000</v>
      </c>
      <c r="V34" s="1">
        <f t="shared" si="0"/>
        <v>8620000</v>
      </c>
    </row>
    <row r="35" spans="1:22" x14ac:dyDescent="0.25">
      <c r="A35" t="s">
        <v>19</v>
      </c>
      <c r="B35" s="2">
        <v>1983</v>
      </c>
      <c r="C35" t="s">
        <v>20</v>
      </c>
      <c r="E35" t="s">
        <v>21</v>
      </c>
      <c r="F35" t="s">
        <v>22</v>
      </c>
      <c r="N35">
        <v>0</v>
      </c>
      <c r="P35" t="s">
        <v>23</v>
      </c>
      <c r="Q35" t="s">
        <v>24</v>
      </c>
      <c r="R35" t="s">
        <v>25</v>
      </c>
      <c r="S35" s="1">
        <v>60207000</v>
      </c>
      <c r="U35" s="1">
        <v>51479000</v>
      </c>
      <c r="V35" s="1">
        <f t="shared" si="0"/>
        <v>8728000</v>
      </c>
    </row>
    <row r="36" spans="1:22" x14ac:dyDescent="0.25">
      <c r="A36" t="s">
        <v>19</v>
      </c>
      <c r="B36" s="2">
        <v>1982</v>
      </c>
      <c r="C36" t="s">
        <v>20</v>
      </c>
      <c r="E36" t="s">
        <v>21</v>
      </c>
      <c r="F36" t="s">
        <v>22</v>
      </c>
      <c r="N36">
        <v>0</v>
      </c>
      <c r="P36" t="s">
        <v>23</v>
      </c>
      <c r="Q36" t="s">
        <v>24</v>
      </c>
      <c r="R36" t="s">
        <v>25</v>
      </c>
      <c r="S36" s="1">
        <v>81857000</v>
      </c>
      <c r="U36" s="1">
        <v>72719000</v>
      </c>
      <c r="V36" s="1">
        <f t="shared" si="0"/>
        <v>9138000</v>
      </c>
    </row>
    <row r="37" spans="1:22" x14ac:dyDescent="0.25">
      <c r="A37" t="s">
        <v>19</v>
      </c>
      <c r="B37" s="2">
        <v>1981</v>
      </c>
      <c r="C37" t="s">
        <v>20</v>
      </c>
      <c r="E37" t="s">
        <v>21</v>
      </c>
      <c r="F37" t="s">
        <v>22</v>
      </c>
      <c r="N37">
        <v>0</v>
      </c>
      <c r="P37" t="s">
        <v>23</v>
      </c>
      <c r="Q37" t="s">
        <v>24</v>
      </c>
      <c r="R37" t="s">
        <v>25</v>
      </c>
      <c r="S37" s="1">
        <v>84097000</v>
      </c>
      <c r="U37" s="1">
        <v>74524000</v>
      </c>
      <c r="V37" s="1">
        <f t="shared" si="0"/>
        <v>9573000</v>
      </c>
    </row>
    <row r="38" spans="1:22" x14ac:dyDescent="0.25">
      <c r="A38" t="s">
        <v>19</v>
      </c>
      <c r="B38" s="2">
        <v>1980</v>
      </c>
      <c r="C38" t="s">
        <v>20</v>
      </c>
      <c r="E38" t="s">
        <v>21</v>
      </c>
      <c r="F38" t="s">
        <v>22</v>
      </c>
      <c r="N38">
        <v>0</v>
      </c>
      <c r="P38" t="s">
        <v>23</v>
      </c>
      <c r="Q38" t="s">
        <v>24</v>
      </c>
      <c r="R38" t="s">
        <v>25</v>
      </c>
      <c r="S38" s="1">
        <v>84043000</v>
      </c>
      <c r="U38" s="1">
        <v>72961000</v>
      </c>
      <c r="V38" s="1">
        <f t="shared" si="0"/>
        <v>11082000</v>
      </c>
    </row>
    <row r="39" spans="1:22" x14ac:dyDescent="0.25">
      <c r="A39" t="s">
        <v>19</v>
      </c>
      <c r="B39" s="2">
        <v>1979</v>
      </c>
      <c r="C39" t="s">
        <v>20</v>
      </c>
      <c r="E39" t="s">
        <v>21</v>
      </c>
      <c r="F39" t="s">
        <v>22</v>
      </c>
      <c r="N39">
        <v>0</v>
      </c>
      <c r="P39" t="s">
        <v>23</v>
      </c>
      <c r="Q39" t="s">
        <v>24</v>
      </c>
      <c r="R39" t="s">
        <v>25</v>
      </c>
      <c r="S39" s="1">
        <v>81394000</v>
      </c>
      <c r="U39" s="1">
        <v>72400000</v>
      </c>
      <c r="V39" s="1">
        <f t="shared" si="0"/>
        <v>8994000</v>
      </c>
    </row>
    <row r="40" spans="1:22" x14ac:dyDescent="0.25">
      <c r="A40" t="s">
        <v>19</v>
      </c>
      <c r="B40" s="2">
        <v>1978</v>
      </c>
      <c r="C40" t="s">
        <v>20</v>
      </c>
      <c r="E40" t="s">
        <v>21</v>
      </c>
      <c r="F40" t="s">
        <v>22</v>
      </c>
      <c r="N40">
        <v>0</v>
      </c>
      <c r="P40" t="s">
        <v>23</v>
      </c>
      <c r="Q40" t="s">
        <v>24</v>
      </c>
      <c r="R40" t="s">
        <v>25</v>
      </c>
      <c r="S40" s="1">
        <v>81675000</v>
      </c>
      <c r="U40" s="1">
        <v>71930000</v>
      </c>
      <c r="V40" s="1">
        <f t="shared" si="0"/>
        <v>9745000</v>
      </c>
    </row>
    <row r="41" spans="1:22" x14ac:dyDescent="0.25">
      <c r="A41" t="s">
        <v>19</v>
      </c>
      <c r="B41" s="2">
        <v>1977</v>
      </c>
      <c r="C41" t="s">
        <v>20</v>
      </c>
      <c r="E41" t="s">
        <v>21</v>
      </c>
      <c r="F41" t="s">
        <v>22</v>
      </c>
      <c r="N41">
        <v>0</v>
      </c>
      <c r="P41" t="s">
        <v>23</v>
      </c>
      <c r="Q41" t="s">
        <v>24</v>
      </c>
      <c r="R41" t="s">
        <v>25</v>
      </c>
      <c r="S41" s="1">
        <v>84328000</v>
      </c>
      <c r="U41" s="1">
        <v>71614000</v>
      </c>
      <c r="V41" s="1">
        <f t="shared" si="0"/>
        <v>12714000</v>
      </c>
    </row>
    <row r="42" spans="1:22" x14ac:dyDescent="0.25">
      <c r="A42" t="s">
        <v>19</v>
      </c>
      <c r="B42" s="2">
        <v>1976</v>
      </c>
      <c r="C42" t="s">
        <v>20</v>
      </c>
      <c r="E42" t="s">
        <v>21</v>
      </c>
      <c r="F42" t="s">
        <v>22</v>
      </c>
      <c r="N42">
        <v>0</v>
      </c>
      <c r="P42" t="s">
        <v>23</v>
      </c>
      <c r="Q42" t="s">
        <v>24</v>
      </c>
      <c r="R42" t="s">
        <v>25</v>
      </c>
      <c r="S42" s="1">
        <v>84588000</v>
      </c>
      <c r="U42" s="1">
        <v>71506000</v>
      </c>
      <c r="V42" s="1">
        <f t="shared" si="0"/>
        <v>13082000</v>
      </c>
    </row>
    <row r="43" spans="1:22" x14ac:dyDescent="0.25">
      <c r="A43" t="s">
        <v>19</v>
      </c>
      <c r="B43" s="2">
        <v>1975</v>
      </c>
      <c r="C43" t="s">
        <v>20</v>
      </c>
      <c r="E43" t="s">
        <v>21</v>
      </c>
      <c r="F43" t="s">
        <v>22</v>
      </c>
      <c r="N43">
        <v>0</v>
      </c>
      <c r="P43" t="s">
        <v>23</v>
      </c>
      <c r="Q43" t="s">
        <v>24</v>
      </c>
      <c r="R43" t="s">
        <v>25</v>
      </c>
      <c r="S43" s="1">
        <v>78719000</v>
      </c>
      <c r="U43" s="1">
        <v>67625000</v>
      </c>
      <c r="V43" s="1">
        <f t="shared" si="0"/>
        <v>11094000</v>
      </c>
    </row>
    <row r="44" spans="1:22" x14ac:dyDescent="0.25">
      <c r="A44" t="s">
        <v>19</v>
      </c>
      <c r="B44" s="2">
        <v>1974</v>
      </c>
      <c r="C44" t="s">
        <v>20</v>
      </c>
      <c r="E44" t="s">
        <v>21</v>
      </c>
      <c r="F44" t="s">
        <v>22</v>
      </c>
      <c r="N44">
        <v>0</v>
      </c>
      <c r="P44" t="s">
        <v>23</v>
      </c>
      <c r="Q44" t="s">
        <v>24</v>
      </c>
      <c r="R44" t="s">
        <v>25</v>
      </c>
      <c r="S44" s="1">
        <v>77935000</v>
      </c>
      <c r="U44" s="1">
        <v>65405000</v>
      </c>
      <c r="V44" s="1">
        <f t="shared" si="0"/>
        <v>12530000</v>
      </c>
    </row>
    <row r="45" spans="1:22" x14ac:dyDescent="0.25">
      <c r="A45" t="s">
        <v>19</v>
      </c>
      <c r="B45" s="2">
        <v>1973</v>
      </c>
      <c r="C45" t="s">
        <v>20</v>
      </c>
      <c r="E45" t="s">
        <v>21</v>
      </c>
      <c r="F45" t="s">
        <v>22</v>
      </c>
      <c r="N45">
        <v>0</v>
      </c>
      <c r="P45" t="s">
        <v>23</v>
      </c>
      <c r="Q45" t="s">
        <v>24</v>
      </c>
      <c r="R45" t="s">
        <v>25</v>
      </c>
      <c r="S45" s="1">
        <v>72253000</v>
      </c>
      <c r="U45" s="1">
        <v>62143000</v>
      </c>
      <c r="V45" s="1">
        <f t="shared" si="0"/>
        <v>10110000</v>
      </c>
    </row>
    <row r="46" spans="1:22" x14ac:dyDescent="0.25">
      <c r="A46" t="s">
        <v>19</v>
      </c>
      <c r="B46" s="2">
        <v>1972</v>
      </c>
      <c r="C46" t="s">
        <v>20</v>
      </c>
      <c r="E46" t="s">
        <v>21</v>
      </c>
      <c r="F46" t="s">
        <v>22</v>
      </c>
      <c r="N46">
        <v>0</v>
      </c>
      <c r="P46" t="s">
        <v>23</v>
      </c>
      <c r="Q46" t="s">
        <v>24</v>
      </c>
      <c r="R46" t="s">
        <v>25</v>
      </c>
      <c r="S46" s="1">
        <v>67126000</v>
      </c>
      <c r="U46" s="1">
        <v>57513000</v>
      </c>
      <c r="V46" s="1">
        <f t="shared" si="0"/>
        <v>9613000</v>
      </c>
    </row>
    <row r="47" spans="1:22" x14ac:dyDescent="0.25">
      <c r="A47" t="s">
        <v>19</v>
      </c>
      <c r="B47" s="2">
        <v>1971</v>
      </c>
      <c r="C47" t="s">
        <v>20</v>
      </c>
      <c r="E47" t="s">
        <v>21</v>
      </c>
      <c r="F47" t="s">
        <v>22</v>
      </c>
      <c r="N47">
        <v>0</v>
      </c>
      <c r="P47" t="s">
        <v>23</v>
      </c>
      <c r="Q47" t="s">
        <v>24</v>
      </c>
      <c r="R47" t="s">
        <v>25</v>
      </c>
      <c r="S47" s="1">
        <v>74179000</v>
      </c>
      <c r="U47" s="1">
        <v>64123000</v>
      </c>
      <c r="V47" s="1">
        <f t="shared" si="0"/>
        <v>10056000</v>
      </c>
    </row>
    <row r="48" spans="1:22" x14ac:dyDescent="0.25">
      <c r="A48" t="s">
        <v>19</v>
      </c>
      <c r="B48" s="2">
        <v>1970</v>
      </c>
      <c r="C48" t="s">
        <v>20</v>
      </c>
      <c r="E48" t="s">
        <v>21</v>
      </c>
      <c r="F48" t="s">
        <v>22</v>
      </c>
      <c r="N48">
        <v>0</v>
      </c>
      <c r="P48" t="s">
        <v>23</v>
      </c>
      <c r="Q48" t="s">
        <v>24</v>
      </c>
      <c r="R48" t="s">
        <v>25</v>
      </c>
      <c r="S48" s="1">
        <v>66863000</v>
      </c>
      <c r="U48" s="1">
        <v>57358000</v>
      </c>
      <c r="V48" s="1">
        <f t="shared" si="0"/>
        <v>9505000</v>
      </c>
    </row>
    <row r="49" spans="1:22" x14ac:dyDescent="0.25">
      <c r="A49" t="s">
        <v>19</v>
      </c>
      <c r="B49" s="2">
        <v>1969</v>
      </c>
      <c r="C49" t="s">
        <v>20</v>
      </c>
      <c r="E49" t="s">
        <v>21</v>
      </c>
      <c r="F49" t="s">
        <v>22</v>
      </c>
      <c r="N49">
        <v>0</v>
      </c>
      <c r="P49" t="s">
        <v>23</v>
      </c>
      <c r="Q49" t="s">
        <v>24</v>
      </c>
      <c r="R49" t="s">
        <v>25</v>
      </c>
      <c r="S49" s="1">
        <v>64264000</v>
      </c>
      <c r="U49" s="1">
        <v>54574000</v>
      </c>
      <c r="V49" s="1">
        <f t="shared" si="0"/>
        <v>9690000</v>
      </c>
    </row>
    <row r="50" spans="1:22" x14ac:dyDescent="0.25">
      <c r="A50" t="s">
        <v>19</v>
      </c>
      <c r="B50" s="2">
        <v>1968</v>
      </c>
      <c r="C50" t="s">
        <v>20</v>
      </c>
      <c r="E50" t="s">
        <v>21</v>
      </c>
      <c r="F50" t="s">
        <v>22</v>
      </c>
      <c r="N50">
        <v>0</v>
      </c>
      <c r="P50" t="s">
        <v>23</v>
      </c>
      <c r="Q50" t="s">
        <v>24</v>
      </c>
      <c r="R50" t="s">
        <v>25</v>
      </c>
      <c r="S50" s="1">
        <v>65126000</v>
      </c>
      <c r="U50" s="1">
        <v>55980000</v>
      </c>
      <c r="V50" s="1">
        <f t="shared" si="0"/>
        <v>9146000</v>
      </c>
    </row>
    <row r="51" spans="1:22" x14ac:dyDescent="0.25">
      <c r="A51" t="s">
        <v>19</v>
      </c>
      <c r="B51" s="2">
        <v>1967</v>
      </c>
      <c r="C51" t="s">
        <v>20</v>
      </c>
      <c r="E51" t="s">
        <v>21</v>
      </c>
      <c r="F51" t="s">
        <v>22</v>
      </c>
      <c r="N51">
        <v>0</v>
      </c>
      <c r="P51" t="s">
        <v>23</v>
      </c>
      <c r="Q51" t="s">
        <v>24</v>
      </c>
      <c r="R51" t="s">
        <v>25</v>
      </c>
      <c r="S51" s="1">
        <v>71156000</v>
      </c>
      <c r="U51" s="1">
        <v>60694000</v>
      </c>
      <c r="V51" s="1">
        <f t="shared" si="0"/>
        <v>10462000</v>
      </c>
    </row>
    <row r="52" spans="1:22" x14ac:dyDescent="0.25">
      <c r="A52" t="s">
        <v>19</v>
      </c>
      <c r="B52" s="2">
        <v>1966</v>
      </c>
      <c r="C52" t="s">
        <v>20</v>
      </c>
      <c r="E52" t="s">
        <v>21</v>
      </c>
      <c r="F52" t="s">
        <v>22</v>
      </c>
      <c r="N52">
        <v>0</v>
      </c>
      <c r="P52" t="s">
        <v>23</v>
      </c>
      <c r="Q52" t="s">
        <v>24</v>
      </c>
      <c r="R52" t="s">
        <v>25</v>
      </c>
      <c r="S52" s="1">
        <v>66347000</v>
      </c>
      <c r="U52" s="1">
        <v>57002000</v>
      </c>
      <c r="V52" s="1">
        <f t="shared" si="0"/>
        <v>9345000</v>
      </c>
    </row>
    <row r="53" spans="1:22" x14ac:dyDescent="0.25">
      <c r="A53" t="s">
        <v>19</v>
      </c>
      <c r="B53" s="2">
        <v>1965</v>
      </c>
      <c r="C53" t="s">
        <v>20</v>
      </c>
      <c r="E53" t="s">
        <v>21</v>
      </c>
      <c r="F53" t="s">
        <v>22</v>
      </c>
      <c r="N53">
        <v>0</v>
      </c>
      <c r="P53" t="s">
        <v>23</v>
      </c>
      <c r="Q53" t="s">
        <v>24</v>
      </c>
      <c r="R53" t="s">
        <v>25</v>
      </c>
      <c r="S53" s="1">
        <v>65171000</v>
      </c>
      <c r="U53" s="1">
        <v>55392000</v>
      </c>
      <c r="V53" s="1">
        <f t="shared" si="0"/>
        <v>9779000</v>
      </c>
    </row>
    <row r="54" spans="1:22" x14ac:dyDescent="0.25">
      <c r="A54" t="s">
        <v>19</v>
      </c>
      <c r="B54" s="2">
        <v>1964</v>
      </c>
      <c r="C54" t="s">
        <v>20</v>
      </c>
      <c r="E54" t="s">
        <v>21</v>
      </c>
      <c r="F54" t="s">
        <v>22</v>
      </c>
      <c r="N54">
        <v>0</v>
      </c>
      <c r="P54" t="s">
        <v>23</v>
      </c>
      <c r="Q54" t="s">
        <v>24</v>
      </c>
      <c r="R54" t="s">
        <v>25</v>
      </c>
      <c r="S54" s="1">
        <v>65823000</v>
      </c>
      <c r="U54" s="1">
        <v>55369000</v>
      </c>
      <c r="V54" s="1">
        <f t="shared" si="0"/>
        <v>10454000</v>
      </c>
    </row>
    <row r="55" spans="1:22" x14ac:dyDescent="0.25">
      <c r="A55" t="s">
        <v>19</v>
      </c>
      <c r="B55" s="2">
        <v>1963</v>
      </c>
      <c r="C55" t="s">
        <v>20</v>
      </c>
      <c r="E55" t="s">
        <v>21</v>
      </c>
      <c r="F55" t="s">
        <v>22</v>
      </c>
      <c r="N55">
        <v>0</v>
      </c>
      <c r="P55" t="s">
        <v>23</v>
      </c>
      <c r="Q55" t="s">
        <v>24</v>
      </c>
      <c r="R55" t="s">
        <v>25</v>
      </c>
      <c r="S55" s="1">
        <v>68771000</v>
      </c>
      <c r="U55" s="1">
        <v>59227000</v>
      </c>
      <c r="V55" s="1">
        <f t="shared" si="0"/>
        <v>9544000</v>
      </c>
    </row>
    <row r="56" spans="1:22" x14ac:dyDescent="0.25">
      <c r="A56" t="s">
        <v>19</v>
      </c>
      <c r="B56" s="2">
        <v>1962</v>
      </c>
      <c r="C56" t="s">
        <v>20</v>
      </c>
      <c r="E56" t="s">
        <v>21</v>
      </c>
      <c r="F56" t="s">
        <v>22</v>
      </c>
      <c r="N56">
        <v>0</v>
      </c>
      <c r="P56" t="s">
        <v>23</v>
      </c>
      <c r="Q56" t="s">
        <v>24</v>
      </c>
      <c r="R56" t="s">
        <v>25</v>
      </c>
      <c r="S56" s="1">
        <v>65017000</v>
      </c>
      <c r="U56" s="1">
        <v>55726000</v>
      </c>
      <c r="V56" s="1">
        <f t="shared" si="0"/>
        <v>9291000</v>
      </c>
    </row>
    <row r="57" spans="1:22" x14ac:dyDescent="0.25">
      <c r="A57" t="s">
        <v>19</v>
      </c>
      <c r="B57" s="2">
        <v>1961</v>
      </c>
      <c r="C57" t="s">
        <v>20</v>
      </c>
      <c r="E57" t="s">
        <v>21</v>
      </c>
      <c r="F57" t="s">
        <v>22</v>
      </c>
      <c r="N57">
        <v>0</v>
      </c>
      <c r="P57" t="s">
        <v>23</v>
      </c>
      <c r="Q57" t="s">
        <v>24</v>
      </c>
      <c r="R57" t="s">
        <v>25</v>
      </c>
      <c r="S57" s="1">
        <v>65919000</v>
      </c>
      <c r="U57" s="1">
        <v>57634000</v>
      </c>
      <c r="V57" s="1">
        <f t="shared" si="0"/>
        <v>8285000</v>
      </c>
    </row>
    <row r="58" spans="1:22" x14ac:dyDescent="0.25">
      <c r="A58" t="s">
        <v>19</v>
      </c>
      <c r="B58" s="2">
        <v>1960</v>
      </c>
      <c r="C58" t="s">
        <v>20</v>
      </c>
      <c r="E58" t="s">
        <v>21</v>
      </c>
      <c r="F58" t="s">
        <v>22</v>
      </c>
      <c r="N58">
        <v>0</v>
      </c>
      <c r="P58" t="s">
        <v>23</v>
      </c>
      <c r="Q58" t="s">
        <v>24</v>
      </c>
      <c r="R58" t="s">
        <v>25</v>
      </c>
      <c r="S58" s="1">
        <v>81425000</v>
      </c>
      <c r="U58" s="1">
        <v>71422000</v>
      </c>
      <c r="V58" s="1">
        <f t="shared" si="0"/>
        <v>10003000</v>
      </c>
    </row>
    <row r="59" spans="1:22" x14ac:dyDescent="0.25">
      <c r="A59" t="s">
        <v>19</v>
      </c>
      <c r="B59" s="2">
        <v>1959</v>
      </c>
      <c r="C59" t="s">
        <v>20</v>
      </c>
      <c r="E59" t="s">
        <v>21</v>
      </c>
      <c r="F59" t="s">
        <v>22</v>
      </c>
      <c r="N59">
        <v>0</v>
      </c>
      <c r="P59" t="s">
        <v>23</v>
      </c>
      <c r="Q59" t="s">
        <v>24</v>
      </c>
      <c r="R59" t="s">
        <v>25</v>
      </c>
      <c r="S59" s="1">
        <v>82742000</v>
      </c>
      <c r="U59" s="1">
        <v>72091000</v>
      </c>
      <c r="V59" s="1">
        <f t="shared" si="0"/>
        <v>10651000</v>
      </c>
    </row>
    <row r="60" spans="1:22" x14ac:dyDescent="0.25">
      <c r="A60" t="s">
        <v>19</v>
      </c>
      <c r="B60" s="2">
        <v>1958</v>
      </c>
      <c r="C60" t="s">
        <v>20</v>
      </c>
      <c r="E60" t="s">
        <v>21</v>
      </c>
      <c r="F60" t="s">
        <v>22</v>
      </c>
      <c r="N60">
        <v>0</v>
      </c>
      <c r="P60" t="s">
        <v>23</v>
      </c>
      <c r="Q60" t="s">
        <v>24</v>
      </c>
      <c r="R60" t="s">
        <v>25</v>
      </c>
      <c r="S60" s="1">
        <v>73351000</v>
      </c>
      <c r="U60" s="1">
        <v>63549000</v>
      </c>
      <c r="V60" s="1">
        <f t="shared" si="0"/>
        <v>9802000</v>
      </c>
    </row>
    <row r="61" spans="1:22" x14ac:dyDescent="0.25">
      <c r="A61" t="s">
        <v>19</v>
      </c>
      <c r="B61" s="2">
        <v>1957</v>
      </c>
      <c r="C61" t="s">
        <v>20</v>
      </c>
      <c r="E61" t="s">
        <v>21</v>
      </c>
      <c r="F61" t="s">
        <v>22</v>
      </c>
      <c r="N61">
        <v>0</v>
      </c>
      <c r="P61" t="s">
        <v>23</v>
      </c>
      <c r="Q61" t="s">
        <v>24</v>
      </c>
      <c r="R61" t="s">
        <v>25</v>
      </c>
      <c r="S61" s="1">
        <v>73180000</v>
      </c>
      <c r="U61" s="1">
        <v>63065000</v>
      </c>
      <c r="V61" s="1">
        <f t="shared" si="0"/>
        <v>10115000</v>
      </c>
    </row>
    <row r="62" spans="1:22" x14ac:dyDescent="0.25">
      <c r="A62" t="s">
        <v>19</v>
      </c>
      <c r="B62" s="2">
        <v>1956</v>
      </c>
      <c r="C62" t="s">
        <v>20</v>
      </c>
      <c r="E62" t="s">
        <v>21</v>
      </c>
      <c r="F62" t="s">
        <v>22</v>
      </c>
      <c r="N62">
        <v>0</v>
      </c>
      <c r="P62" t="s">
        <v>23</v>
      </c>
      <c r="Q62" t="s">
        <v>24</v>
      </c>
      <c r="R62" t="s">
        <v>25</v>
      </c>
      <c r="S62" s="1">
        <v>77828000</v>
      </c>
      <c r="U62" s="1">
        <v>64877000</v>
      </c>
      <c r="V62" s="1">
        <f t="shared" si="0"/>
        <v>12951000</v>
      </c>
    </row>
    <row r="63" spans="1:22" x14ac:dyDescent="0.25">
      <c r="A63" t="s">
        <v>19</v>
      </c>
      <c r="B63" s="2">
        <v>1955</v>
      </c>
      <c r="C63" t="s">
        <v>20</v>
      </c>
      <c r="E63" t="s">
        <v>21</v>
      </c>
      <c r="F63" t="s">
        <v>22</v>
      </c>
      <c r="N63">
        <v>0</v>
      </c>
      <c r="P63" t="s">
        <v>23</v>
      </c>
      <c r="Q63" t="s">
        <v>24</v>
      </c>
      <c r="R63" t="s">
        <v>25</v>
      </c>
      <c r="S63" s="1">
        <v>80932000</v>
      </c>
      <c r="U63" s="1">
        <v>68462000</v>
      </c>
      <c r="V63" s="1">
        <f t="shared" si="0"/>
        <v>12470000</v>
      </c>
    </row>
    <row r="64" spans="1:22" x14ac:dyDescent="0.25">
      <c r="A64" t="s">
        <v>19</v>
      </c>
      <c r="B64" s="2">
        <v>1954</v>
      </c>
      <c r="C64" t="s">
        <v>20</v>
      </c>
      <c r="E64" t="s">
        <v>21</v>
      </c>
      <c r="F64" t="s">
        <v>22</v>
      </c>
      <c r="N64">
        <v>0</v>
      </c>
      <c r="P64" t="s">
        <v>23</v>
      </c>
      <c r="Q64" t="s">
        <v>24</v>
      </c>
      <c r="R64" t="s">
        <v>25</v>
      </c>
      <c r="S64" s="1">
        <v>82185000</v>
      </c>
      <c r="U64" s="1">
        <v>68668000</v>
      </c>
      <c r="V64" s="1">
        <f t="shared" si="0"/>
        <v>13517000</v>
      </c>
    </row>
    <row r="65" spans="1:22" x14ac:dyDescent="0.25">
      <c r="A65" t="s">
        <v>19</v>
      </c>
      <c r="B65" s="2">
        <v>1953</v>
      </c>
      <c r="C65" t="s">
        <v>20</v>
      </c>
      <c r="E65" t="s">
        <v>21</v>
      </c>
      <c r="F65" t="s">
        <v>22</v>
      </c>
      <c r="N65">
        <v>0</v>
      </c>
      <c r="P65" t="s">
        <v>23</v>
      </c>
      <c r="Q65" t="s">
        <v>24</v>
      </c>
      <c r="R65" t="s">
        <v>25</v>
      </c>
      <c r="S65" s="1">
        <v>81574000</v>
      </c>
      <c r="U65" s="1">
        <v>70738000</v>
      </c>
      <c r="V65" s="1">
        <f t="shared" si="0"/>
        <v>10836000</v>
      </c>
    </row>
    <row r="66" spans="1:22" x14ac:dyDescent="0.25">
      <c r="A66" t="s">
        <v>19</v>
      </c>
      <c r="B66" s="2">
        <v>1952</v>
      </c>
      <c r="C66" t="s">
        <v>20</v>
      </c>
      <c r="E66" t="s">
        <v>21</v>
      </c>
      <c r="F66" t="s">
        <v>22</v>
      </c>
      <c r="N66">
        <v>0</v>
      </c>
      <c r="P66" t="s">
        <v>23</v>
      </c>
      <c r="Q66" t="s">
        <v>24</v>
      </c>
      <c r="R66" t="s">
        <v>25</v>
      </c>
      <c r="S66" s="1">
        <v>82230000</v>
      </c>
      <c r="U66" s="1">
        <v>71353000</v>
      </c>
      <c r="V66" s="1">
        <f t="shared" si="0"/>
        <v>10877000</v>
      </c>
    </row>
    <row r="67" spans="1:22" x14ac:dyDescent="0.25">
      <c r="A67" t="s">
        <v>19</v>
      </c>
      <c r="B67" s="2">
        <v>1951</v>
      </c>
      <c r="C67" t="s">
        <v>20</v>
      </c>
      <c r="E67" t="s">
        <v>21</v>
      </c>
      <c r="F67" t="s">
        <v>22</v>
      </c>
      <c r="N67">
        <v>0</v>
      </c>
      <c r="P67" t="s">
        <v>23</v>
      </c>
      <c r="Q67" t="s">
        <v>24</v>
      </c>
      <c r="R67" t="s">
        <v>25</v>
      </c>
      <c r="S67" s="1">
        <v>83275000</v>
      </c>
      <c r="U67" s="1">
        <v>71191000</v>
      </c>
      <c r="V67" s="1">
        <f t="shared" si="0"/>
        <v>12084000</v>
      </c>
    </row>
    <row r="68" spans="1:22" x14ac:dyDescent="0.25">
      <c r="A68" t="s">
        <v>19</v>
      </c>
      <c r="B68" s="2">
        <v>1950</v>
      </c>
      <c r="C68" t="s">
        <v>20</v>
      </c>
      <c r="E68" t="s">
        <v>21</v>
      </c>
      <c r="F68" t="s">
        <v>22</v>
      </c>
      <c r="N68">
        <v>0</v>
      </c>
      <c r="P68" t="s">
        <v>23</v>
      </c>
      <c r="Q68" t="s">
        <v>24</v>
      </c>
      <c r="R68" t="s">
        <v>25</v>
      </c>
      <c r="S68" s="1">
        <v>82859000</v>
      </c>
      <c r="U68" s="1">
        <v>72398000</v>
      </c>
      <c r="V68" s="1">
        <f t="shared" ref="V68:V131" si="2">S68-U68</f>
        <v>10461000</v>
      </c>
    </row>
    <row r="69" spans="1:22" x14ac:dyDescent="0.25">
      <c r="A69" t="s">
        <v>19</v>
      </c>
      <c r="B69" s="2">
        <v>1949</v>
      </c>
      <c r="C69" t="s">
        <v>20</v>
      </c>
      <c r="E69" t="s">
        <v>21</v>
      </c>
      <c r="F69" t="s">
        <v>22</v>
      </c>
      <c r="N69">
        <v>0</v>
      </c>
      <c r="P69" t="s">
        <v>23</v>
      </c>
      <c r="Q69" t="s">
        <v>24</v>
      </c>
      <c r="R69" t="s">
        <v>25</v>
      </c>
      <c r="S69" s="1">
        <v>86738000</v>
      </c>
      <c r="U69" s="1">
        <v>77106000</v>
      </c>
      <c r="V69" s="1">
        <f t="shared" si="2"/>
        <v>9632000</v>
      </c>
    </row>
    <row r="70" spans="1:22" x14ac:dyDescent="0.25">
      <c r="A70" t="s">
        <v>19</v>
      </c>
      <c r="B70" s="2">
        <v>1948</v>
      </c>
      <c r="C70" t="s">
        <v>20</v>
      </c>
      <c r="E70" t="s">
        <v>21</v>
      </c>
      <c r="F70" t="s">
        <v>22</v>
      </c>
      <c r="N70">
        <v>0</v>
      </c>
      <c r="P70" t="s">
        <v>23</v>
      </c>
      <c r="Q70" t="s">
        <v>24</v>
      </c>
      <c r="R70" t="s">
        <v>25</v>
      </c>
      <c r="S70" s="1">
        <v>85522000</v>
      </c>
      <c r="U70" s="1">
        <v>76840000</v>
      </c>
      <c r="V70" s="1">
        <f t="shared" si="2"/>
        <v>8682000</v>
      </c>
    </row>
    <row r="71" spans="1:22" x14ac:dyDescent="0.25">
      <c r="A71" t="s">
        <v>19</v>
      </c>
      <c r="B71" s="2">
        <v>1947</v>
      </c>
      <c r="C71" t="s">
        <v>20</v>
      </c>
      <c r="E71" t="s">
        <v>21</v>
      </c>
      <c r="F71" t="s">
        <v>22</v>
      </c>
      <c r="N71">
        <v>0</v>
      </c>
      <c r="P71" t="s">
        <v>23</v>
      </c>
      <c r="Q71" t="s">
        <v>24</v>
      </c>
      <c r="R71" t="s">
        <v>25</v>
      </c>
      <c r="S71" s="1">
        <v>85038000</v>
      </c>
      <c r="U71" s="1">
        <v>73802000</v>
      </c>
      <c r="V71" s="1">
        <f t="shared" si="2"/>
        <v>11236000</v>
      </c>
    </row>
    <row r="72" spans="1:22" x14ac:dyDescent="0.25">
      <c r="A72" t="s">
        <v>19</v>
      </c>
      <c r="B72" s="2">
        <v>1946</v>
      </c>
      <c r="C72" t="s">
        <v>20</v>
      </c>
      <c r="E72" t="s">
        <v>21</v>
      </c>
      <c r="F72" t="s">
        <v>22</v>
      </c>
      <c r="N72">
        <v>0</v>
      </c>
      <c r="P72" t="s">
        <v>23</v>
      </c>
      <c r="Q72" t="s">
        <v>24</v>
      </c>
      <c r="R72" t="s">
        <v>25</v>
      </c>
      <c r="S72" s="1">
        <v>88898000</v>
      </c>
      <c r="U72" s="1">
        <v>78410000</v>
      </c>
      <c r="V72" s="1">
        <f t="shared" si="2"/>
        <v>10488000</v>
      </c>
    </row>
    <row r="73" spans="1:22" x14ac:dyDescent="0.25">
      <c r="A73" t="s">
        <v>19</v>
      </c>
      <c r="B73" s="2">
        <v>1945</v>
      </c>
      <c r="C73" t="s">
        <v>20</v>
      </c>
      <c r="E73" t="s">
        <v>21</v>
      </c>
      <c r="F73" t="s">
        <v>22</v>
      </c>
      <c r="N73">
        <v>0</v>
      </c>
      <c r="P73" t="s">
        <v>23</v>
      </c>
      <c r="Q73" t="s">
        <v>24</v>
      </c>
      <c r="R73" t="s">
        <v>25</v>
      </c>
      <c r="S73" s="1">
        <v>89261000</v>
      </c>
      <c r="U73" s="1">
        <v>77928000</v>
      </c>
      <c r="V73" s="1">
        <f t="shared" si="2"/>
        <v>11333000</v>
      </c>
    </row>
    <row r="74" spans="1:22" x14ac:dyDescent="0.25">
      <c r="A74" t="s">
        <v>19</v>
      </c>
      <c r="B74" s="2">
        <v>1944</v>
      </c>
      <c r="C74" t="s">
        <v>20</v>
      </c>
      <c r="E74" t="s">
        <v>21</v>
      </c>
      <c r="F74" t="s">
        <v>22</v>
      </c>
      <c r="N74">
        <v>0</v>
      </c>
      <c r="P74" t="s">
        <v>23</v>
      </c>
      <c r="Q74" t="s">
        <v>24</v>
      </c>
      <c r="R74" t="s">
        <v>25</v>
      </c>
      <c r="S74" s="1">
        <v>95475000</v>
      </c>
      <c r="U74" s="1">
        <v>85002000</v>
      </c>
      <c r="V74" s="1">
        <f t="shared" si="2"/>
        <v>10473000</v>
      </c>
    </row>
    <row r="75" spans="1:22" x14ac:dyDescent="0.25">
      <c r="A75" t="s">
        <v>19</v>
      </c>
      <c r="B75" s="2">
        <v>1943</v>
      </c>
      <c r="C75" t="s">
        <v>20</v>
      </c>
      <c r="E75" t="s">
        <v>21</v>
      </c>
      <c r="F75" t="s">
        <v>22</v>
      </c>
      <c r="N75">
        <v>0</v>
      </c>
      <c r="P75" t="s">
        <v>23</v>
      </c>
      <c r="Q75" t="s">
        <v>24</v>
      </c>
      <c r="R75" t="s">
        <v>25</v>
      </c>
      <c r="S75" s="1">
        <v>94341000</v>
      </c>
      <c r="U75" s="1">
        <v>81906000</v>
      </c>
      <c r="V75" s="1">
        <f t="shared" si="2"/>
        <v>12435000</v>
      </c>
    </row>
    <row r="76" spans="1:22" x14ac:dyDescent="0.25">
      <c r="A76" t="s">
        <v>19</v>
      </c>
      <c r="B76" s="2">
        <v>1942</v>
      </c>
      <c r="C76" t="s">
        <v>20</v>
      </c>
      <c r="E76" t="s">
        <v>21</v>
      </c>
      <c r="F76" t="s">
        <v>22</v>
      </c>
      <c r="N76">
        <v>0</v>
      </c>
      <c r="P76" t="s">
        <v>23</v>
      </c>
      <c r="Q76" t="s">
        <v>24</v>
      </c>
      <c r="R76" t="s">
        <v>25</v>
      </c>
      <c r="S76" s="1">
        <v>88818000</v>
      </c>
      <c r="U76" s="1">
        <v>79213000</v>
      </c>
      <c r="V76" s="1">
        <f t="shared" si="2"/>
        <v>9605000</v>
      </c>
    </row>
    <row r="77" spans="1:22" x14ac:dyDescent="0.25">
      <c r="A77" t="s">
        <v>19</v>
      </c>
      <c r="B77" s="2">
        <v>1941</v>
      </c>
      <c r="C77" t="s">
        <v>20</v>
      </c>
      <c r="E77" t="s">
        <v>21</v>
      </c>
      <c r="F77" t="s">
        <v>22</v>
      </c>
      <c r="N77">
        <v>0</v>
      </c>
      <c r="P77" t="s">
        <v>23</v>
      </c>
      <c r="Q77" t="s">
        <v>24</v>
      </c>
      <c r="R77" t="s">
        <v>25</v>
      </c>
      <c r="S77" s="1">
        <v>86837000</v>
      </c>
      <c r="U77" s="1">
        <v>77404000</v>
      </c>
      <c r="V77" s="1">
        <f t="shared" si="2"/>
        <v>9433000</v>
      </c>
    </row>
    <row r="78" spans="1:22" x14ac:dyDescent="0.25">
      <c r="A78" t="s">
        <v>19</v>
      </c>
      <c r="B78" s="2">
        <v>1940</v>
      </c>
      <c r="C78" t="s">
        <v>20</v>
      </c>
      <c r="E78" t="s">
        <v>21</v>
      </c>
      <c r="F78" t="s">
        <v>22</v>
      </c>
      <c r="N78">
        <v>0</v>
      </c>
      <c r="P78" t="s">
        <v>23</v>
      </c>
      <c r="Q78" t="s">
        <v>24</v>
      </c>
      <c r="R78" t="s">
        <v>25</v>
      </c>
      <c r="S78" s="1">
        <v>88692000</v>
      </c>
      <c r="U78" s="1">
        <v>76443000</v>
      </c>
      <c r="V78" s="1">
        <f t="shared" si="2"/>
        <v>12249000</v>
      </c>
    </row>
    <row r="79" spans="1:22" x14ac:dyDescent="0.25">
      <c r="A79" t="s">
        <v>19</v>
      </c>
      <c r="B79" s="2">
        <v>1939</v>
      </c>
      <c r="C79" t="s">
        <v>20</v>
      </c>
      <c r="E79" t="s">
        <v>21</v>
      </c>
      <c r="F79" t="s">
        <v>22</v>
      </c>
      <c r="N79">
        <v>0</v>
      </c>
      <c r="P79" t="s">
        <v>23</v>
      </c>
      <c r="Q79" t="s">
        <v>24</v>
      </c>
      <c r="R79" t="s">
        <v>25</v>
      </c>
      <c r="S79" s="1">
        <v>91639000</v>
      </c>
      <c r="U79" s="1">
        <v>78307000</v>
      </c>
      <c r="V79" s="1">
        <f t="shared" si="2"/>
        <v>13332000</v>
      </c>
    </row>
    <row r="80" spans="1:22" x14ac:dyDescent="0.25">
      <c r="A80" t="s">
        <v>19</v>
      </c>
      <c r="B80" s="2">
        <v>1938</v>
      </c>
      <c r="C80" t="s">
        <v>20</v>
      </c>
      <c r="E80" t="s">
        <v>21</v>
      </c>
      <c r="F80" t="s">
        <v>22</v>
      </c>
      <c r="N80">
        <v>0</v>
      </c>
      <c r="P80" t="s">
        <v>23</v>
      </c>
      <c r="Q80" t="s">
        <v>24</v>
      </c>
      <c r="R80" t="s">
        <v>25</v>
      </c>
      <c r="S80" s="1">
        <v>94473000</v>
      </c>
      <c r="U80" s="1">
        <v>82788000</v>
      </c>
      <c r="V80" s="1">
        <f t="shared" si="2"/>
        <v>11685000</v>
      </c>
    </row>
    <row r="81" spans="1:22" x14ac:dyDescent="0.25">
      <c r="A81" t="s">
        <v>19</v>
      </c>
      <c r="B81" s="2">
        <v>1937</v>
      </c>
      <c r="C81" t="s">
        <v>20</v>
      </c>
      <c r="E81" t="s">
        <v>21</v>
      </c>
      <c r="F81" t="s">
        <v>22</v>
      </c>
      <c r="N81">
        <v>0</v>
      </c>
      <c r="P81" t="s">
        <v>23</v>
      </c>
      <c r="Q81" t="s">
        <v>24</v>
      </c>
      <c r="R81" t="s">
        <v>25</v>
      </c>
      <c r="S81" s="1">
        <v>97174000</v>
      </c>
      <c r="U81" s="1">
        <v>81222000</v>
      </c>
      <c r="V81" s="1">
        <f t="shared" si="2"/>
        <v>15952000</v>
      </c>
    </row>
    <row r="82" spans="1:22" x14ac:dyDescent="0.25">
      <c r="A82" t="s">
        <v>19</v>
      </c>
      <c r="B82" s="2">
        <v>1936</v>
      </c>
      <c r="C82" t="s">
        <v>20</v>
      </c>
      <c r="E82" t="s">
        <v>21</v>
      </c>
      <c r="F82" t="s">
        <v>22</v>
      </c>
      <c r="N82">
        <v>0</v>
      </c>
      <c r="P82" t="s">
        <v>23</v>
      </c>
      <c r="Q82" t="s">
        <v>24</v>
      </c>
      <c r="R82" t="s">
        <v>25</v>
      </c>
      <c r="S82" s="1">
        <v>101959000</v>
      </c>
      <c r="U82" s="1">
        <v>67833000</v>
      </c>
      <c r="V82" s="1">
        <f t="shared" si="2"/>
        <v>34126000</v>
      </c>
    </row>
    <row r="83" spans="1:22" x14ac:dyDescent="0.25">
      <c r="A83" t="s">
        <v>19</v>
      </c>
      <c r="B83" s="2">
        <v>1935</v>
      </c>
      <c r="C83" t="s">
        <v>20</v>
      </c>
      <c r="E83" t="s">
        <v>21</v>
      </c>
      <c r="F83" t="s">
        <v>22</v>
      </c>
      <c r="N83">
        <v>0</v>
      </c>
      <c r="P83" t="s">
        <v>23</v>
      </c>
      <c r="Q83" t="s">
        <v>24</v>
      </c>
      <c r="R83" t="s">
        <v>25</v>
      </c>
      <c r="S83" s="1">
        <v>99974000</v>
      </c>
      <c r="U83" s="1">
        <v>82551000</v>
      </c>
      <c r="V83" s="1">
        <f t="shared" si="2"/>
        <v>17423000</v>
      </c>
    </row>
    <row r="84" spans="1:22" x14ac:dyDescent="0.25">
      <c r="A84" t="s">
        <v>19</v>
      </c>
      <c r="B84" s="2">
        <v>1934</v>
      </c>
      <c r="C84" t="s">
        <v>20</v>
      </c>
      <c r="E84" t="s">
        <v>21</v>
      </c>
      <c r="F84" t="s">
        <v>22</v>
      </c>
      <c r="N84">
        <v>0</v>
      </c>
      <c r="P84" t="s">
        <v>23</v>
      </c>
      <c r="Q84" t="s">
        <v>24</v>
      </c>
      <c r="R84" t="s">
        <v>25</v>
      </c>
      <c r="S84" s="1">
        <v>100563000</v>
      </c>
      <c r="U84" s="1">
        <v>61245000</v>
      </c>
      <c r="V84" s="1">
        <f t="shared" si="2"/>
        <v>39318000</v>
      </c>
    </row>
    <row r="85" spans="1:22" x14ac:dyDescent="0.25">
      <c r="A85" t="s">
        <v>19</v>
      </c>
      <c r="B85" s="2">
        <v>1933</v>
      </c>
      <c r="C85" t="s">
        <v>20</v>
      </c>
      <c r="E85" t="s">
        <v>21</v>
      </c>
      <c r="F85" t="s">
        <v>22</v>
      </c>
      <c r="N85">
        <v>0</v>
      </c>
      <c r="P85" t="s">
        <v>23</v>
      </c>
      <c r="Q85" t="s">
        <v>24</v>
      </c>
      <c r="R85" t="s">
        <v>25</v>
      </c>
      <c r="S85" s="1">
        <v>109830000</v>
      </c>
      <c r="U85" s="1">
        <v>92130000</v>
      </c>
      <c r="V85" s="1">
        <f t="shared" si="2"/>
        <v>17700000</v>
      </c>
    </row>
    <row r="86" spans="1:22" x14ac:dyDescent="0.25">
      <c r="A86" t="s">
        <v>19</v>
      </c>
      <c r="B86" s="2">
        <v>1932</v>
      </c>
      <c r="C86" t="s">
        <v>20</v>
      </c>
      <c r="E86" t="s">
        <v>21</v>
      </c>
      <c r="F86" t="s">
        <v>22</v>
      </c>
      <c r="N86">
        <v>0</v>
      </c>
      <c r="P86" t="s">
        <v>23</v>
      </c>
      <c r="Q86" t="s">
        <v>24</v>
      </c>
      <c r="R86" t="s">
        <v>25</v>
      </c>
      <c r="S86" s="1">
        <v>113024000</v>
      </c>
      <c r="U86" s="1">
        <v>97213000</v>
      </c>
      <c r="V86" s="1">
        <f t="shared" si="2"/>
        <v>15811000</v>
      </c>
    </row>
    <row r="87" spans="1:22" x14ac:dyDescent="0.25">
      <c r="A87" t="s">
        <v>19</v>
      </c>
      <c r="B87" s="2">
        <v>1931</v>
      </c>
      <c r="C87" t="s">
        <v>20</v>
      </c>
      <c r="E87" t="s">
        <v>21</v>
      </c>
      <c r="F87" t="s">
        <v>22</v>
      </c>
      <c r="N87">
        <v>0</v>
      </c>
      <c r="P87" t="s">
        <v>23</v>
      </c>
      <c r="Q87" t="s">
        <v>24</v>
      </c>
      <c r="R87" t="s">
        <v>25</v>
      </c>
      <c r="S87" s="1">
        <v>109364000</v>
      </c>
      <c r="U87" s="1">
        <v>91131000</v>
      </c>
      <c r="V87" s="1">
        <f t="shared" si="2"/>
        <v>18233000</v>
      </c>
    </row>
    <row r="88" spans="1:22" x14ac:dyDescent="0.25">
      <c r="A88" t="s">
        <v>19</v>
      </c>
      <c r="B88" s="2">
        <v>1930</v>
      </c>
      <c r="C88" t="s">
        <v>20</v>
      </c>
      <c r="E88" t="s">
        <v>21</v>
      </c>
      <c r="F88" t="s">
        <v>22</v>
      </c>
      <c r="N88">
        <v>0</v>
      </c>
      <c r="P88" t="s">
        <v>23</v>
      </c>
      <c r="Q88" t="s">
        <v>24</v>
      </c>
      <c r="R88" t="s">
        <v>25</v>
      </c>
      <c r="S88" s="1">
        <v>103915000</v>
      </c>
      <c r="U88" s="1">
        <v>85525000</v>
      </c>
      <c r="V88" s="1">
        <f t="shared" si="2"/>
        <v>18390000</v>
      </c>
    </row>
    <row r="89" spans="1:22" x14ac:dyDescent="0.25">
      <c r="A89" t="s">
        <v>19</v>
      </c>
      <c r="B89" s="2">
        <v>1929</v>
      </c>
      <c r="C89" t="s">
        <v>20</v>
      </c>
      <c r="E89" t="s">
        <v>21</v>
      </c>
      <c r="F89" t="s">
        <v>22</v>
      </c>
      <c r="N89">
        <v>0</v>
      </c>
      <c r="P89" t="s">
        <v>23</v>
      </c>
      <c r="Q89" t="s">
        <v>24</v>
      </c>
      <c r="R89" t="s">
        <v>25</v>
      </c>
      <c r="S89" s="1">
        <v>99130000</v>
      </c>
      <c r="U89" s="1">
        <v>83194000</v>
      </c>
      <c r="V89" s="1">
        <f t="shared" si="2"/>
        <v>15936000</v>
      </c>
    </row>
    <row r="90" spans="1:22" x14ac:dyDescent="0.25">
      <c r="A90" t="s">
        <v>19</v>
      </c>
      <c r="B90" s="2">
        <v>1928</v>
      </c>
      <c r="C90" t="s">
        <v>20</v>
      </c>
      <c r="E90" t="s">
        <v>21</v>
      </c>
      <c r="F90" t="s">
        <v>22</v>
      </c>
      <c r="N90">
        <v>0</v>
      </c>
      <c r="P90" t="s">
        <v>23</v>
      </c>
      <c r="Q90" t="s">
        <v>24</v>
      </c>
      <c r="R90" t="s">
        <v>25</v>
      </c>
      <c r="S90" s="1">
        <v>100399000</v>
      </c>
      <c r="U90" s="1">
        <v>85832000</v>
      </c>
      <c r="V90" s="1">
        <f t="shared" si="2"/>
        <v>14567000</v>
      </c>
    </row>
    <row r="91" spans="1:22" x14ac:dyDescent="0.25">
      <c r="A91" t="s">
        <v>19</v>
      </c>
      <c r="B91" s="2">
        <v>1927</v>
      </c>
      <c r="C91" t="s">
        <v>20</v>
      </c>
      <c r="E91" t="s">
        <v>21</v>
      </c>
      <c r="F91" t="s">
        <v>22</v>
      </c>
      <c r="N91">
        <v>0</v>
      </c>
      <c r="P91" t="s">
        <v>23</v>
      </c>
      <c r="Q91" t="s">
        <v>24</v>
      </c>
      <c r="R91" t="s">
        <v>25</v>
      </c>
      <c r="S91" s="1">
        <v>98460000</v>
      </c>
      <c r="U91" s="1">
        <v>83915000</v>
      </c>
      <c r="V91" s="1">
        <f t="shared" si="2"/>
        <v>14545000</v>
      </c>
    </row>
    <row r="92" spans="1:22" x14ac:dyDescent="0.25">
      <c r="A92" t="s">
        <v>19</v>
      </c>
      <c r="B92" s="2">
        <v>1926</v>
      </c>
      <c r="C92" t="s">
        <v>20</v>
      </c>
      <c r="E92" t="s">
        <v>21</v>
      </c>
      <c r="F92" t="s">
        <v>22</v>
      </c>
      <c r="N92">
        <v>0</v>
      </c>
      <c r="P92" t="s">
        <v>23</v>
      </c>
      <c r="Q92" t="s">
        <v>24</v>
      </c>
      <c r="R92" t="s">
        <v>25</v>
      </c>
      <c r="S92" s="1">
        <v>99660000</v>
      </c>
      <c r="U92" s="1">
        <v>83275000</v>
      </c>
      <c r="V92" s="1">
        <f t="shared" si="2"/>
        <v>16385000</v>
      </c>
    </row>
    <row r="93" spans="1:22" x14ac:dyDescent="0.25">
      <c r="A93" t="s">
        <v>19</v>
      </c>
      <c r="B93" s="2">
        <v>1925</v>
      </c>
      <c r="C93" t="s">
        <v>20</v>
      </c>
      <c r="E93" t="s">
        <v>21</v>
      </c>
      <c r="F93" t="s">
        <v>22</v>
      </c>
      <c r="N93">
        <v>0</v>
      </c>
      <c r="P93" t="s">
        <v>23</v>
      </c>
      <c r="Q93" t="s">
        <v>24</v>
      </c>
      <c r="R93" t="s">
        <v>25</v>
      </c>
      <c r="U93" s="1">
        <v>86825000</v>
      </c>
      <c r="V93" s="1">
        <f t="shared" si="2"/>
        <v>-86825000</v>
      </c>
    </row>
    <row r="94" spans="1:22" x14ac:dyDescent="0.25">
      <c r="A94" t="s">
        <v>19</v>
      </c>
      <c r="B94" s="2">
        <v>1924</v>
      </c>
      <c r="C94" t="s">
        <v>20</v>
      </c>
      <c r="E94" t="s">
        <v>21</v>
      </c>
      <c r="F94" t="s">
        <v>22</v>
      </c>
      <c r="N94">
        <v>0</v>
      </c>
      <c r="P94" t="s">
        <v>23</v>
      </c>
      <c r="Q94" t="s">
        <v>24</v>
      </c>
      <c r="R94" t="s">
        <v>25</v>
      </c>
      <c r="U94" s="1">
        <v>84119000</v>
      </c>
      <c r="V94" s="1">
        <f t="shared" si="2"/>
        <v>-84119000</v>
      </c>
    </row>
    <row r="95" spans="1:22" x14ac:dyDescent="0.25">
      <c r="A95" t="s">
        <v>19</v>
      </c>
      <c r="B95" s="2">
        <v>1923</v>
      </c>
      <c r="C95" t="s">
        <v>20</v>
      </c>
      <c r="E95" t="s">
        <v>21</v>
      </c>
      <c r="F95" t="s">
        <v>22</v>
      </c>
      <c r="N95">
        <v>0</v>
      </c>
      <c r="P95" t="s">
        <v>23</v>
      </c>
      <c r="Q95" t="s">
        <v>24</v>
      </c>
      <c r="R95" t="s">
        <v>25</v>
      </c>
      <c r="U95" s="1">
        <v>87493000</v>
      </c>
      <c r="V95" s="1">
        <f t="shared" si="2"/>
        <v>-87493000</v>
      </c>
    </row>
    <row r="96" spans="1:22" x14ac:dyDescent="0.25">
      <c r="A96" t="s">
        <v>19</v>
      </c>
      <c r="B96" s="2">
        <v>1922</v>
      </c>
      <c r="C96" t="s">
        <v>20</v>
      </c>
      <c r="E96" t="s">
        <v>21</v>
      </c>
      <c r="F96" t="s">
        <v>22</v>
      </c>
      <c r="N96">
        <v>0</v>
      </c>
      <c r="P96" t="s">
        <v>23</v>
      </c>
      <c r="Q96" t="s">
        <v>24</v>
      </c>
      <c r="R96" t="s">
        <v>25</v>
      </c>
      <c r="U96" s="1">
        <v>84858000</v>
      </c>
      <c r="V96" s="1">
        <f t="shared" si="2"/>
        <v>-84858000</v>
      </c>
    </row>
    <row r="97" spans="1:22" x14ac:dyDescent="0.25">
      <c r="A97" t="s">
        <v>19</v>
      </c>
      <c r="B97" s="2">
        <v>1921</v>
      </c>
      <c r="C97" t="s">
        <v>20</v>
      </c>
      <c r="E97" t="s">
        <v>21</v>
      </c>
      <c r="F97" t="s">
        <v>22</v>
      </c>
      <c r="N97">
        <v>0</v>
      </c>
      <c r="P97" t="s">
        <v>23</v>
      </c>
      <c r="Q97" t="s">
        <v>24</v>
      </c>
      <c r="R97" t="s">
        <v>25</v>
      </c>
      <c r="U97" s="1">
        <v>91939000</v>
      </c>
      <c r="V97" s="1">
        <f t="shared" si="2"/>
        <v>-91939000</v>
      </c>
    </row>
    <row r="98" spans="1:22" x14ac:dyDescent="0.25">
      <c r="A98" t="s">
        <v>19</v>
      </c>
      <c r="B98" s="2">
        <v>1920</v>
      </c>
      <c r="C98" t="s">
        <v>20</v>
      </c>
      <c r="E98" t="s">
        <v>21</v>
      </c>
      <c r="F98" t="s">
        <v>22</v>
      </c>
      <c r="N98">
        <v>0</v>
      </c>
      <c r="P98" t="s">
        <v>23</v>
      </c>
      <c r="Q98" t="s">
        <v>24</v>
      </c>
      <c r="R98" t="s">
        <v>25</v>
      </c>
      <c r="U98" s="1">
        <v>90149000</v>
      </c>
      <c r="V98" s="1">
        <f t="shared" si="2"/>
        <v>-90149000</v>
      </c>
    </row>
    <row r="99" spans="1:22" x14ac:dyDescent="0.25">
      <c r="A99" t="s">
        <v>19</v>
      </c>
      <c r="B99" s="2">
        <v>1919</v>
      </c>
      <c r="C99" t="s">
        <v>20</v>
      </c>
      <c r="E99" t="s">
        <v>21</v>
      </c>
      <c r="F99" t="s">
        <v>22</v>
      </c>
      <c r="N99">
        <v>0</v>
      </c>
      <c r="P99" t="s">
        <v>23</v>
      </c>
      <c r="Q99" t="s">
        <v>24</v>
      </c>
      <c r="R99" t="s">
        <v>25</v>
      </c>
      <c r="U99" s="1">
        <v>87487000</v>
      </c>
      <c r="V99" s="1">
        <f t="shared" si="2"/>
        <v>-87487000</v>
      </c>
    </row>
    <row r="100" spans="1:22" x14ac:dyDescent="0.25">
      <c r="A100" t="s">
        <v>19</v>
      </c>
      <c r="B100" s="2">
        <v>1918</v>
      </c>
      <c r="C100" t="s">
        <v>20</v>
      </c>
      <c r="E100" t="s">
        <v>21</v>
      </c>
      <c r="F100" t="s">
        <v>22</v>
      </c>
      <c r="N100">
        <v>0</v>
      </c>
      <c r="P100" t="s">
        <v>23</v>
      </c>
      <c r="Q100" t="s">
        <v>24</v>
      </c>
      <c r="R100" t="s">
        <v>25</v>
      </c>
      <c r="U100" s="1">
        <v>102195000</v>
      </c>
      <c r="V100" s="1">
        <f t="shared" si="2"/>
        <v>-102195000</v>
      </c>
    </row>
    <row r="101" spans="1:22" x14ac:dyDescent="0.25">
      <c r="A101" t="s">
        <v>19</v>
      </c>
      <c r="B101" s="2">
        <v>1917</v>
      </c>
      <c r="C101" t="s">
        <v>20</v>
      </c>
      <c r="E101" t="s">
        <v>21</v>
      </c>
      <c r="F101" t="s">
        <v>22</v>
      </c>
      <c r="N101">
        <v>0</v>
      </c>
      <c r="P101" t="s">
        <v>23</v>
      </c>
      <c r="Q101" t="s">
        <v>24</v>
      </c>
      <c r="R101" t="s">
        <v>25</v>
      </c>
      <c r="U101" s="1">
        <v>110893000</v>
      </c>
      <c r="V101" s="1">
        <f t="shared" si="2"/>
        <v>-110893000</v>
      </c>
    </row>
    <row r="102" spans="1:22" x14ac:dyDescent="0.25">
      <c r="A102" t="s">
        <v>19</v>
      </c>
      <c r="B102" s="2">
        <v>1916</v>
      </c>
      <c r="C102" t="s">
        <v>20</v>
      </c>
      <c r="E102" t="s">
        <v>21</v>
      </c>
      <c r="F102" t="s">
        <v>22</v>
      </c>
      <c r="N102">
        <v>0</v>
      </c>
      <c r="P102" t="s">
        <v>23</v>
      </c>
      <c r="Q102" t="s">
        <v>24</v>
      </c>
      <c r="R102" t="s">
        <v>25</v>
      </c>
      <c r="U102" s="1">
        <v>100561000</v>
      </c>
      <c r="V102" s="1">
        <f t="shared" si="2"/>
        <v>-100561000</v>
      </c>
    </row>
    <row r="103" spans="1:22" x14ac:dyDescent="0.25">
      <c r="A103" t="s">
        <v>19</v>
      </c>
      <c r="B103" s="2">
        <v>1915</v>
      </c>
      <c r="C103" t="s">
        <v>20</v>
      </c>
      <c r="E103" t="s">
        <v>21</v>
      </c>
      <c r="F103" t="s">
        <v>22</v>
      </c>
      <c r="N103">
        <v>0</v>
      </c>
      <c r="P103" t="s">
        <v>23</v>
      </c>
      <c r="Q103" t="s">
        <v>24</v>
      </c>
      <c r="R103" t="s">
        <v>25</v>
      </c>
      <c r="U103" s="1">
        <v>100623000</v>
      </c>
      <c r="V103" s="1">
        <f t="shared" si="2"/>
        <v>-100623000</v>
      </c>
    </row>
    <row r="104" spans="1:22" x14ac:dyDescent="0.25">
      <c r="A104" t="s">
        <v>19</v>
      </c>
      <c r="B104" s="2">
        <v>1914</v>
      </c>
      <c r="C104" t="s">
        <v>20</v>
      </c>
      <c r="E104" t="s">
        <v>21</v>
      </c>
      <c r="F104" t="s">
        <v>22</v>
      </c>
      <c r="N104">
        <v>0</v>
      </c>
      <c r="P104" t="s">
        <v>23</v>
      </c>
      <c r="Q104" t="s">
        <v>24</v>
      </c>
      <c r="R104" t="s">
        <v>25</v>
      </c>
      <c r="U104" s="1">
        <v>97796000</v>
      </c>
      <c r="V104" s="1">
        <f t="shared" si="2"/>
        <v>-97796000</v>
      </c>
    </row>
    <row r="105" spans="1:22" x14ac:dyDescent="0.25">
      <c r="A105" t="s">
        <v>19</v>
      </c>
      <c r="B105" s="2">
        <v>1913</v>
      </c>
      <c r="C105" t="s">
        <v>20</v>
      </c>
      <c r="E105" t="s">
        <v>21</v>
      </c>
      <c r="F105" t="s">
        <v>22</v>
      </c>
      <c r="N105">
        <v>0</v>
      </c>
      <c r="P105" t="s">
        <v>23</v>
      </c>
      <c r="Q105" t="s">
        <v>24</v>
      </c>
      <c r="R105" t="s">
        <v>25</v>
      </c>
      <c r="U105" s="1">
        <v>100206000</v>
      </c>
      <c r="V105" s="1">
        <f t="shared" si="2"/>
        <v>-100206000</v>
      </c>
    </row>
    <row r="106" spans="1:22" x14ac:dyDescent="0.25">
      <c r="A106" t="s">
        <v>19</v>
      </c>
      <c r="B106" s="2">
        <v>1912</v>
      </c>
      <c r="C106" t="s">
        <v>20</v>
      </c>
      <c r="E106" t="s">
        <v>21</v>
      </c>
      <c r="F106" t="s">
        <v>22</v>
      </c>
      <c r="N106">
        <v>0</v>
      </c>
      <c r="P106" t="s">
        <v>23</v>
      </c>
      <c r="Q106" t="s">
        <v>24</v>
      </c>
      <c r="R106" t="s">
        <v>25</v>
      </c>
      <c r="U106" s="1">
        <v>101451000</v>
      </c>
      <c r="V106" s="1">
        <f t="shared" si="2"/>
        <v>-101451000</v>
      </c>
    </row>
    <row r="107" spans="1:22" x14ac:dyDescent="0.25">
      <c r="A107" t="s">
        <v>19</v>
      </c>
      <c r="B107" s="2">
        <v>1911</v>
      </c>
      <c r="C107" t="s">
        <v>20</v>
      </c>
      <c r="E107" t="s">
        <v>21</v>
      </c>
      <c r="F107" t="s">
        <v>22</v>
      </c>
      <c r="N107">
        <v>0</v>
      </c>
      <c r="P107" t="s">
        <v>23</v>
      </c>
      <c r="Q107" t="s">
        <v>24</v>
      </c>
      <c r="R107" t="s">
        <v>25</v>
      </c>
      <c r="U107" s="1">
        <v>101393000</v>
      </c>
      <c r="V107" s="1">
        <f t="shared" si="2"/>
        <v>-101393000</v>
      </c>
    </row>
    <row r="108" spans="1:22" x14ac:dyDescent="0.25">
      <c r="A108" t="s">
        <v>19</v>
      </c>
      <c r="B108" s="2">
        <v>1910</v>
      </c>
      <c r="C108" t="s">
        <v>20</v>
      </c>
      <c r="E108" t="s">
        <v>21</v>
      </c>
      <c r="F108" t="s">
        <v>22</v>
      </c>
      <c r="N108">
        <v>0</v>
      </c>
      <c r="P108" t="s">
        <v>23</v>
      </c>
      <c r="Q108" t="s">
        <v>24</v>
      </c>
      <c r="R108" t="s">
        <v>25</v>
      </c>
      <c r="U108" s="1">
        <v>102267000</v>
      </c>
      <c r="V108" s="1">
        <f t="shared" si="2"/>
        <v>-102267000</v>
      </c>
    </row>
    <row r="109" spans="1:22" x14ac:dyDescent="0.25">
      <c r="A109" t="s">
        <v>19</v>
      </c>
      <c r="B109" s="2">
        <v>1909</v>
      </c>
      <c r="C109" t="s">
        <v>20</v>
      </c>
      <c r="E109" t="s">
        <v>21</v>
      </c>
      <c r="F109" t="s">
        <v>22</v>
      </c>
      <c r="N109">
        <v>0</v>
      </c>
      <c r="P109" t="s">
        <v>23</v>
      </c>
      <c r="Q109" t="s">
        <v>24</v>
      </c>
      <c r="R109" t="s">
        <v>25</v>
      </c>
      <c r="U109" s="1">
        <v>100200000</v>
      </c>
      <c r="V109" s="1">
        <f t="shared" si="2"/>
        <v>-100200000</v>
      </c>
    </row>
    <row r="110" spans="1:22" x14ac:dyDescent="0.25">
      <c r="A110" t="s">
        <v>19</v>
      </c>
      <c r="B110" s="2">
        <v>1908</v>
      </c>
      <c r="C110" t="s">
        <v>20</v>
      </c>
      <c r="E110" t="s">
        <v>21</v>
      </c>
      <c r="F110" t="s">
        <v>22</v>
      </c>
      <c r="N110">
        <v>0</v>
      </c>
      <c r="P110" t="s">
        <v>23</v>
      </c>
      <c r="Q110" t="s">
        <v>24</v>
      </c>
      <c r="R110" t="s">
        <v>25</v>
      </c>
      <c r="U110" s="1">
        <v>95285000</v>
      </c>
      <c r="V110" s="1">
        <f t="shared" si="2"/>
        <v>-95285000</v>
      </c>
    </row>
    <row r="111" spans="1:22" x14ac:dyDescent="0.25">
      <c r="A111" t="s">
        <v>19</v>
      </c>
      <c r="B111" s="2">
        <v>1907</v>
      </c>
      <c r="C111" t="s">
        <v>20</v>
      </c>
      <c r="E111" t="s">
        <v>21</v>
      </c>
      <c r="F111" t="s">
        <v>22</v>
      </c>
      <c r="N111">
        <v>0</v>
      </c>
      <c r="P111" t="s">
        <v>23</v>
      </c>
      <c r="Q111" t="s">
        <v>24</v>
      </c>
      <c r="R111" t="s">
        <v>25</v>
      </c>
      <c r="U111" s="1">
        <v>96094000</v>
      </c>
      <c r="V111" s="1">
        <f t="shared" si="2"/>
        <v>-96094000</v>
      </c>
    </row>
    <row r="112" spans="1:22" x14ac:dyDescent="0.25">
      <c r="A112" t="s">
        <v>19</v>
      </c>
      <c r="B112" s="2">
        <v>1906</v>
      </c>
      <c r="C112" t="s">
        <v>20</v>
      </c>
      <c r="E112" t="s">
        <v>21</v>
      </c>
      <c r="F112" t="s">
        <v>22</v>
      </c>
      <c r="N112">
        <v>0</v>
      </c>
      <c r="P112" t="s">
        <v>23</v>
      </c>
      <c r="Q112" t="s">
        <v>24</v>
      </c>
      <c r="R112" t="s">
        <v>25</v>
      </c>
      <c r="U112" s="1">
        <v>95624000</v>
      </c>
      <c r="V112" s="1">
        <f t="shared" si="2"/>
        <v>-95624000</v>
      </c>
    </row>
    <row r="113" spans="1:22" x14ac:dyDescent="0.25">
      <c r="A113" t="s">
        <v>19</v>
      </c>
      <c r="B113" s="2">
        <v>1905</v>
      </c>
      <c r="C113" t="s">
        <v>20</v>
      </c>
      <c r="E113" t="s">
        <v>21</v>
      </c>
      <c r="F113" t="s">
        <v>22</v>
      </c>
      <c r="N113">
        <v>0</v>
      </c>
      <c r="P113" t="s">
        <v>23</v>
      </c>
      <c r="Q113" t="s">
        <v>24</v>
      </c>
      <c r="R113" t="s">
        <v>25</v>
      </c>
      <c r="U113" s="1">
        <v>95746000</v>
      </c>
      <c r="V113" s="1">
        <f t="shared" si="2"/>
        <v>-95746000</v>
      </c>
    </row>
    <row r="114" spans="1:22" x14ac:dyDescent="0.25">
      <c r="A114" t="s">
        <v>19</v>
      </c>
      <c r="B114" s="2">
        <v>1904</v>
      </c>
      <c r="C114" t="s">
        <v>20</v>
      </c>
      <c r="E114" t="s">
        <v>21</v>
      </c>
      <c r="F114" t="s">
        <v>22</v>
      </c>
      <c r="N114">
        <v>0</v>
      </c>
      <c r="P114" t="s">
        <v>23</v>
      </c>
      <c r="Q114" t="s">
        <v>24</v>
      </c>
      <c r="R114" t="s">
        <v>25</v>
      </c>
      <c r="U114" s="1">
        <v>95228000</v>
      </c>
      <c r="V114" s="1">
        <f t="shared" si="2"/>
        <v>-95228000</v>
      </c>
    </row>
    <row r="115" spans="1:22" x14ac:dyDescent="0.25">
      <c r="A115" t="s">
        <v>19</v>
      </c>
      <c r="B115" s="2">
        <v>1903</v>
      </c>
      <c r="C115" t="s">
        <v>20</v>
      </c>
      <c r="E115" t="s">
        <v>21</v>
      </c>
      <c r="F115" t="s">
        <v>22</v>
      </c>
      <c r="N115">
        <v>0</v>
      </c>
      <c r="P115" t="s">
        <v>23</v>
      </c>
      <c r="Q115" t="s">
        <v>24</v>
      </c>
      <c r="R115" t="s">
        <v>25</v>
      </c>
      <c r="U115" s="1">
        <v>93555000</v>
      </c>
      <c r="V115" s="1">
        <f t="shared" si="2"/>
        <v>-93555000</v>
      </c>
    </row>
    <row r="116" spans="1:22" x14ac:dyDescent="0.25">
      <c r="A116" t="s">
        <v>19</v>
      </c>
      <c r="B116" s="2">
        <v>1902</v>
      </c>
      <c r="C116" t="s">
        <v>20</v>
      </c>
      <c r="E116" t="s">
        <v>21</v>
      </c>
      <c r="F116" t="s">
        <v>22</v>
      </c>
      <c r="N116">
        <v>0</v>
      </c>
      <c r="P116" t="s">
        <v>23</v>
      </c>
      <c r="Q116" t="s">
        <v>24</v>
      </c>
      <c r="R116" t="s">
        <v>25</v>
      </c>
      <c r="U116" s="1">
        <v>97177000</v>
      </c>
      <c r="V116" s="1">
        <f t="shared" si="2"/>
        <v>-97177000</v>
      </c>
    </row>
    <row r="117" spans="1:22" x14ac:dyDescent="0.25">
      <c r="A117" t="s">
        <v>19</v>
      </c>
      <c r="B117" s="2">
        <v>1901</v>
      </c>
      <c r="C117" t="s">
        <v>20</v>
      </c>
      <c r="E117" t="s">
        <v>21</v>
      </c>
      <c r="F117" t="s">
        <v>22</v>
      </c>
      <c r="N117">
        <v>0</v>
      </c>
      <c r="P117" t="s">
        <v>23</v>
      </c>
      <c r="Q117" t="s">
        <v>24</v>
      </c>
      <c r="R117" t="s">
        <v>25</v>
      </c>
      <c r="U117" s="1">
        <v>94422000</v>
      </c>
      <c r="V117" s="1">
        <f t="shared" si="2"/>
        <v>-94422000</v>
      </c>
    </row>
    <row r="118" spans="1:22" x14ac:dyDescent="0.25">
      <c r="A118" t="s">
        <v>19</v>
      </c>
      <c r="B118" s="2">
        <v>1900</v>
      </c>
      <c r="C118" t="s">
        <v>20</v>
      </c>
      <c r="E118" t="s">
        <v>21</v>
      </c>
      <c r="F118" t="s">
        <v>22</v>
      </c>
      <c r="N118">
        <v>0</v>
      </c>
      <c r="P118" t="s">
        <v>23</v>
      </c>
      <c r="Q118" t="s">
        <v>24</v>
      </c>
      <c r="R118" t="s">
        <v>25</v>
      </c>
      <c r="U118" s="1">
        <v>94852000</v>
      </c>
      <c r="V118" s="1">
        <f t="shared" si="2"/>
        <v>-94852000</v>
      </c>
    </row>
    <row r="119" spans="1:22" x14ac:dyDescent="0.25">
      <c r="A119" t="s">
        <v>19</v>
      </c>
      <c r="B119" s="2">
        <v>1899</v>
      </c>
      <c r="C119" t="s">
        <v>20</v>
      </c>
      <c r="E119" t="s">
        <v>21</v>
      </c>
      <c r="F119" t="s">
        <v>22</v>
      </c>
      <c r="N119">
        <v>0</v>
      </c>
      <c r="P119" t="s">
        <v>23</v>
      </c>
      <c r="Q119" t="s">
        <v>24</v>
      </c>
      <c r="R119" t="s">
        <v>25</v>
      </c>
      <c r="U119" s="1">
        <v>94591000</v>
      </c>
      <c r="V119" s="1">
        <f t="shared" si="2"/>
        <v>-94591000</v>
      </c>
    </row>
    <row r="120" spans="1:22" x14ac:dyDescent="0.25">
      <c r="A120" t="s">
        <v>19</v>
      </c>
      <c r="B120" s="2">
        <v>1898</v>
      </c>
      <c r="C120" t="s">
        <v>20</v>
      </c>
      <c r="E120" t="s">
        <v>21</v>
      </c>
      <c r="F120" t="s">
        <v>22</v>
      </c>
      <c r="N120">
        <v>0</v>
      </c>
      <c r="P120" t="s">
        <v>23</v>
      </c>
      <c r="Q120" t="s">
        <v>24</v>
      </c>
      <c r="R120" t="s">
        <v>25</v>
      </c>
      <c r="U120" s="1">
        <v>87784000</v>
      </c>
      <c r="V120" s="1">
        <f t="shared" si="2"/>
        <v>-87784000</v>
      </c>
    </row>
    <row r="121" spans="1:22" x14ac:dyDescent="0.25">
      <c r="A121" t="s">
        <v>19</v>
      </c>
      <c r="B121" s="2">
        <v>1897</v>
      </c>
      <c r="C121" t="s">
        <v>20</v>
      </c>
      <c r="E121" t="s">
        <v>21</v>
      </c>
      <c r="F121" t="s">
        <v>22</v>
      </c>
      <c r="N121">
        <v>0</v>
      </c>
      <c r="P121" t="s">
        <v>23</v>
      </c>
      <c r="Q121" t="s">
        <v>24</v>
      </c>
      <c r="R121" t="s">
        <v>25</v>
      </c>
      <c r="U121" s="1">
        <v>89965000</v>
      </c>
      <c r="V121" s="1">
        <f t="shared" si="2"/>
        <v>-89965000</v>
      </c>
    </row>
    <row r="122" spans="1:22" x14ac:dyDescent="0.25">
      <c r="A122" t="s">
        <v>19</v>
      </c>
      <c r="B122" s="2">
        <v>1896</v>
      </c>
      <c r="C122" t="s">
        <v>20</v>
      </c>
      <c r="E122" t="s">
        <v>21</v>
      </c>
      <c r="F122" t="s">
        <v>22</v>
      </c>
      <c r="N122">
        <v>0</v>
      </c>
      <c r="P122" t="s">
        <v>23</v>
      </c>
      <c r="Q122" t="s">
        <v>24</v>
      </c>
      <c r="R122" t="s">
        <v>25</v>
      </c>
      <c r="U122" s="1">
        <v>89074000</v>
      </c>
      <c r="V122" s="1">
        <f t="shared" si="2"/>
        <v>-89074000</v>
      </c>
    </row>
    <row r="123" spans="1:22" x14ac:dyDescent="0.25">
      <c r="A123" t="s">
        <v>19</v>
      </c>
      <c r="B123" s="2">
        <v>1895</v>
      </c>
      <c r="C123" t="s">
        <v>20</v>
      </c>
      <c r="E123" t="s">
        <v>21</v>
      </c>
      <c r="F123" t="s">
        <v>22</v>
      </c>
      <c r="N123">
        <v>0</v>
      </c>
      <c r="P123" t="s">
        <v>23</v>
      </c>
      <c r="Q123" t="s">
        <v>24</v>
      </c>
      <c r="R123" t="s">
        <v>25</v>
      </c>
      <c r="U123" s="1">
        <v>90479000</v>
      </c>
      <c r="V123" s="1">
        <f t="shared" si="2"/>
        <v>-90479000</v>
      </c>
    </row>
    <row r="124" spans="1:22" x14ac:dyDescent="0.25">
      <c r="A124" t="s">
        <v>19</v>
      </c>
      <c r="B124" s="2">
        <v>1894</v>
      </c>
      <c r="C124" t="s">
        <v>20</v>
      </c>
      <c r="E124" t="s">
        <v>21</v>
      </c>
      <c r="F124" t="s">
        <v>22</v>
      </c>
      <c r="N124">
        <v>0</v>
      </c>
      <c r="P124" t="s">
        <v>23</v>
      </c>
      <c r="Q124" t="s">
        <v>24</v>
      </c>
      <c r="R124" t="s">
        <v>25</v>
      </c>
      <c r="U124" s="1">
        <v>80069000</v>
      </c>
      <c r="V124" s="1">
        <f t="shared" si="2"/>
        <v>-80069000</v>
      </c>
    </row>
    <row r="125" spans="1:22" x14ac:dyDescent="0.25">
      <c r="A125" t="s">
        <v>19</v>
      </c>
      <c r="B125" s="2">
        <v>1893</v>
      </c>
      <c r="C125" t="s">
        <v>20</v>
      </c>
      <c r="E125" t="s">
        <v>21</v>
      </c>
      <c r="F125" t="s">
        <v>22</v>
      </c>
      <c r="N125">
        <v>0</v>
      </c>
      <c r="P125" t="s">
        <v>23</v>
      </c>
      <c r="Q125" t="s">
        <v>24</v>
      </c>
      <c r="R125" t="s">
        <v>25</v>
      </c>
      <c r="U125" s="1">
        <v>79832000</v>
      </c>
      <c r="V125" s="1">
        <f t="shared" si="2"/>
        <v>-79832000</v>
      </c>
    </row>
    <row r="126" spans="1:22" x14ac:dyDescent="0.25">
      <c r="A126" t="s">
        <v>19</v>
      </c>
      <c r="B126" s="2">
        <v>1892</v>
      </c>
      <c r="C126" t="s">
        <v>20</v>
      </c>
      <c r="E126" t="s">
        <v>21</v>
      </c>
      <c r="F126" t="s">
        <v>22</v>
      </c>
      <c r="N126">
        <v>0</v>
      </c>
      <c r="P126" t="s">
        <v>23</v>
      </c>
      <c r="Q126" t="s">
        <v>24</v>
      </c>
      <c r="R126" t="s">
        <v>25</v>
      </c>
      <c r="U126" s="1">
        <v>76914000</v>
      </c>
      <c r="V126" s="1">
        <f t="shared" si="2"/>
        <v>-76914000</v>
      </c>
    </row>
    <row r="127" spans="1:22" x14ac:dyDescent="0.25">
      <c r="A127" t="s">
        <v>19</v>
      </c>
      <c r="B127" s="2">
        <v>1891</v>
      </c>
      <c r="C127" t="s">
        <v>20</v>
      </c>
      <c r="E127" t="s">
        <v>21</v>
      </c>
      <c r="F127" t="s">
        <v>22</v>
      </c>
      <c r="N127">
        <v>0</v>
      </c>
      <c r="P127" t="s">
        <v>23</v>
      </c>
      <c r="Q127" t="s">
        <v>24</v>
      </c>
      <c r="R127" t="s">
        <v>25</v>
      </c>
      <c r="U127" s="1">
        <v>78855000</v>
      </c>
      <c r="V127" s="1">
        <f t="shared" si="2"/>
        <v>-78855000</v>
      </c>
    </row>
    <row r="128" spans="1:22" x14ac:dyDescent="0.25">
      <c r="A128" t="s">
        <v>19</v>
      </c>
      <c r="B128" s="2">
        <v>1890</v>
      </c>
      <c r="C128" t="s">
        <v>20</v>
      </c>
      <c r="E128" t="s">
        <v>21</v>
      </c>
      <c r="F128" t="s">
        <v>22</v>
      </c>
      <c r="N128">
        <v>0</v>
      </c>
      <c r="P128" t="s">
        <v>23</v>
      </c>
      <c r="Q128" t="s">
        <v>24</v>
      </c>
      <c r="R128" t="s">
        <v>25</v>
      </c>
      <c r="U128" s="1">
        <v>74785000</v>
      </c>
      <c r="V128" s="1">
        <f t="shared" si="2"/>
        <v>-74785000</v>
      </c>
    </row>
    <row r="129" spans="1:22" x14ac:dyDescent="0.25">
      <c r="A129" t="s">
        <v>19</v>
      </c>
      <c r="B129" s="2">
        <v>1889</v>
      </c>
      <c r="C129" t="s">
        <v>20</v>
      </c>
      <c r="E129" t="s">
        <v>21</v>
      </c>
      <c r="F129" t="s">
        <v>22</v>
      </c>
      <c r="N129">
        <v>0</v>
      </c>
      <c r="P129" t="s">
        <v>23</v>
      </c>
      <c r="Q129" t="s">
        <v>24</v>
      </c>
      <c r="R129" t="s">
        <v>25</v>
      </c>
      <c r="U129" s="1">
        <v>77656000</v>
      </c>
      <c r="V129" s="1">
        <f t="shared" si="2"/>
        <v>-77656000</v>
      </c>
    </row>
    <row r="130" spans="1:22" x14ac:dyDescent="0.25">
      <c r="A130" t="s">
        <v>19</v>
      </c>
      <c r="B130" s="2">
        <v>1888</v>
      </c>
      <c r="C130" t="s">
        <v>20</v>
      </c>
      <c r="E130" t="s">
        <v>21</v>
      </c>
      <c r="F130" t="s">
        <v>22</v>
      </c>
      <c r="N130">
        <v>0</v>
      </c>
      <c r="P130" t="s">
        <v>23</v>
      </c>
      <c r="Q130" t="s">
        <v>24</v>
      </c>
      <c r="R130" t="s">
        <v>25</v>
      </c>
      <c r="U130" s="1">
        <v>77474000</v>
      </c>
      <c r="V130" s="1">
        <f t="shared" si="2"/>
        <v>-77474000</v>
      </c>
    </row>
    <row r="131" spans="1:22" x14ac:dyDescent="0.25">
      <c r="A131" t="s">
        <v>19</v>
      </c>
      <c r="B131" s="2">
        <v>1887</v>
      </c>
      <c r="C131" t="s">
        <v>20</v>
      </c>
      <c r="E131" t="s">
        <v>21</v>
      </c>
      <c r="F131" t="s">
        <v>22</v>
      </c>
      <c r="N131">
        <v>0</v>
      </c>
      <c r="P131" t="s">
        <v>23</v>
      </c>
      <c r="Q131" t="s">
        <v>24</v>
      </c>
      <c r="R131" t="s">
        <v>25</v>
      </c>
      <c r="U131" s="1">
        <v>73296000</v>
      </c>
      <c r="V131" s="1">
        <f t="shared" si="2"/>
        <v>-73296000</v>
      </c>
    </row>
    <row r="132" spans="1:22" x14ac:dyDescent="0.25">
      <c r="A132" t="s">
        <v>19</v>
      </c>
      <c r="B132" s="2">
        <v>1886</v>
      </c>
      <c r="C132" t="s">
        <v>20</v>
      </c>
      <c r="E132" t="s">
        <v>21</v>
      </c>
      <c r="F132" t="s">
        <v>22</v>
      </c>
      <c r="N132">
        <v>0</v>
      </c>
      <c r="P132" t="s">
        <v>23</v>
      </c>
      <c r="Q132" t="s">
        <v>24</v>
      </c>
      <c r="R132" t="s">
        <v>25</v>
      </c>
      <c r="U132" s="1">
        <v>73911000</v>
      </c>
      <c r="V132" s="1">
        <f t="shared" ref="V132:V152" si="3">S132-U132</f>
        <v>-73911000</v>
      </c>
    </row>
    <row r="133" spans="1:22" x14ac:dyDescent="0.25">
      <c r="A133" t="s">
        <v>19</v>
      </c>
      <c r="B133" s="2">
        <v>1885</v>
      </c>
      <c r="C133" t="s">
        <v>20</v>
      </c>
      <c r="E133" t="s">
        <v>21</v>
      </c>
      <c r="F133" t="s">
        <v>22</v>
      </c>
      <c r="N133">
        <v>0</v>
      </c>
      <c r="P133" t="s">
        <v>23</v>
      </c>
      <c r="Q133" t="s">
        <v>24</v>
      </c>
      <c r="R133" t="s">
        <v>25</v>
      </c>
      <c r="U133" s="1">
        <v>71854000</v>
      </c>
      <c r="V133" s="1">
        <f t="shared" si="3"/>
        <v>-71854000</v>
      </c>
    </row>
    <row r="134" spans="1:22" x14ac:dyDescent="0.25">
      <c r="A134" t="s">
        <v>19</v>
      </c>
      <c r="B134" s="2">
        <v>1884</v>
      </c>
      <c r="C134" t="s">
        <v>20</v>
      </c>
      <c r="E134" t="s">
        <v>21</v>
      </c>
      <c r="F134" t="s">
        <v>22</v>
      </c>
      <c r="N134">
        <v>0</v>
      </c>
      <c r="P134" t="s">
        <v>23</v>
      </c>
      <c r="Q134" t="s">
        <v>24</v>
      </c>
      <c r="R134" t="s">
        <v>25</v>
      </c>
      <c r="U134" s="1">
        <v>68834000</v>
      </c>
      <c r="V134" s="1">
        <f t="shared" si="3"/>
        <v>-68834000</v>
      </c>
    </row>
    <row r="135" spans="1:22" x14ac:dyDescent="0.25">
      <c r="A135" t="s">
        <v>19</v>
      </c>
      <c r="B135" s="2">
        <v>1883</v>
      </c>
      <c r="C135" t="s">
        <v>20</v>
      </c>
      <c r="E135" t="s">
        <v>21</v>
      </c>
      <c r="F135" t="s">
        <v>22</v>
      </c>
      <c r="N135">
        <v>0</v>
      </c>
      <c r="P135" t="s">
        <v>23</v>
      </c>
      <c r="Q135" t="s">
        <v>24</v>
      </c>
      <c r="R135" t="s">
        <v>25</v>
      </c>
      <c r="U135" s="1">
        <v>68168000</v>
      </c>
      <c r="V135" s="1">
        <f t="shared" si="3"/>
        <v>-68168000</v>
      </c>
    </row>
    <row r="136" spans="1:22" x14ac:dyDescent="0.25">
      <c r="A136" t="s">
        <v>19</v>
      </c>
      <c r="B136" s="2">
        <v>1882</v>
      </c>
      <c r="C136" t="s">
        <v>20</v>
      </c>
      <c r="E136" t="s">
        <v>21</v>
      </c>
      <c r="F136" t="s">
        <v>22</v>
      </c>
      <c r="N136">
        <v>0</v>
      </c>
      <c r="P136" t="s">
        <v>23</v>
      </c>
      <c r="Q136" t="s">
        <v>24</v>
      </c>
      <c r="R136" t="s">
        <v>25</v>
      </c>
      <c r="U136" s="1">
        <v>66157000</v>
      </c>
      <c r="V136" s="1">
        <f t="shared" si="3"/>
        <v>-66157000</v>
      </c>
    </row>
    <row r="137" spans="1:22" x14ac:dyDescent="0.25">
      <c r="A137" t="s">
        <v>19</v>
      </c>
      <c r="B137" s="2">
        <v>1881</v>
      </c>
      <c r="C137" t="s">
        <v>20</v>
      </c>
      <c r="E137" t="s">
        <v>21</v>
      </c>
      <c r="F137" t="s">
        <v>22</v>
      </c>
      <c r="N137">
        <v>0</v>
      </c>
      <c r="P137" t="s">
        <v>23</v>
      </c>
      <c r="Q137" t="s">
        <v>24</v>
      </c>
      <c r="R137" t="s">
        <v>25</v>
      </c>
      <c r="U137" s="1">
        <v>63026000</v>
      </c>
      <c r="V137" s="1">
        <f t="shared" si="3"/>
        <v>-63026000</v>
      </c>
    </row>
    <row r="138" spans="1:22" x14ac:dyDescent="0.25">
      <c r="A138" t="s">
        <v>19</v>
      </c>
      <c r="B138" s="2">
        <v>1880</v>
      </c>
      <c r="C138" t="s">
        <v>20</v>
      </c>
      <c r="E138" t="s">
        <v>21</v>
      </c>
      <c r="F138" t="s">
        <v>22</v>
      </c>
      <c r="N138">
        <v>0</v>
      </c>
      <c r="P138" t="s">
        <v>23</v>
      </c>
      <c r="Q138" t="s">
        <v>24</v>
      </c>
      <c r="R138" t="s">
        <v>25</v>
      </c>
      <c r="U138" s="1">
        <v>62545000</v>
      </c>
      <c r="V138" s="1">
        <f t="shared" si="3"/>
        <v>-62545000</v>
      </c>
    </row>
    <row r="139" spans="1:22" x14ac:dyDescent="0.25">
      <c r="A139" t="s">
        <v>19</v>
      </c>
      <c r="B139" s="2">
        <v>1879</v>
      </c>
      <c r="C139" t="s">
        <v>20</v>
      </c>
      <c r="E139" t="s">
        <v>21</v>
      </c>
      <c r="F139" t="s">
        <v>22</v>
      </c>
      <c r="N139">
        <v>0</v>
      </c>
      <c r="P139" t="s">
        <v>23</v>
      </c>
      <c r="Q139" t="s">
        <v>24</v>
      </c>
      <c r="R139" t="s">
        <v>25</v>
      </c>
      <c r="U139" s="1">
        <v>62229000</v>
      </c>
      <c r="V139" s="1">
        <f t="shared" si="3"/>
        <v>-62229000</v>
      </c>
    </row>
    <row r="140" spans="1:22" x14ac:dyDescent="0.25">
      <c r="A140" t="s">
        <v>19</v>
      </c>
      <c r="B140" s="2">
        <v>1878</v>
      </c>
      <c r="C140" t="s">
        <v>20</v>
      </c>
      <c r="E140" t="s">
        <v>21</v>
      </c>
      <c r="F140" t="s">
        <v>22</v>
      </c>
      <c r="N140">
        <v>0</v>
      </c>
      <c r="P140" t="s">
        <v>23</v>
      </c>
      <c r="Q140" t="s">
        <v>24</v>
      </c>
      <c r="R140" t="s">
        <v>25</v>
      </c>
      <c r="U140" s="1">
        <v>59659000</v>
      </c>
      <c r="V140" s="1">
        <f t="shared" si="3"/>
        <v>-59659000</v>
      </c>
    </row>
    <row r="141" spans="1:22" x14ac:dyDescent="0.25">
      <c r="A141" t="s">
        <v>19</v>
      </c>
      <c r="B141" s="2">
        <v>1877</v>
      </c>
      <c r="C141" t="s">
        <v>20</v>
      </c>
      <c r="E141" t="s">
        <v>21</v>
      </c>
      <c r="F141" t="s">
        <v>22</v>
      </c>
      <c r="N141">
        <v>0</v>
      </c>
      <c r="P141" t="s">
        <v>23</v>
      </c>
      <c r="Q141" t="s">
        <v>24</v>
      </c>
      <c r="R141" t="s">
        <v>25</v>
      </c>
      <c r="U141" s="1">
        <v>58799000</v>
      </c>
      <c r="V141" s="1">
        <f t="shared" si="3"/>
        <v>-58799000</v>
      </c>
    </row>
    <row r="142" spans="1:22" x14ac:dyDescent="0.25">
      <c r="A142" t="s">
        <v>19</v>
      </c>
      <c r="B142" s="2">
        <v>1876</v>
      </c>
      <c r="C142" t="s">
        <v>20</v>
      </c>
      <c r="E142" t="s">
        <v>21</v>
      </c>
      <c r="F142" t="s">
        <v>22</v>
      </c>
      <c r="N142">
        <v>0</v>
      </c>
      <c r="P142" t="s">
        <v>23</v>
      </c>
      <c r="Q142" t="s">
        <v>24</v>
      </c>
      <c r="R142" t="s">
        <v>25</v>
      </c>
      <c r="U142" s="1">
        <v>55277000</v>
      </c>
      <c r="V142" s="1">
        <f t="shared" si="3"/>
        <v>-55277000</v>
      </c>
    </row>
    <row r="143" spans="1:22" x14ac:dyDescent="0.25">
      <c r="A143" t="s">
        <v>19</v>
      </c>
      <c r="B143" s="2">
        <v>1875</v>
      </c>
      <c r="C143" t="s">
        <v>20</v>
      </c>
      <c r="E143" t="s">
        <v>21</v>
      </c>
      <c r="F143" t="s">
        <v>22</v>
      </c>
      <c r="N143">
        <v>0</v>
      </c>
      <c r="P143" t="s">
        <v>23</v>
      </c>
      <c r="Q143" t="s">
        <v>24</v>
      </c>
      <c r="R143" t="s">
        <v>25</v>
      </c>
      <c r="U143" s="1">
        <v>52446000</v>
      </c>
      <c r="V143" s="1">
        <f t="shared" si="3"/>
        <v>-52446000</v>
      </c>
    </row>
    <row r="144" spans="1:22" x14ac:dyDescent="0.25">
      <c r="A144" t="s">
        <v>19</v>
      </c>
      <c r="B144" s="2">
        <v>1874</v>
      </c>
      <c r="C144" t="s">
        <v>20</v>
      </c>
      <c r="E144" t="s">
        <v>21</v>
      </c>
      <c r="F144" t="s">
        <v>22</v>
      </c>
      <c r="N144">
        <v>0</v>
      </c>
      <c r="P144" t="s">
        <v>23</v>
      </c>
      <c r="Q144" t="s">
        <v>24</v>
      </c>
      <c r="R144" t="s">
        <v>25</v>
      </c>
      <c r="U144" s="1">
        <v>47640000</v>
      </c>
      <c r="V144" s="1">
        <f t="shared" si="3"/>
        <v>-47640000</v>
      </c>
    </row>
    <row r="145" spans="1:22" x14ac:dyDescent="0.25">
      <c r="A145" t="s">
        <v>19</v>
      </c>
      <c r="B145" s="2">
        <v>1873</v>
      </c>
      <c r="C145" t="s">
        <v>20</v>
      </c>
      <c r="E145" t="s">
        <v>21</v>
      </c>
      <c r="F145" t="s">
        <v>22</v>
      </c>
      <c r="N145">
        <v>0</v>
      </c>
      <c r="P145" t="s">
        <v>23</v>
      </c>
      <c r="Q145" t="s">
        <v>24</v>
      </c>
      <c r="R145" t="s">
        <v>25</v>
      </c>
      <c r="U145" s="1">
        <v>44084000</v>
      </c>
      <c r="V145" s="1">
        <f t="shared" si="3"/>
        <v>-44084000</v>
      </c>
    </row>
    <row r="146" spans="1:22" x14ac:dyDescent="0.25">
      <c r="A146" t="s">
        <v>19</v>
      </c>
      <c r="B146" s="2">
        <v>1872</v>
      </c>
      <c r="C146" t="s">
        <v>20</v>
      </c>
      <c r="E146" t="s">
        <v>21</v>
      </c>
      <c r="F146" t="s">
        <v>22</v>
      </c>
      <c r="N146">
        <v>0</v>
      </c>
      <c r="P146" t="s">
        <v>23</v>
      </c>
      <c r="Q146" t="s">
        <v>24</v>
      </c>
      <c r="R146" t="s">
        <v>25</v>
      </c>
      <c r="U146" s="1">
        <v>43584000</v>
      </c>
      <c r="V146" s="1">
        <f t="shared" si="3"/>
        <v>-43584000</v>
      </c>
    </row>
    <row r="147" spans="1:22" x14ac:dyDescent="0.25">
      <c r="A147" t="s">
        <v>19</v>
      </c>
      <c r="B147" s="2">
        <v>1871</v>
      </c>
      <c r="C147" t="s">
        <v>20</v>
      </c>
      <c r="E147" t="s">
        <v>21</v>
      </c>
      <c r="F147" t="s">
        <v>22</v>
      </c>
      <c r="N147">
        <v>0</v>
      </c>
      <c r="P147" t="s">
        <v>23</v>
      </c>
      <c r="Q147" t="s">
        <v>24</v>
      </c>
      <c r="R147" t="s">
        <v>25</v>
      </c>
      <c r="U147" s="1">
        <v>42002000</v>
      </c>
      <c r="V147" s="1">
        <f t="shared" si="3"/>
        <v>-42002000</v>
      </c>
    </row>
    <row r="148" spans="1:22" x14ac:dyDescent="0.25">
      <c r="A148" t="s">
        <v>19</v>
      </c>
      <c r="B148" s="2">
        <v>1870</v>
      </c>
      <c r="C148" t="s">
        <v>20</v>
      </c>
      <c r="E148" t="s">
        <v>21</v>
      </c>
      <c r="F148" t="s">
        <v>22</v>
      </c>
      <c r="N148">
        <v>0</v>
      </c>
      <c r="P148" t="s">
        <v>23</v>
      </c>
      <c r="Q148" t="s">
        <v>24</v>
      </c>
      <c r="R148" t="s">
        <v>25</v>
      </c>
      <c r="U148" s="1">
        <v>38388000</v>
      </c>
      <c r="V148" s="1">
        <f t="shared" si="3"/>
        <v>-38388000</v>
      </c>
    </row>
    <row r="149" spans="1:22" x14ac:dyDescent="0.25">
      <c r="A149" t="s">
        <v>19</v>
      </c>
      <c r="B149" s="2">
        <v>1869</v>
      </c>
      <c r="C149" t="s">
        <v>20</v>
      </c>
      <c r="E149" t="s">
        <v>21</v>
      </c>
      <c r="F149" t="s">
        <v>22</v>
      </c>
      <c r="N149">
        <v>0</v>
      </c>
      <c r="P149" t="s">
        <v>23</v>
      </c>
      <c r="Q149" t="s">
        <v>24</v>
      </c>
      <c r="R149" t="s">
        <v>25</v>
      </c>
      <c r="U149" s="1">
        <v>35833000</v>
      </c>
      <c r="V149" s="1">
        <f t="shared" si="3"/>
        <v>-35833000</v>
      </c>
    </row>
    <row r="150" spans="1:22" x14ac:dyDescent="0.25">
      <c r="A150" t="s">
        <v>19</v>
      </c>
      <c r="B150" s="2">
        <v>1868</v>
      </c>
      <c r="C150" t="s">
        <v>20</v>
      </c>
      <c r="E150" t="s">
        <v>21</v>
      </c>
      <c r="F150" t="s">
        <v>22</v>
      </c>
      <c r="N150">
        <v>0</v>
      </c>
      <c r="P150" t="s">
        <v>23</v>
      </c>
      <c r="Q150" t="s">
        <v>24</v>
      </c>
      <c r="R150" t="s">
        <v>25</v>
      </c>
      <c r="U150" s="1">
        <v>35116000</v>
      </c>
      <c r="V150" s="1">
        <f t="shared" si="3"/>
        <v>-35116000</v>
      </c>
    </row>
    <row r="151" spans="1:22" x14ac:dyDescent="0.25">
      <c r="A151" t="s">
        <v>19</v>
      </c>
      <c r="B151" s="2">
        <v>1867</v>
      </c>
      <c r="C151" t="s">
        <v>20</v>
      </c>
      <c r="E151" t="s">
        <v>21</v>
      </c>
      <c r="F151" t="s">
        <v>22</v>
      </c>
      <c r="N151">
        <v>0</v>
      </c>
      <c r="P151" t="s">
        <v>23</v>
      </c>
      <c r="Q151" t="s">
        <v>24</v>
      </c>
      <c r="R151" t="s">
        <v>25</v>
      </c>
      <c r="U151" s="1">
        <v>32116000</v>
      </c>
      <c r="V151" s="1">
        <f t="shared" si="3"/>
        <v>-32116000</v>
      </c>
    </row>
    <row r="152" spans="1:22" x14ac:dyDescent="0.25">
      <c r="A152" t="s">
        <v>19</v>
      </c>
      <c r="B152" s="2">
        <v>1866</v>
      </c>
      <c r="C152" t="s">
        <v>20</v>
      </c>
      <c r="E152" t="s">
        <v>21</v>
      </c>
      <c r="F152" t="s">
        <v>22</v>
      </c>
      <c r="N152">
        <v>0</v>
      </c>
      <c r="P152" t="s">
        <v>23</v>
      </c>
      <c r="Q152" t="s">
        <v>24</v>
      </c>
      <c r="R152" t="s">
        <v>25</v>
      </c>
      <c r="U152" s="1">
        <v>30017000</v>
      </c>
      <c r="V152" s="1">
        <f t="shared" si="3"/>
        <v>-30017000</v>
      </c>
    </row>
  </sheetData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154"/>
  <sheetViews>
    <sheetView zoomScale="115" zoomScaleNormal="115" workbookViewId="0">
      <selection activeCell="A4" sqref="A4:A34"/>
    </sheetView>
  </sheetViews>
  <sheetFormatPr defaultRowHeight="15" x14ac:dyDescent="0.25"/>
  <cols>
    <col min="6" max="6" width="10.5703125" bestFit="1" customWidth="1"/>
    <col min="7" max="7" width="10" bestFit="1" customWidth="1"/>
  </cols>
  <sheetData>
    <row r="1" spans="1:12" x14ac:dyDescent="0.25">
      <c r="A1" s="19" t="s">
        <v>1</v>
      </c>
      <c r="B1" s="22" t="s">
        <v>40</v>
      </c>
      <c r="C1" s="16" t="s">
        <v>41</v>
      </c>
      <c r="D1" s="16" t="s">
        <v>42</v>
      </c>
      <c r="E1" s="16" t="s">
        <v>43</v>
      </c>
      <c r="F1" s="16" t="s">
        <v>44</v>
      </c>
      <c r="G1" s="16"/>
      <c r="H1" s="16"/>
      <c r="I1" s="16"/>
      <c r="J1" s="16"/>
      <c r="K1" s="3"/>
      <c r="L1" s="3"/>
    </row>
    <row r="2" spans="1:12" x14ac:dyDescent="0.25">
      <c r="A2" s="20"/>
      <c r="B2" s="23"/>
      <c r="C2" s="17"/>
      <c r="D2" s="17"/>
      <c r="E2" s="17"/>
      <c r="F2" s="17"/>
      <c r="G2" s="17"/>
      <c r="H2" s="17"/>
      <c r="I2" s="17"/>
      <c r="J2" s="17"/>
      <c r="K2" s="4"/>
      <c r="L2" s="4"/>
    </row>
    <row r="3" spans="1:12" ht="15.75" thickBot="1" x14ac:dyDescent="0.3">
      <c r="A3" s="21"/>
      <c r="B3" s="24"/>
      <c r="C3" s="18"/>
      <c r="D3" s="18"/>
      <c r="E3" s="18"/>
      <c r="F3" s="18"/>
      <c r="G3" s="18"/>
      <c r="H3" s="18"/>
      <c r="I3" s="18"/>
      <c r="J3" s="18"/>
      <c r="K3" s="5"/>
      <c r="L3" s="5"/>
    </row>
    <row r="4" spans="1:12" x14ac:dyDescent="0.25">
      <c r="A4" s="2">
        <v>2016</v>
      </c>
      <c r="B4">
        <v>174.4</v>
      </c>
      <c r="C4" s="9">
        <f>1.9075*A4-3679.9</f>
        <v>165.61999999999989</v>
      </c>
      <c r="D4">
        <f>1.9198*A4-3703.8</f>
        <v>166.51679999999988</v>
      </c>
      <c r="E4" s="9">
        <f>B4-C4</f>
        <v>8.7800000000001148</v>
      </c>
      <c r="F4" s="9">
        <f>LN(B4)-LN(C4)</f>
        <v>5.1655503869326047E-2</v>
      </c>
      <c r="G4" s="9">
        <f>B4/C4</f>
        <v>1.0530129211447901</v>
      </c>
      <c r="H4" s="9"/>
      <c r="I4" s="9"/>
      <c r="J4" s="9"/>
      <c r="K4" s="9"/>
      <c r="L4" s="9"/>
    </row>
    <row r="5" spans="1:12" x14ac:dyDescent="0.25">
      <c r="A5" s="2">
        <v>2015</v>
      </c>
      <c r="B5">
        <v>168.4</v>
      </c>
      <c r="C5" s="9">
        <f t="shared" ref="C5:C68" si="0">1.9075*A5-3679.9</f>
        <v>163.71249999999964</v>
      </c>
      <c r="D5">
        <f t="shared" ref="D5:D68" si="1">1.9198*A5-3703.8</f>
        <v>164.59699999999975</v>
      </c>
      <c r="E5" s="9">
        <f>B5-C5</f>
        <v>4.6875000000003695</v>
      </c>
      <c r="F5" s="9">
        <f>LN(B5)-LN(C5)</f>
        <v>2.8230261152707214E-2</v>
      </c>
      <c r="G5" s="9">
        <f>B5/C5</f>
        <v>1.0286325112621235</v>
      </c>
      <c r="H5" s="9"/>
      <c r="I5" s="9"/>
      <c r="J5" s="9"/>
      <c r="K5" s="9"/>
      <c r="L5" s="9"/>
    </row>
    <row r="6" spans="1:12" x14ac:dyDescent="0.25">
      <c r="A6" s="2">
        <v>2014</v>
      </c>
      <c r="B6">
        <v>171</v>
      </c>
      <c r="C6" s="9">
        <f t="shared" si="0"/>
        <v>161.80499999999984</v>
      </c>
      <c r="D6">
        <f t="shared" si="1"/>
        <v>162.67719999999963</v>
      </c>
      <c r="E6" s="9">
        <f t="shared" ref="E6:E69" si="2">B6-C6</f>
        <v>9.1950000000001637</v>
      </c>
      <c r="F6" s="9">
        <f t="shared" ref="F6:F69" si="3">LN(B6)-LN(C6)</f>
        <v>5.5271650007159501E-2</v>
      </c>
      <c r="G6" s="9"/>
      <c r="H6" s="9"/>
      <c r="I6" s="9"/>
      <c r="J6" s="9"/>
      <c r="K6" s="9"/>
      <c r="L6" s="9"/>
    </row>
    <row r="7" spans="1:12" x14ac:dyDescent="0.25">
      <c r="A7" s="2">
        <v>2013</v>
      </c>
      <c r="B7">
        <v>158.1</v>
      </c>
      <c r="C7" s="9">
        <f t="shared" si="0"/>
        <v>159.89750000000004</v>
      </c>
      <c r="D7">
        <f t="shared" si="1"/>
        <v>160.75739999999951</v>
      </c>
      <c r="E7" s="9">
        <f>B7-C7</f>
        <v>-1.7975000000000421</v>
      </c>
      <c r="F7" s="9">
        <f>LN(B7)-LN(C7)</f>
        <v>-1.1305240730525412E-2</v>
      </c>
      <c r="G7" s="9"/>
      <c r="H7" s="9"/>
      <c r="I7" s="9"/>
      <c r="J7" s="9"/>
      <c r="K7" s="9"/>
      <c r="L7" s="9"/>
    </row>
    <row r="8" spans="1:12" x14ac:dyDescent="0.25">
      <c r="A8" s="2">
        <v>2012</v>
      </c>
      <c r="B8">
        <v>123.1</v>
      </c>
      <c r="C8" s="9">
        <f t="shared" si="0"/>
        <v>157.98999999999978</v>
      </c>
      <c r="D8">
        <f t="shared" si="1"/>
        <v>158.83759999999984</v>
      </c>
      <c r="E8" s="9">
        <f t="shared" si="2"/>
        <v>-34.889999999999787</v>
      </c>
      <c r="F8" s="9">
        <f t="shared" si="3"/>
        <v>-0.24953470669434807</v>
      </c>
      <c r="G8" s="9"/>
      <c r="H8" s="9"/>
      <c r="I8" s="9"/>
      <c r="J8" s="9"/>
      <c r="K8" s="9"/>
      <c r="L8" s="9"/>
    </row>
    <row r="9" spans="1:12" x14ac:dyDescent="0.25">
      <c r="A9" s="2">
        <v>2011</v>
      </c>
      <c r="B9">
        <v>146.80000000000001</v>
      </c>
      <c r="C9" s="9">
        <f t="shared" si="0"/>
        <v>156.08249999999998</v>
      </c>
      <c r="D9">
        <f t="shared" si="1"/>
        <v>156.91779999999972</v>
      </c>
      <c r="E9" s="9">
        <f t="shared" si="2"/>
        <v>-9.2824999999999704</v>
      </c>
      <c r="F9" s="9">
        <f t="shared" si="3"/>
        <v>-6.1313597433122702E-2</v>
      </c>
      <c r="G9" s="9"/>
      <c r="H9" s="9"/>
      <c r="I9" s="9"/>
      <c r="J9" s="9"/>
      <c r="K9" s="9"/>
      <c r="L9" s="9"/>
    </row>
    <row r="10" spans="1:12" x14ac:dyDescent="0.25">
      <c r="A10" s="2">
        <v>2010</v>
      </c>
      <c r="B10">
        <v>152.6</v>
      </c>
      <c r="C10" s="9">
        <f t="shared" si="0"/>
        <v>154.17499999999973</v>
      </c>
      <c r="D10">
        <f t="shared" si="1"/>
        <v>154.99799999999959</v>
      </c>
      <c r="E10" s="9">
        <f t="shared" si="2"/>
        <v>-1.5749999999997328</v>
      </c>
      <c r="F10" s="9">
        <f t="shared" si="3"/>
        <v>-1.026820202719847E-2</v>
      </c>
      <c r="G10" s="9"/>
      <c r="H10" s="9"/>
      <c r="I10" s="9"/>
      <c r="J10" s="9"/>
      <c r="K10" s="9"/>
      <c r="L10" s="9"/>
    </row>
    <row r="11" spans="1:12" x14ac:dyDescent="0.25">
      <c r="A11" s="2">
        <v>2009</v>
      </c>
      <c r="B11">
        <v>164.4</v>
      </c>
      <c r="C11" s="9">
        <f t="shared" si="0"/>
        <v>152.26749999999993</v>
      </c>
      <c r="D11">
        <f t="shared" si="1"/>
        <v>153.07819999999992</v>
      </c>
      <c r="E11" s="9">
        <f t="shared" si="2"/>
        <v>12.132500000000078</v>
      </c>
      <c r="F11" s="9">
        <f t="shared" si="3"/>
        <v>7.6663640108725062E-2</v>
      </c>
      <c r="G11" s="9"/>
      <c r="H11" s="9"/>
      <c r="I11" s="9"/>
      <c r="J11" s="9"/>
      <c r="K11" s="9"/>
      <c r="L11" s="9"/>
    </row>
    <row r="12" spans="1:12" x14ac:dyDescent="0.25">
      <c r="A12" s="2">
        <v>2008</v>
      </c>
      <c r="B12">
        <v>153.30000000000001</v>
      </c>
      <c r="C12" s="9">
        <f t="shared" si="0"/>
        <v>150.35999999999967</v>
      </c>
      <c r="D12">
        <f t="shared" si="1"/>
        <v>151.1583999999998</v>
      </c>
      <c r="E12" s="9">
        <f t="shared" si="2"/>
        <v>2.9400000000003388</v>
      </c>
      <c r="F12" s="9">
        <f t="shared" si="3"/>
        <v>1.9364367181793796E-2</v>
      </c>
      <c r="G12" s="9"/>
      <c r="H12" s="9"/>
      <c r="I12" s="9"/>
      <c r="J12" s="9"/>
      <c r="K12" s="9"/>
      <c r="L12" s="9"/>
    </row>
    <row r="13" spans="1:12" x14ac:dyDescent="0.25">
      <c r="A13" s="2">
        <v>2007</v>
      </c>
      <c r="B13">
        <v>150.69999999999999</v>
      </c>
      <c r="C13" s="9">
        <f t="shared" si="0"/>
        <v>148.45249999999987</v>
      </c>
      <c r="D13">
        <f t="shared" si="1"/>
        <v>149.23859999999968</v>
      </c>
      <c r="E13" s="9">
        <f t="shared" si="2"/>
        <v>2.247500000000116</v>
      </c>
      <c r="F13" s="9">
        <f t="shared" si="3"/>
        <v>1.5026063877384921E-2</v>
      </c>
      <c r="G13" s="9"/>
      <c r="H13" s="9"/>
      <c r="I13" s="9"/>
      <c r="J13" s="9"/>
      <c r="K13" s="9"/>
      <c r="L13" s="9"/>
    </row>
    <row r="14" spans="1:12" x14ac:dyDescent="0.25">
      <c r="A14" s="2">
        <v>2006</v>
      </c>
      <c r="B14">
        <v>149.1</v>
      </c>
      <c r="C14" s="9">
        <f t="shared" si="0"/>
        <v>146.54500000000007</v>
      </c>
      <c r="D14">
        <f t="shared" si="1"/>
        <v>147.31879999999956</v>
      </c>
      <c r="E14" s="9">
        <f t="shared" si="2"/>
        <v>2.5549999999999216</v>
      </c>
      <c r="F14" s="9">
        <f t="shared" si="3"/>
        <v>1.7284673244272852E-2</v>
      </c>
      <c r="G14" s="9"/>
      <c r="H14" s="9"/>
      <c r="I14" s="9"/>
      <c r="J14" s="9"/>
      <c r="K14" s="9"/>
      <c r="L14" s="9"/>
    </row>
    <row r="15" spans="1:12" x14ac:dyDescent="0.25">
      <c r="A15" s="2">
        <v>2005</v>
      </c>
      <c r="B15">
        <v>147.9</v>
      </c>
      <c r="C15" s="9">
        <f t="shared" si="0"/>
        <v>144.63749999999982</v>
      </c>
      <c r="D15">
        <f t="shared" si="1"/>
        <v>145.39899999999989</v>
      </c>
      <c r="E15" s="9">
        <f t="shared" si="2"/>
        <v>3.2625000000001876</v>
      </c>
      <c r="F15" s="9">
        <f t="shared" si="3"/>
        <v>2.2305757514299529E-2</v>
      </c>
      <c r="G15" s="9"/>
      <c r="H15" s="9"/>
      <c r="I15" s="9"/>
      <c r="J15" s="9"/>
      <c r="K15" s="9"/>
      <c r="L15" s="9"/>
    </row>
    <row r="16" spans="1:12" x14ac:dyDescent="0.25">
      <c r="A16" s="2">
        <v>2004</v>
      </c>
      <c r="B16">
        <v>160.30000000000001</v>
      </c>
      <c r="C16" s="9">
        <f t="shared" si="0"/>
        <v>142.73000000000002</v>
      </c>
      <c r="D16">
        <f t="shared" si="1"/>
        <v>143.47919999999976</v>
      </c>
      <c r="E16" s="9">
        <f t="shared" si="2"/>
        <v>17.569999999999993</v>
      </c>
      <c r="F16" s="9">
        <f t="shared" si="3"/>
        <v>0.11609232597383023</v>
      </c>
      <c r="G16" s="9"/>
      <c r="H16" s="9"/>
      <c r="I16" s="9"/>
      <c r="J16" s="9"/>
      <c r="K16" s="9"/>
      <c r="L16" s="9"/>
    </row>
    <row r="17" spans="1:12" x14ac:dyDescent="0.25">
      <c r="A17" s="2">
        <v>2003</v>
      </c>
      <c r="B17">
        <v>142.19999999999999</v>
      </c>
      <c r="C17" s="9">
        <f t="shared" si="0"/>
        <v>140.82249999999976</v>
      </c>
      <c r="D17">
        <f t="shared" si="1"/>
        <v>141.55939999999964</v>
      </c>
      <c r="E17" s="9">
        <f t="shared" si="2"/>
        <v>1.3775000000002251</v>
      </c>
      <c r="F17" s="9">
        <f t="shared" si="3"/>
        <v>9.7342852756776566E-3</v>
      </c>
      <c r="G17" s="9"/>
      <c r="H17" s="9"/>
      <c r="I17" s="9"/>
      <c r="J17" s="9"/>
      <c r="K17" s="9"/>
      <c r="L17" s="9"/>
    </row>
    <row r="18" spans="1:12" x14ac:dyDescent="0.25">
      <c r="A18" s="2">
        <v>2002</v>
      </c>
      <c r="B18">
        <v>129.30000000000001</v>
      </c>
      <c r="C18" s="9">
        <f t="shared" si="0"/>
        <v>138.91499999999996</v>
      </c>
      <c r="D18">
        <f t="shared" si="1"/>
        <v>139.63959999999952</v>
      </c>
      <c r="E18" s="9">
        <f t="shared" si="2"/>
        <v>-9.6149999999999523</v>
      </c>
      <c r="F18" s="9">
        <f t="shared" si="3"/>
        <v>-7.1726949512529892E-2</v>
      </c>
      <c r="G18" s="9"/>
      <c r="H18" s="9"/>
      <c r="I18" s="9"/>
      <c r="J18" s="9"/>
      <c r="K18" s="9"/>
      <c r="L18" s="9"/>
    </row>
    <row r="19" spans="1:12" x14ac:dyDescent="0.25">
      <c r="A19" s="2">
        <v>2001</v>
      </c>
      <c r="B19">
        <v>138.19999999999999</v>
      </c>
      <c r="C19" s="9">
        <f t="shared" si="0"/>
        <v>137.00749999999971</v>
      </c>
      <c r="D19">
        <f t="shared" si="1"/>
        <v>137.71979999999985</v>
      </c>
      <c r="E19" s="9">
        <f t="shared" si="2"/>
        <v>1.1925000000002797</v>
      </c>
      <c r="F19" s="9">
        <f t="shared" si="3"/>
        <v>8.6662424783261471E-3</v>
      </c>
      <c r="G19" s="9"/>
      <c r="H19" s="9"/>
      <c r="I19" s="9"/>
      <c r="J19" s="9"/>
      <c r="K19" s="9"/>
      <c r="L19" s="9"/>
    </row>
    <row r="20" spans="1:12" x14ac:dyDescent="0.25">
      <c r="A20" s="2">
        <v>2000</v>
      </c>
      <c r="B20">
        <v>136.9</v>
      </c>
      <c r="C20" s="9">
        <f t="shared" si="0"/>
        <v>135.09999999999991</v>
      </c>
      <c r="D20">
        <f t="shared" si="1"/>
        <v>135.79999999999973</v>
      </c>
      <c r="E20" s="9">
        <f t="shared" si="2"/>
        <v>1.8000000000000966</v>
      </c>
      <c r="F20" s="9">
        <f t="shared" si="3"/>
        <v>1.3235487328251416E-2</v>
      </c>
      <c r="G20" s="9"/>
      <c r="H20" s="9"/>
      <c r="I20" s="9"/>
      <c r="J20" s="9"/>
      <c r="K20" s="9"/>
      <c r="L20" s="9"/>
    </row>
    <row r="21" spans="1:12" x14ac:dyDescent="0.25">
      <c r="A21" s="2">
        <v>1999</v>
      </c>
      <c r="B21">
        <v>133.80000000000001</v>
      </c>
      <c r="C21" s="9">
        <f t="shared" si="0"/>
        <v>133.19249999999965</v>
      </c>
      <c r="D21">
        <f t="shared" si="1"/>
        <v>133.8801999999996</v>
      </c>
      <c r="E21" s="9">
        <f t="shared" si="2"/>
        <v>0.60750000000035698</v>
      </c>
      <c r="F21" s="9">
        <f t="shared" si="3"/>
        <v>4.5506974794076172E-3</v>
      </c>
      <c r="G21" s="9"/>
      <c r="H21" s="9"/>
      <c r="I21" s="9"/>
      <c r="J21" s="9"/>
      <c r="K21" s="9"/>
      <c r="L21" s="9"/>
    </row>
    <row r="22" spans="1:12" x14ac:dyDescent="0.25">
      <c r="A22" s="2">
        <v>1998</v>
      </c>
      <c r="B22">
        <v>134.4</v>
      </c>
      <c r="C22" s="9">
        <f t="shared" si="0"/>
        <v>131.28499999999985</v>
      </c>
      <c r="D22">
        <f t="shared" si="1"/>
        <v>131.96039999999994</v>
      </c>
      <c r="E22" s="9">
        <f t="shared" si="2"/>
        <v>3.1150000000001512</v>
      </c>
      <c r="F22" s="9">
        <f t="shared" si="3"/>
        <v>2.3449895499886075E-2</v>
      </c>
      <c r="G22" s="9"/>
      <c r="H22" s="9"/>
      <c r="I22" s="9"/>
      <c r="J22" s="9"/>
      <c r="K22" s="9"/>
      <c r="L22" s="9"/>
    </row>
    <row r="23" spans="1:12" x14ac:dyDescent="0.25">
      <c r="A23" s="2">
        <v>1997</v>
      </c>
      <c r="B23">
        <v>126.7</v>
      </c>
      <c r="C23" s="9">
        <f t="shared" si="0"/>
        <v>129.37750000000005</v>
      </c>
      <c r="D23">
        <f t="shared" si="1"/>
        <v>130.04059999999981</v>
      </c>
      <c r="E23" s="9">
        <f t="shared" si="2"/>
        <v>-2.6775000000000517</v>
      </c>
      <c r="F23" s="9">
        <f t="shared" si="3"/>
        <v>-2.0912400177338419E-2</v>
      </c>
      <c r="G23" s="9"/>
      <c r="H23" s="9"/>
      <c r="I23" s="9"/>
      <c r="J23" s="9"/>
      <c r="K23" s="9"/>
      <c r="L23" s="9"/>
    </row>
    <row r="24" spans="1:12" x14ac:dyDescent="0.25">
      <c r="A24" s="2">
        <v>1996</v>
      </c>
      <c r="B24">
        <v>127.1</v>
      </c>
      <c r="C24" s="9">
        <f t="shared" si="0"/>
        <v>127.4699999999998</v>
      </c>
      <c r="D24">
        <f t="shared" si="1"/>
        <v>128.12079999999969</v>
      </c>
      <c r="E24" s="9">
        <f t="shared" si="2"/>
        <v>-0.3699999999998056</v>
      </c>
      <c r="F24" s="9">
        <f t="shared" si="3"/>
        <v>-2.9068645994199116E-3</v>
      </c>
      <c r="G24" s="9"/>
      <c r="H24" s="9"/>
      <c r="I24" s="9"/>
      <c r="J24" s="9"/>
      <c r="K24" s="9"/>
      <c r="L24" s="9"/>
    </row>
    <row r="25" spans="1:12" x14ac:dyDescent="0.25">
      <c r="A25" s="2">
        <v>1995</v>
      </c>
      <c r="B25">
        <v>113.5</v>
      </c>
      <c r="C25" s="9">
        <f t="shared" si="0"/>
        <v>125.5625</v>
      </c>
      <c r="D25">
        <f t="shared" si="1"/>
        <v>126.20099999999957</v>
      </c>
      <c r="E25" s="9">
        <f t="shared" si="2"/>
        <v>-12.0625</v>
      </c>
      <c r="F25" s="9">
        <f t="shared" si="3"/>
        <v>-0.10100080565369574</v>
      </c>
      <c r="G25" s="9"/>
      <c r="H25" s="9"/>
      <c r="I25" s="9"/>
      <c r="J25" s="9"/>
      <c r="K25" s="9"/>
      <c r="L25" s="9"/>
    </row>
    <row r="26" spans="1:12" x14ac:dyDescent="0.25">
      <c r="A26" s="2">
        <v>1994</v>
      </c>
      <c r="B26">
        <v>138.6</v>
      </c>
      <c r="C26" s="9">
        <f t="shared" si="0"/>
        <v>123.65499999999975</v>
      </c>
      <c r="D26">
        <f t="shared" si="1"/>
        <v>124.2811999999999</v>
      </c>
      <c r="E26" s="9">
        <f t="shared" si="2"/>
        <v>14.945000000000249</v>
      </c>
      <c r="F26" s="9">
        <f t="shared" si="3"/>
        <v>0.11409665688938286</v>
      </c>
      <c r="G26" s="9"/>
      <c r="H26" s="9"/>
      <c r="I26" s="9"/>
      <c r="J26" s="9"/>
      <c r="K26" s="9"/>
      <c r="L26" s="9"/>
    </row>
    <row r="27" spans="1:12" x14ac:dyDescent="0.25">
      <c r="A27" s="2">
        <v>1993</v>
      </c>
      <c r="B27">
        <v>100.7</v>
      </c>
      <c r="C27" s="9">
        <f t="shared" si="0"/>
        <v>121.74749999999995</v>
      </c>
      <c r="D27">
        <f t="shared" si="1"/>
        <v>122.36139999999978</v>
      </c>
      <c r="E27" s="9">
        <f t="shared" si="2"/>
        <v>-21.047499999999943</v>
      </c>
      <c r="F27" s="9">
        <f t="shared" si="3"/>
        <v>-0.18980342814645557</v>
      </c>
      <c r="G27" s="9"/>
      <c r="H27" s="9"/>
      <c r="I27" s="9"/>
      <c r="J27" s="9"/>
      <c r="K27" s="9"/>
      <c r="L27" s="9"/>
    </row>
    <row r="28" spans="1:12" x14ac:dyDescent="0.25">
      <c r="A28" s="2">
        <v>1992</v>
      </c>
      <c r="B28">
        <v>131.5</v>
      </c>
      <c r="C28" s="9">
        <f t="shared" si="0"/>
        <v>119.83999999999969</v>
      </c>
      <c r="D28">
        <f t="shared" si="1"/>
        <v>120.44159999999965</v>
      </c>
      <c r="E28" s="9">
        <f t="shared" si="2"/>
        <v>11.660000000000309</v>
      </c>
      <c r="F28" s="9">
        <f t="shared" si="3"/>
        <v>9.2849331848912975E-2</v>
      </c>
      <c r="G28" s="9"/>
      <c r="H28" s="9"/>
      <c r="I28" s="9"/>
      <c r="J28" s="9"/>
      <c r="K28" s="9"/>
      <c r="L28" s="9"/>
    </row>
    <row r="29" spans="1:12" x14ac:dyDescent="0.25">
      <c r="A29" s="2">
        <v>1991</v>
      </c>
      <c r="B29">
        <v>108.6</v>
      </c>
      <c r="C29" s="9">
        <f t="shared" si="0"/>
        <v>117.93249999999989</v>
      </c>
      <c r="D29">
        <f t="shared" si="1"/>
        <v>118.52179999999953</v>
      </c>
      <c r="E29" s="9">
        <f t="shared" si="2"/>
        <v>-9.3324999999998965</v>
      </c>
      <c r="F29" s="9">
        <f t="shared" si="3"/>
        <v>-8.2441019393712622E-2</v>
      </c>
      <c r="G29" s="9"/>
      <c r="H29" s="9"/>
      <c r="I29" s="9"/>
      <c r="J29" s="9"/>
      <c r="K29" s="9"/>
      <c r="L29" s="9"/>
    </row>
    <row r="30" spans="1:12" x14ac:dyDescent="0.25">
      <c r="A30" s="2">
        <v>1990</v>
      </c>
      <c r="B30">
        <v>118.5</v>
      </c>
      <c r="C30" s="9">
        <f t="shared" si="0"/>
        <v>116.02499999999964</v>
      </c>
      <c r="D30">
        <f t="shared" si="1"/>
        <v>116.60199999999986</v>
      </c>
      <c r="E30" s="9">
        <f t="shared" si="2"/>
        <v>2.4750000000003638</v>
      </c>
      <c r="F30" s="9">
        <f t="shared" si="3"/>
        <v>2.1107275447949547E-2</v>
      </c>
      <c r="G30" s="9"/>
      <c r="H30" s="9"/>
      <c r="I30" s="9"/>
      <c r="J30" s="9"/>
      <c r="K30" s="9"/>
      <c r="L30" s="9"/>
    </row>
    <row r="31" spans="1:12" x14ac:dyDescent="0.25">
      <c r="A31" s="2">
        <v>1989</v>
      </c>
      <c r="B31">
        <v>116.3</v>
      </c>
      <c r="C31" s="9">
        <f t="shared" si="0"/>
        <v>114.11749999999984</v>
      </c>
      <c r="D31">
        <f t="shared" si="1"/>
        <v>114.68219999999974</v>
      </c>
      <c r="E31" s="9">
        <f t="shared" si="2"/>
        <v>2.1825000000001609</v>
      </c>
      <c r="F31" s="9">
        <f t="shared" si="3"/>
        <v>1.8944440184086808E-2</v>
      </c>
      <c r="G31" s="10"/>
      <c r="H31" s="10"/>
      <c r="I31" s="10"/>
      <c r="J31" s="11"/>
    </row>
    <row r="32" spans="1:12" x14ac:dyDescent="0.25">
      <c r="A32" s="2">
        <v>1988</v>
      </c>
      <c r="B32">
        <v>84.6</v>
      </c>
      <c r="C32" s="9">
        <f t="shared" si="0"/>
        <v>112.21000000000004</v>
      </c>
      <c r="D32">
        <f t="shared" si="1"/>
        <v>112.76239999999962</v>
      </c>
      <c r="E32" s="9">
        <f t="shared" si="2"/>
        <v>-27.610000000000042</v>
      </c>
      <c r="F32" s="9">
        <f t="shared" si="3"/>
        <v>-0.28243784906459712</v>
      </c>
    </row>
    <row r="33" spans="1:6" x14ac:dyDescent="0.25">
      <c r="A33" s="2">
        <v>1987</v>
      </c>
      <c r="B33">
        <v>119.8</v>
      </c>
      <c r="C33" s="9">
        <f t="shared" si="0"/>
        <v>110.30249999999978</v>
      </c>
      <c r="D33">
        <f t="shared" si="1"/>
        <v>110.84259999999995</v>
      </c>
      <c r="E33" s="9">
        <f t="shared" si="2"/>
        <v>9.4975000000002154</v>
      </c>
      <c r="F33" s="9">
        <f t="shared" si="3"/>
        <v>8.2597094220909106E-2</v>
      </c>
    </row>
    <row r="34" spans="1:6" x14ac:dyDescent="0.25">
      <c r="A34" s="2">
        <v>1986</v>
      </c>
      <c r="B34">
        <v>119.4</v>
      </c>
      <c r="C34" s="9">
        <f t="shared" si="0"/>
        <v>108.39499999999998</v>
      </c>
      <c r="D34">
        <f t="shared" si="1"/>
        <v>108.92279999999982</v>
      </c>
      <c r="E34" s="9">
        <f t="shared" si="2"/>
        <v>11.005000000000024</v>
      </c>
      <c r="F34" s="9">
        <f t="shared" si="3"/>
        <v>9.6697238478022918E-2</v>
      </c>
    </row>
    <row r="35" spans="1:6" x14ac:dyDescent="0.25">
      <c r="A35" s="2">
        <v>1985</v>
      </c>
      <c r="B35">
        <v>118</v>
      </c>
      <c r="C35" s="9">
        <f t="shared" si="0"/>
        <v>106.48749999999973</v>
      </c>
      <c r="D35">
        <f t="shared" si="1"/>
        <v>107.0029999999997</v>
      </c>
      <c r="E35" s="9">
        <f t="shared" si="2"/>
        <v>11.512500000000273</v>
      </c>
      <c r="F35" s="9">
        <f t="shared" si="3"/>
        <v>0.10265701709670871</v>
      </c>
    </row>
    <row r="36" spans="1:6" x14ac:dyDescent="0.25">
      <c r="A36" s="2">
        <v>1984</v>
      </c>
      <c r="B36">
        <v>106.7</v>
      </c>
      <c r="C36" s="9">
        <f t="shared" si="0"/>
        <v>104.57999999999993</v>
      </c>
      <c r="D36">
        <f t="shared" si="1"/>
        <v>105.08319999999958</v>
      </c>
      <c r="E36" s="9">
        <f t="shared" si="2"/>
        <v>2.1200000000000756</v>
      </c>
      <c r="F36" s="9">
        <f t="shared" si="3"/>
        <v>2.0068829547724043E-2</v>
      </c>
    </row>
    <row r="37" spans="1:6" x14ac:dyDescent="0.25">
      <c r="A37" s="2">
        <v>1983</v>
      </c>
      <c r="B37">
        <v>81.099999999999994</v>
      </c>
      <c r="C37" s="9">
        <f t="shared" si="0"/>
        <v>102.67249999999967</v>
      </c>
      <c r="D37">
        <f t="shared" si="1"/>
        <v>103.16339999999991</v>
      </c>
      <c r="E37" s="9">
        <f t="shared" si="2"/>
        <v>-21.572499999999678</v>
      </c>
      <c r="F37" s="9">
        <f t="shared" si="3"/>
        <v>-0.23586134975182116</v>
      </c>
    </row>
    <row r="38" spans="1:6" x14ac:dyDescent="0.25">
      <c r="A38" s="2">
        <v>1982</v>
      </c>
      <c r="B38">
        <v>113.2</v>
      </c>
      <c r="C38" s="9">
        <f t="shared" si="0"/>
        <v>100.76499999999987</v>
      </c>
      <c r="D38">
        <f t="shared" si="1"/>
        <v>101.24359999999979</v>
      </c>
      <c r="E38" s="9">
        <f t="shared" si="2"/>
        <v>12.43500000000013</v>
      </c>
      <c r="F38" s="9">
        <f t="shared" si="3"/>
        <v>0.11636509264963113</v>
      </c>
    </row>
    <row r="39" spans="1:6" x14ac:dyDescent="0.25">
      <c r="A39" s="2">
        <v>1981</v>
      </c>
      <c r="B39">
        <v>108.9</v>
      </c>
      <c r="C39" s="9">
        <f t="shared" si="0"/>
        <v>98.857500000000073</v>
      </c>
      <c r="D39">
        <f t="shared" si="1"/>
        <v>99.323799999999665</v>
      </c>
      <c r="E39" s="9">
        <f t="shared" si="2"/>
        <v>10.042499999999933</v>
      </c>
      <c r="F39" s="9">
        <f t="shared" si="3"/>
        <v>9.6750610666320291E-2</v>
      </c>
    </row>
    <row r="40" spans="1:6" x14ac:dyDescent="0.25">
      <c r="A40" s="2">
        <v>1980</v>
      </c>
      <c r="B40">
        <v>91</v>
      </c>
      <c r="C40" s="9">
        <f t="shared" si="0"/>
        <v>96.949999999999818</v>
      </c>
      <c r="D40">
        <f t="shared" si="1"/>
        <v>97.403999999999542</v>
      </c>
      <c r="E40" s="9">
        <f t="shared" si="2"/>
        <v>-5.9499999999998181</v>
      </c>
      <c r="F40" s="9">
        <f t="shared" si="3"/>
        <v>-6.3335875171809164E-2</v>
      </c>
    </row>
    <row r="41" spans="1:6" x14ac:dyDescent="0.25">
      <c r="A41" s="2">
        <v>1979</v>
      </c>
      <c r="B41">
        <v>109.5</v>
      </c>
      <c r="C41" s="9">
        <f t="shared" si="0"/>
        <v>95.042500000000018</v>
      </c>
      <c r="D41">
        <f t="shared" si="1"/>
        <v>95.484199999999873</v>
      </c>
      <c r="E41" s="9">
        <f t="shared" si="2"/>
        <v>14.457499999999982</v>
      </c>
      <c r="F41" s="9">
        <f t="shared" si="3"/>
        <v>0.14160038927437846</v>
      </c>
    </row>
    <row r="42" spans="1:6" x14ac:dyDescent="0.25">
      <c r="A42" s="2">
        <v>1978</v>
      </c>
      <c r="B42">
        <v>101</v>
      </c>
      <c r="C42" s="9">
        <f t="shared" si="0"/>
        <v>93.134999999999764</v>
      </c>
      <c r="D42">
        <f t="shared" si="1"/>
        <v>93.56439999999975</v>
      </c>
      <c r="E42" s="9">
        <f t="shared" si="2"/>
        <v>7.8650000000002365</v>
      </c>
      <c r="F42" s="9">
        <f t="shared" si="3"/>
        <v>8.1070463356295974E-2</v>
      </c>
    </row>
    <row r="43" spans="1:6" x14ac:dyDescent="0.25">
      <c r="A43" s="2">
        <v>1977</v>
      </c>
      <c r="B43">
        <v>90.8</v>
      </c>
      <c r="C43" s="9">
        <f t="shared" si="0"/>
        <v>91.227499999999964</v>
      </c>
      <c r="D43">
        <f t="shared" si="1"/>
        <v>91.644599999999627</v>
      </c>
      <c r="E43" s="9">
        <f t="shared" si="2"/>
        <v>-0.42749999999996646</v>
      </c>
      <c r="F43" s="9">
        <f t="shared" si="3"/>
        <v>-4.6971011081886616E-3</v>
      </c>
    </row>
    <row r="44" spans="1:6" x14ac:dyDescent="0.25">
      <c r="A44" s="2">
        <v>1976</v>
      </c>
      <c r="B44">
        <v>88</v>
      </c>
      <c r="C44" s="9">
        <f t="shared" si="0"/>
        <v>89.319999999999709</v>
      </c>
      <c r="D44">
        <f t="shared" si="1"/>
        <v>89.724799999999505</v>
      </c>
      <c r="E44" s="9">
        <f t="shared" si="2"/>
        <v>-1.319999999999709</v>
      </c>
      <c r="F44" s="9">
        <f t="shared" si="3"/>
        <v>-1.4888612493747289E-2</v>
      </c>
    </row>
    <row r="45" spans="1:6" x14ac:dyDescent="0.25">
      <c r="A45" s="2">
        <v>1975</v>
      </c>
      <c r="B45">
        <v>86.4</v>
      </c>
      <c r="C45" s="9">
        <f t="shared" si="0"/>
        <v>87.412499999999909</v>
      </c>
      <c r="D45">
        <f t="shared" si="1"/>
        <v>87.804999999999836</v>
      </c>
      <c r="E45" s="9">
        <f t="shared" si="2"/>
        <v>-1.0124999999999034</v>
      </c>
      <c r="F45" s="9">
        <f t="shared" si="3"/>
        <v>-1.165061721997418E-2</v>
      </c>
    </row>
    <row r="46" spans="1:6" x14ac:dyDescent="0.25">
      <c r="A46" s="2">
        <v>1974</v>
      </c>
      <c r="B46">
        <v>71.900000000000006</v>
      </c>
      <c r="C46" s="9">
        <f t="shared" si="0"/>
        <v>85.504999999999654</v>
      </c>
      <c r="D46">
        <f t="shared" si="1"/>
        <v>85.885199999999713</v>
      </c>
      <c r="E46" s="9">
        <f t="shared" si="2"/>
        <v>-13.604999999999649</v>
      </c>
      <c r="F46" s="9">
        <f t="shared" si="3"/>
        <v>-0.1732985890380121</v>
      </c>
    </row>
    <row r="47" spans="1:6" x14ac:dyDescent="0.25">
      <c r="A47" s="2">
        <v>1973</v>
      </c>
      <c r="B47">
        <v>91.3</v>
      </c>
      <c r="C47" s="9">
        <f t="shared" si="0"/>
        <v>83.597499999999854</v>
      </c>
      <c r="D47">
        <f t="shared" si="1"/>
        <v>83.96539999999959</v>
      </c>
      <c r="E47" s="9">
        <f t="shared" si="2"/>
        <v>7.7025000000001427</v>
      </c>
      <c r="F47" s="9">
        <f t="shared" si="3"/>
        <v>8.8137172263631491E-2</v>
      </c>
    </row>
    <row r="48" spans="1:6" x14ac:dyDescent="0.25">
      <c r="A48" s="2">
        <v>1972</v>
      </c>
      <c r="B48">
        <v>97</v>
      </c>
      <c r="C48" s="9">
        <f t="shared" si="0"/>
        <v>81.690000000000055</v>
      </c>
      <c r="D48">
        <f t="shared" si="1"/>
        <v>82.045599999999922</v>
      </c>
      <c r="E48" s="9">
        <f t="shared" si="2"/>
        <v>15.309999999999945</v>
      </c>
      <c r="F48" s="9">
        <f t="shared" si="3"/>
        <v>0.17177938314960439</v>
      </c>
    </row>
    <row r="49" spans="1:6" x14ac:dyDescent="0.25">
      <c r="A49" s="2">
        <v>1971</v>
      </c>
      <c r="B49">
        <v>88.1</v>
      </c>
      <c r="C49" s="9">
        <f t="shared" si="0"/>
        <v>79.7824999999998</v>
      </c>
      <c r="D49">
        <f t="shared" si="1"/>
        <v>80.125799999999799</v>
      </c>
      <c r="E49" s="9">
        <f t="shared" si="2"/>
        <v>8.3175000000001944</v>
      </c>
      <c r="F49" s="9">
        <f t="shared" si="3"/>
        <v>9.9168350781363657E-2</v>
      </c>
    </row>
    <row r="50" spans="1:6" x14ac:dyDescent="0.25">
      <c r="A50" s="2">
        <v>1970</v>
      </c>
      <c r="B50">
        <v>72.400000000000006</v>
      </c>
      <c r="C50" s="9">
        <f t="shared" si="0"/>
        <v>77.875</v>
      </c>
      <c r="D50">
        <f t="shared" si="1"/>
        <v>78.205999999999676</v>
      </c>
      <c r="E50" s="9">
        <f t="shared" si="2"/>
        <v>-5.4749999999999943</v>
      </c>
      <c r="F50" s="9">
        <f t="shared" si="3"/>
        <v>-7.2898677715945936E-2</v>
      </c>
    </row>
    <row r="51" spans="1:6" x14ac:dyDescent="0.25">
      <c r="A51" s="2">
        <v>1969</v>
      </c>
      <c r="B51">
        <v>85.9</v>
      </c>
      <c r="C51" s="9">
        <f t="shared" si="0"/>
        <v>75.967499999999745</v>
      </c>
      <c r="D51">
        <f t="shared" si="1"/>
        <v>76.286199999999553</v>
      </c>
      <c r="E51" s="9">
        <f t="shared" si="2"/>
        <v>9.9325000000002603</v>
      </c>
      <c r="F51" s="9">
        <f t="shared" si="3"/>
        <v>0.12287821174328872</v>
      </c>
    </row>
    <row r="52" spans="1:6" x14ac:dyDescent="0.25">
      <c r="A52" s="2">
        <v>1968</v>
      </c>
      <c r="B52">
        <v>79.5</v>
      </c>
      <c r="C52" s="9">
        <f t="shared" si="0"/>
        <v>74.059999999999945</v>
      </c>
      <c r="D52">
        <f t="shared" si="1"/>
        <v>74.366399999999885</v>
      </c>
      <c r="E52" s="9">
        <f t="shared" si="2"/>
        <v>5.4400000000000546</v>
      </c>
      <c r="F52" s="9">
        <f t="shared" si="3"/>
        <v>7.0881446174820617E-2</v>
      </c>
    </row>
    <row r="53" spans="1:6" x14ac:dyDescent="0.25">
      <c r="A53" s="2">
        <v>1967</v>
      </c>
      <c r="B53">
        <v>80.099999999999994</v>
      </c>
      <c r="C53" s="9">
        <f t="shared" si="0"/>
        <v>72.152499999999691</v>
      </c>
      <c r="D53">
        <f t="shared" si="1"/>
        <v>72.446599999999762</v>
      </c>
      <c r="E53" s="9">
        <f t="shared" si="2"/>
        <v>7.9475000000003035</v>
      </c>
      <c r="F53" s="9">
        <f t="shared" si="3"/>
        <v>0.10449391942008646</v>
      </c>
    </row>
    <row r="54" spans="1:6" x14ac:dyDescent="0.25">
      <c r="A54" s="2">
        <v>1966</v>
      </c>
      <c r="B54">
        <v>73.099999999999994</v>
      </c>
      <c r="C54" s="9">
        <f t="shared" si="0"/>
        <v>70.244999999999891</v>
      </c>
      <c r="D54">
        <f t="shared" si="1"/>
        <v>70.526799999999639</v>
      </c>
      <c r="E54" s="9">
        <f t="shared" si="2"/>
        <v>2.8550000000001035</v>
      </c>
      <c r="F54" s="9">
        <f t="shared" si="3"/>
        <v>3.9839235452119759E-2</v>
      </c>
    </row>
    <row r="55" spans="1:6" x14ac:dyDescent="0.25">
      <c r="A55" s="2">
        <v>1965</v>
      </c>
      <c r="B55">
        <v>74.099999999999994</v>
      </c>
      <c r="C55" s="9">
        <f t="shared" si="0"/>
        <v>68.337499999999636</v>
      </c>
      <c r="D55">
        <f t="shared" si="1"/>
        <v>68.606999999999516</v>
      </c>
      <c r="E55" s="9">
        <f t="shared" si="2"/>
        <v>5.7625000000003581</v>
      </c>
      <c r="F55" s="9">
        <f t="shared" si="3"/>
        <v>8.0956868080929389E-2</v>
      </c>
    </row>
    <row r="56" spans="1:6" x14ac:dyDescent="0.25">
      <c r="A56" s="2">
        <v>1964</v>
      </c>
      <c r="B56">
        <v>62.9</v>
      </c>
      <c r="C56" s="9">
        <f t="shared" si="0"/>
        <v>66.429999999999836</v>
      </c>
      <c r="D56">
        <f t="shared" si="1"/>
        <v>66.687199999999848</v>
      </c>
      <c r="E56" s="9">
        <f t="shared" si="2"/>
        <v>-3.5299999999998377</v>
      </c>
      <c r="F56" s="9">
        <f t="shared" si="3"/>
        <v>-5.4602597970752065E-2</v>
      </c>
    </row>
    <row r="57" spans="1:6" x14ac:dyDescent="0.25">
      <c r="A57" s="2">
        <v>1963</v>
      </c>
      <c r="B57">
        <v>67.900000000000006</v>
      </c>
      <c r="C57" s="9">
        <f t="shared" si="0"/>
        <v>64.522500000000036</v>
      </c>
      <c r="D57">
        <f t="shared" si="1"/>
        <v>64.767399999999725</v>
      </c>
      <c r="E57" s="9">
        <f t="shared" si="2"/>
        <v>3.3774999999999693</v>
      </c>
      <c r="F57" s="9">
        <f t="shared" si="3"/>
        <v>5.1022034383174208E-2</v>
      </c>
    </row>
    <row r="58" spans="1:6" x14ac:dyDescent="0.25">
      <c r="A58" s="2">
        <v>1962</v>
      </c>
      <c r="B58">
        <v>64.7</v>
      </c>
      <c r="C58" s="9">
        <f t="shared" si="0"/>
        <v>62.614999999999782</v>
      </c>
      <c r="D58">
        <f t="shared" si="1"/>
        <v>62.847599999999602</v>
      </c>
      <c r="E58" s="9">
        <f t="shared" si="2"/>
        <v>2.0850000000002211</v>
      </c>
      <c r="F58" s="9">
        <f t="shared" si="3"/>
        <v>3.2756335490862654E-2</v>
      </c>
    </row>
    <row r="59" spans="1:6" x14ac:dyDescent="0.25">
      <c r="A59" s="2">
        <v>1961</v>
      </c>
      <c r="B59">
        <v>62.4</v>
      </c>
      <c r="C59" s="9">
        <f t="shared" si="0"/>
        <v>60.707499999999982</v>
      </c>
      <c r="D59">
        <f t="shared" si="1"/>
        <v>60.927799999999934</v>
      </c>
      <c r="E59" s="9">
        <f t="shared" si="2"/>
        <v>1.6925000000000168</v>
      </c>
      <c r="F59" s="9">
        <f t="shared" si="3"/>
        <v>2.7498026458300906E-2</v>
      </c>
    </row>
    <row r="60" spans="1:6" x14ac:dyDescent="0.25">
      <c r="A60" s="2">
        <v>1960</v>
      </c>
      <c r="B60">
        <v>54.7</v>
      </c>
      <c r="C60" s="9">
        <f t="shared" si="0"/>
        <v>58.799999999999727</v>
      </c>
      <c r="D60">
        <f t="shared" si="1"/>
        <v>59.007999999999811</v>
      </c>
      <c r="E60" s="9">
        <f t="shared" si="2"/>
        <v>-4.0999999999997243</v>
      </c>
      <c r="F60" s="9">
        <f t="shared" si="3"/>
        <v>-7.2278145476641242E-2</v>
      </c>
    </row>
    <row r="61" spans="1:6" x14ac:dyDescent="0.25">
      <c r="A61" s="2">
        <v>1959</v>
      </c>
      <c r="B61">
        <v>53.1</v>
      </c>
      <c r="C61" s="9">
        <f t="shared" si="0"/>
        <v>56.892499999999927</v>
      </c>
      <c r="D61">
        <f t="shared" si="1"/>
        <v>57.088199999999688</v>
      </c>
      <c r="E61" s="9">
        <f t="shared" si="2"/>
        <v>-3.7924999999999258</v>
      </c>
      <c r="F61" s="9">
        <f t="shared" si="3"/>
        <v>-6.8986594003341839E-2</v>
      </c>
    </row>
    <row r="62" spans="1:6" x14ac:dyDescent="0.25">
      <c r="A62" s="2">
        <v>1958</v>
      </c>
      <c r="B62">
        <v>52.8</v>
      </c>
      <c r="C62" s="9">
        <f t="shared" si="0"/>
        <v>54.984999999999673</v>
      </c>
      <c r="D62">
        <f t="shared" si="1"/>
        <v>55.168399999999565</v>
      </c>
      <c r="E62" s="9">
        <f t="shared" si="2"/>
        <v>-2.1849999999996754</v>
      </c>
      <c r="F62" s="9">
        <f t="shared" si="3"/>
        <v>-4.0549230050676233E-2</v>
      </c>
    </row>
    <row r="63" spans="1:6" x14ac:dyDescent="0.25">
      <c r="A63" s="2">
        <v>1957</v>
      </c>
      <c r="B63">
        <v>48.3</v>
      </c>
      <c r="C63" s="9">
        <f t="shared" si="0"/>
        <v>53.077499999999873</v>
      </c>
      <c r="D63">
        <f t="shared" si="1"/>
        <v>53.248599999999897</v>
      </c>
      <c r="E63" s="9">
        <f t="shared" si="2"/>
        <v>-4.7774999999998755</v>
      </c>
      <c r="F63" s="9">
        <f t="shared" si="3"/>
        <v>-9.4321548977383429E-2</v>
      </c>
    </row>
    <row r="64" spans="1:6" x14ac:dyDescent="0.25">
      <c r="A64" s="2">
        <v>1956</v>
      </c>
      <c r="B64">
        <v>47.4</v>
      </c>
      <c r="C64" s="9">
        <f t="shared" si="0"/>
        <v>51.170000000000073</v>
      </c>
      <c r="D64">
        <f t="shared" si="1"/>
        <v>51.328799999999774</v>
      </c>
      <c r="E64" s="9">
        <f t="shared" si="2"/>
        <v>-3.7700000000000742</v>
      </c>
      <c r="F64" s="9">
        <f t="shared" si="3"/>
        <v>-7.653119411597098E-2</v>
      </c>
    </row>
    <row r="65" spans="1:6" x14ac:dyDescent="0.25">
      <c r="A65" s="2">
        <v>1955</v>
      </c>
      <c r="B65">
        <v>42</v>
      </c>
      <c r="C65" s="9">
        <f t="shared" si="0"/>
        <v>49.262499999999818</v>
      </c>
      <c r="D65">
        <f t="shared" si="1"/>
        <v>49.408999999999651</v>
      </c>
      <c r="E65" s="9">
        <f t="shared" si="2"/>
        <v>-7.2624999999998181</v>
      </c>
      <c r="F65" s="9">
        <f t="shared" si="3"/>
        <v>-0.15949352423774998</v>
      </c>
    </row>
    <row r="66" spans="1:6" x14ac:dyDescent="0.25">
      <c r="A66" s="2">
        <v>1954</v>
      </c>
      <c r="B66">
        <v>39.4</v>
      </c>
      <c r="C66" s="9">
        <f t="shared" si="0"/>
        <v>47.355000000000018</v>
      </c>
      <c r="D66">
        <f t="shared" si="1"/>
        <v>47.489199999999528</v>
      </c>
      <c r="E66" s="9">
        <f t="shared" si="2"/>
        <v>-7.9550000000000196</v>
      </c>
      <c r="F66" s="9">
        <f t="shared" si="3"/>
        <v>-0.18390659437417689</v>
      </c>
    </row>
    <row r="67" spans="1:6" x14ac:dyDescent="0.25">
      <c r="A67" s="2">
        <v>1953</v>
      </c>
      <c r="B67">
        <v>40.700000000000003</v>
      </c>
      <c r="C67" s="9">
        <f t="shared" si="0"/>
        <v>45.447499999999764</v>
      </c>
      <c r="D67">
        <f t="shared" si="1"/>
        <v>45.56939999999986</v>
      </c>
      <c r="E67" s="9">
        <f t="shared" si="2"/>
        <v>-4.7474999999997607</v>
      </c>
      <c r="F67" s="9">
        <f t="shared" si="3"/>
        <v>-0.11032972116152484</v>
      </c>
    </row>
    <row r="68" spans="1:6" x14ac:dyDescent="0.25">
      <c r="A68" s="2">
        <v>1952</v>
      </c>
      <c r="B68">
        <v>41.8</v>
      </c>
      <c r="C68" s="9">
        <f t="shared" si="0"/>
        <v>43.539999999999964</v>
      </c>
      <c r="D68">
        <f t="shared" si="1"/>
        <v>43.649599999999737</v>
      </c>
      <c r="E68" s="9">
        <f t="shared" si="2"/>
        <v>-1.7399999999999665</v>
      </c>
      <c r="F68" s="9">
        <f t="shared" si="3"/>
        <v>-4.0783716275690107E-2</v>
      </c>
    </row>
    <row r="69" spans="1:6" x14ac:dyDescent="0.25">
      <c r="A69" s="2">
        <v>1951</v>
      </c>
      <c r="B69">
        <v>36.9</v>
      </c>
      <c r="C69" s="9">
        <f t="shared" ref="C69:C132" si="4">1.9075*A69-3679.9</f>
        <v>41.632499999999709</v>
      </c>
      <c r="D69">
        <f t="shared" ref="D69:D132" si="5">1.9198*A69-3703.8</f>
        <v>41.729799999999614</v>
      </c>
      <c r="E69" s="9">
        <f t="shared" si="2"/>
        <v>-4.7324999999997104</v>
      </c>
      <c r="F69" s="9">
        <f t="shared" si="3"/>
        <v>-0.12066956120380024</v>
      </c>
    </row>
    <row r="70" spans="1:6" x14ac:dyDescent="0.25">
      <c r="A70" s="2">
        <v>1950</v>
      </c>
      <c r="B70">
        <v>38.200000000000003</v>
      </c>
      <c r="C70" s="9">
        <f t="shared" si="4"/>
        <v>39.724999999999909</v>
      </c>
      <c r="D70">
        <f t="shared" si="5"/>
        <v>39.809999999999945</v>
      </c>
      <c r="E70" s="9">
        <f t="shared" ref="E70:E133" si="6">B70-C70</f>
        <v>-1.5249999999999062</v>
      </c>
      <c r="F70" s="9">
        <f t="shared" ref="F70:F133" si="7">LN(B70)-LN(C70)</f>
        <v>-3.9145196810248084E-2</v>
      </c>
    </row>
    <row r="71" spans="1:6" x14ac:dyDescent="0.25">
      <c r="A71" s="2">
        <v>1949</v>
      </c>
      <c r="B71">
        <v>38.200000000000003</v>
      </c>
      <c r="C71" s="9">
        <f t="shared" si="4"/>
        <v>37.817499999999654</v>
      </c>
      <c r="D71">
        <f t="shared" si="5"/>
        <v>37.890199999999822</v>
      </c>
      <c r="E71" s="9">
        <f t="shared" si="6"/>
        <v>0.38250000000034845</v>
      </c>
      <c r="F71" s="9">
        <f t="shared" si="7"/>
        <v>1.0063557158321412E-2</v>
      </c>
    </row>
    <row r="72" spans="1:6" x14ac:dyDescent="0.25">
      <c r="A72" s="2">
        <v>1948</v>
      </c>
      <c r="B72">
        <v>43</v>
      </c>
      <c r="C72" s="9">
        <f t="shared" si="4"/>
        <v>35.909999999999854</v>
      </c>
      <c r="D72">
        <f t="shared" si="5"/>
        <v>35.9703999999997</v>
      </c>
      <c r="E72" s="9">
        <f t="shared" si="6"/>
        <v>7.0900000000001455</v>
      </c>
      <c r="F72" s="9">
        <f t="shared" si="7"/>
        <v>0.1801843074555749</v>
      </c>
    </row>
    <row r="73" spans="1:6" x14ac:dyDescent="0.25">
      <c r="A73" s="2">
        <v>1947</v>
      </c>
      <c r="B73">
        <v>28.6</v>
      </c>
      <c r="C73" s="9">
        <f t="shared" si="4"/>
        <v>34.002500000000055</v>
      </c>
      <c r="D73">
        <f t="shared" si="5"/>
        <v>34.050599999999577</v>
      </c>
      <c r="E73" s="9">
        <f t="shared" si="6"/>
        <v>-5.4025000000000531</v>
      </c>
      <c r="F73" s="9">
        <f t="shared" si="7"/>
        <v>-0.17302733349896604</v>
      </c>
    </row>
    <row r="74" spans="1:6" x14ac:dyDescent="0.25">
      <c r="A74" s="2">
        <v>1946</v>
      </c>
      <c r="B74">
        <v>37.200000000000003</v>
      </c>
      <c r="C74" s="9">
        <f t="shared" si="4"/>
        <v>32.0949999999998</v>
      </c>
      <c r="D74">
        <f t="shared" si="5"/>
        <v>32.130799999999908</v>
      </c>
      <c r="E74" s="9">
        <f t="shared" si="6"/>
        <v>5.1050000000002029</v>
      </c>
      <c r="F74" s="9">
        <f t="shared" si="7"/>
        <v>0.14760850651536606</v>
      </c>
    </row>
    <row r="75" spans="1:6" x14ac:dyDescent="0.25">
      <c r="A75" s="2">
        <v>1945</v>
      </c>
      <c r="B75">
        <v>33.1</v>
      </c>
      <c r="C75" s="9">
        <f t="shared" si="4"/>
        <v>30.1875</v>
      </c>
      <c r="D75">
        <f t="shared" si="5"/>
        <v>30.210999999999785</v>
      </c>
      <c r="E75" s="9">
        <f t="shared" si="6"/>
        <v>2.9125000000000014</v>
      </c>
      <c r="F75" s="9">
        <f t="shared" si="7"/>
        <v>9.2105350970225874E-2</v>
      </c>
    </row>
    <row r="76" spans="1:6" x14ac:dyDescent="0.25">
      <c r="A76" s="2">
        <v>1944</v>
      </c>
      <c r="B76">
        <v>33</v>
      </c>
      <c r="C76" s="9">
        <f t="shared" si="4"/>
        <v>28.279999999999745</v>
      </c>
      <c r="D76">
        <f t="shared" si="5"/>
        <v>28.291199999999662</v>
      </c>
      <c r="E76" s="9">
        <f t="shared" si="6"/>
        <v>4.7200000000002547</v>
      </c>
      <c r="F76" s="9">
        <f t="shared" si="7"/>
        <v>0.15435272043811743</v>
      </c>
    </row>
    <row r="77" spans="1:6" x14ac:dyDescent="0.25">
      <c r="A77" s="2">
        <v>1943</v>
      </c>
      <c r="B77">
        <v>32.6</v>
      </c>
      <c r="C77" s="9">
        <f t="shared" si="4"/>
        <v>26.372499999999945</v>
      </c>
      <c r="D77">
        <f t="shared" si="5"/>
        <v>26.371399999999539</v>
      </c>
      <c r="E77" s="9">
        <f t="shared" si="6"/>
        <v>6.227500000000056</v>
      </c>
      <c r="F77" s="9">
        <f t="shared" si="7"/>
        <v>0.211990487798837</v>
      </c>
    </row>
    <row r="78" spans="1:6" x14ac:dyDescent="0.25">
      <c r="A78" s="2">
        <v>1942</v>
      </c>
      <c r="B78">
        <v>35.4</v>
      </c>
      <c r="C78" s="9">
        <f t="shared" si="4"/>
        <v>24.464999999999691</v>
      </c>
      <c r="D78">
        <f t="shared" si="5"/>
        <v>24.451599999999871</v>
      </c>
      <c r="E78" s="9">
        <f t="shared" si="6"/>
        <v>10.935000000000308</v>
      </c>
      <c r="F78" s="9">
        <f t="shared" si="7"/>
        <v>0.36946829539865433</v>
      </c>
    </row>
    <row r="79" spans="1:6" x14ac:dyDescent="0.25">
      <c r="A79" s="2">
        <v>1941</v>
      </c>
      <c r="B79">
        <v>31.2</v>
      </c>
      <c r="C79" s="9">
        <f t="shared" si="4"/>
        <v>22.557499999999891</v>
      </c>
      <c r="D79">
        <f t="shared" si="5"/>
        <v>22.531799999999748</v>
      </c>
      <c r="E79" s="9">
        <f t="shared" si="6"/>
        <v>8.6425000000001084</v>
      </c>
      <c r="F79" s="9">
        <f t="shared" si="7"/>
        <v>0.32435048992892268</v>
      </c>
    </row>
    <row r="80" spans="1:6" x14ac:dyDescent="0.25">
      <c r="A80" s="2">
        <v>1940</v>
      </c>
      <c r="B80">
        <v>28.9</v>
      </c>
      <c r="C80" s="9">
        <f t="shared" si="4"/>
        <v>20.649999999999636</v>
      </c>
      <c r="D80">
        <f t="shared" si="5"/>
        <v>20.611999999999625</v>
      </c>
      <c r="E80" s="9">
        <f t="shared" si="6"/>
        <v>8.2500000000003624</v>
      </c>
      <c r="F80" s="9">
        <f t="shared" si="7"/>
        <v>0.33612627571136233</v>
      </c>
    </row>
    <row r="81" spans="1:6" x14ac:dyDescent="0.25">
      <c r="A81" s="2">
        <v>1939</v>
      </c>
      <c r="B81">
        <v>29.9</v>
      </c>
      <c r="C81" s="9">
        <f t="shared" si="4"/>
        <v>18.742499999999836</v>
      </c>
      <c r="D81">
        <f t="shared" si="5"/>
        <v>18.692199999999502</v>
      </c>
      <c r="E81" s="9">
        <f t="shared" si="6"/>
        <v>11.157500000000162</v>
      </c>
      <c r="F81" s="9">
        <f t="shared" si="7"/>
        <v>0.46706480800156935</v>
      </c>
    </row>
    <row r="82" spans="1:6" x14ac:dyDescent="0.25">
      <c r="A82" s="2">
        <v>1938</v>
      </c>
      <c r="B82">
        <v>27.8</v>
      </c>
      <c r="C82" s="9">
        <f t="shared" si="4"/>
        <v>16.835000000000036</v>
      </c>
      <c r="D82">
        <f t="shared" si="5"/>
        <v>16.772399999999834</v>
      </c>
      <c r="E82" s="9">
        <f t="shared" si="6"/>
        <v>10.964999999999964</v>
      </c>
      <c r="F82" s="9">
        <f t="shared" si="7"/>
        <v>0.50157596808355143</v>
      </c>
    </row>
    <row r="83" spans="1:6" x14ac:dyDescent="0.25">
      <c r="A83" s="2">
        <v>1937</v>
      </c>
      <c r="B83">
        <v>28.9</v>
      </c>
      <c r="C83" s="9">
        <f t="shared" si="4"/>
        <v>14.927499999999782</v>
      </c>
      <c r="D83">
        <f t="shared" si="5"/>
        <v>14.852599999999711</v>
      </c>
      <c r="E83" s="9">
        <f t="shared" si="6"/>
        <v>13.972500000000217</v>
      </c>
      <c r="F83" s="9">
        <f t="shared" si="7"/>
        <v>0.6606364456793905</v>
      </c>
    </row>
    <row r="84" spans="1:6" x14ac:dyDescent="0.25">
      <c r="A84" s="2">
        <v>1936</v>
      </c>
      <c r="B84">
        <v>18.600000000000001</v>
      </c>
      <c r="C84" s="9">
        <f t="shared" si="4"/>
        <v>13.019999999999982</v>
      </c>
      <c r="D84">
        <f t="shared" si="5"/>
        <v>12.932799999999588</v>
      </c>
      <c r="E84" s="9">
        <f t="shared" si="6"/>
        <v>5.5800000000000196</v>
      </c>
      <c r="F84" s="9">
        <f t="shared" si="7"/>
        <v>0.35667494393873378</v>
      </c>
    </row>
    <row r="85" spans="1:6" x14ac:dyDescent="0.25">
      <c r="A85" s="2">
        <v>1935</v>
      </c>
      <c r="B85">
        <v>24.2</v>
      </c>
      <c r="C85" s="9">
        <f t="shared" si="4"/>
        <v>11.112499999999727</v>
      </c>
      <c r="D85">
        <f t="shared" si="5"/>
        <v>11.01299999999992</v>
      </c>
      <c r="E85" s="9">
        <f t="shared" si="6"/>
        <v>13.087500000000272</v>
      </c>
      <c r="F85" s="9">
        <f t="shared" si="7"/>
        <v>0.77828203232264226</v>
      </c>
    </row>
    <row r="86" spans="1:6" x14ac:dyDescent="0.25">
      <c r="A86" s="2">
        <v>1934</v>
      </c>
      <c r="B86">
        <v>18.7</v>
      </c>
      <c r="C86" s="9">
        <f t="shared" si="4"/>
        <v>9.2049999999999272</v>
      </c>
      <c r="D86">
        <f t="shared" si="5"/>
        <v>9.093199999999797</v>
      </c>
      <c r="E86" s="9">
        <f t="shared" si="6"/>
        <v>9.495000000000072</v>
      </c>
      <c r="F86" s="9">
        <f t="shared" si="7"/>
        <v>0.7087767091755075</v>
      </c>
    </row>
    <row r="87" spans="1:6" x14ac:dyDescent="0.25">
      <c r="A87" s="2">
        <v>1933</v>
      </c>
      <c r="B87">
        <v>22.8</v>
      </c>
      <c r="C87" s="9">
        <f t="shared" si="4"/>
        <v>7.2974999999996726</v>
      </c>
      <c r="D87">
        <f t="shared" si="5"/>
        <v>7.173399999999674</v>
      </c>
      <c r="E87" s="9">
        <f t="shared" si="6"/>
        <v>15.502500000000328</v>
      </c>
      <c r="F87" s="9">
        <f t="shared" si="7"/>
        <v>1.1392287122143072</v>
      </c>
    </row>
    <row r="88" spans="1:6" x14ac:dyDescent="0.25">
      <c r="A88" s="2">
        <v>1932</v>
      </c>
      <c r="B88">
        <v>26.5</v>
      </c>
      <c r="C88" s="9">
        <f t="shared" si="4"/>
        <v>5.3899999999998727</v>
      </c>
      <c r="D88">
        <f t="shared" si="5"/>
        <v>5.2535999999995511</v>
      </c>
      <c r="E88" s="9">
        <f t="shared" si="6"/>
        <v>21.110000000000127</v>
      </c>
      <c r="F88" s="9">
        <f t="shared" si="7"/>
        <v>1.5925993480712943</v>
      </c>
    </row>
    <row r="89" spans="1:6" x14ac:dyDescent="0.25">
      <c r="A89" s="2">
        <v>1931</v>
      </c>
      <c r="B89">
        <v>24.5</v>
      </c>
      <c r="C89" s="9">
        <f t="shared" si="4"/>
        <v>3.4825000000000728</v>
      </c>
      <c r="D89">
        <f t="shared" si="5"/>
        <v>3.3337999999998829</v>
      </c>
      <c r="E89" s="9">
        <f t="shared" si="6"/>
        <v>21.017499999999927</v>
      </c>
      <c r="F89" s="9">
        <f t="shared" si="7"/>
        <v>1.9509226908788369</v>
      </c>
    </row>
    <row r="90" spans="1:6" x14ac:dyDescent="0.25">
      <c r="A90" s="2">
        <v>1930</v>
      </c>
      <c r="B90">
        <v>20.5</v>
      </c>
      <c r="C90" s="9">
        <f t="shared" si="4"/>
        <v>1.5749999999998181</v>
      </c>
      <c r="D90">
        <f t="shared" si="5"/>
        <v>1.4139999999997599</v>
      </c>
      <c r="E90" s="9">
        <f t="shared" si="6"/>
        <v>18.925000000000182</v>
      </c>
      <c r="F90" s="9">
        <f t="shared" si="7"/>
        <v>2.5661696138668817</v>
      </c>
    </row>
    <row r="91" spans="1:6" x14ac:dyDescent="0.25">
      <c r="A91" s="2">
        <v>1929</v>
      </c>
      <c r="B91">
        <v>25.7</v>
      </c>
      <c r="C91" s="9">
        <f t="shared" si="4"/>
        <v>-0.33249999999998181</v>
      </c>
      <c r="D91">
        <f t="shared" si="5"/>
        <v>-0.50580000000036307</v>
      </c>
      <c r="E91" s="9">
        <f t="shared" si="6"/>
        <v>26.032499999999981</v>
      </c>
      <c r="F91" s="9" t="e">
        <f t="shared" si="7"/>
        <v>#NUM!</v>
      </c>
    </row>
    <row r="92" spans="1:6" x14ac:dyDescent="0.25">
      <c r="A92" s="2">
        <v>1928</v>
      </c>
      <c r="B92">
        <v>26.3</v>
      </c>
      <c r="C92" s="9">
        <f t="shared" si="4"/>
        <v>-2.2400000000002365</v>
      </c>
      <c r="D92">
        <f t="shared" si="5"/>
        <v>-2.425600000000486</v>
      </c>
      <c r="E92" s="9">
        <f t="shared" si="6"/>
        <v>28.540000000000237</v>
      </c>
      <c r="F92" s="9" t="e">
        <f t="shared" si="7"/>
        <v>#NUM!</v>
      </c>
    </row>
    <row r="93" spans="1:6" x14ac:dyDescent="0.25">
      <c r="A93" s="2">
        <v>1927</v>
      </c>
      <c r="B93">
        <v>26.4</v>
      </c>
      <c r="C93" s="9">
        <f t="shared" si="4"/>
        <v>-4.1475000000000364</v>
      </c>
      <c r="D93">
        <f t="shared" si="5"/>
        <v>-4.3454000000001543</v>
      </c>
      <c r="E93" s="9">
        <f t="shared" si="6"/>
        <v>30.547500000000035</v>
      </c>
      <c r="F93" s="9" t="e">
        <f t="shared" si="7"/>
        <v>#NUM!</v>
      </c>
    </row>
    <row r="94" spans="1:6" x14ac:dyDescent="0.25">
      <c r="A94" s="2">
        <v>1926</v>
      </c>
      <c r="B94">
        <v>25.7</v>
      </c>
      <c r="C94" s="9">
        <f t="shared" si="4"/>
        <v>-6.055000000000291</v>
      </c>
      <c r="D94">
        <f t="shared" si="5"/>
        <v>-6.2652000000002772</v>
      </c>
      <c r="E94" s="9">
        <f t="shared" si="6"/>
        <v>31.75500000000029</v>
      </c>
      <c r="F94" s="9" t="e">
        <f t="shared" si="7"/>
        <v>#NUM!</v>
      </c>
    </row>
    <row r="95" spans="1:6" x14ac:dyDescent="0.25">
      <c r="A95" s="2">
        <v>1925</v>
      </c>
      <c r="B95">
        <v>27.4</v>
      </c>
      <c r="C95" s="9">
        <f t="shared" si="4"/>
        <v>-7.9625000000000909</v>
      </c>
      <c r="D95">
        <f t="shared" si="5"/>
        <v>-8.1850000000004002</v>
      </c>
      <c r="E95" s="9">
        <f t="shared" si="6"/>
        <v>35.36250000000009</v>
      </c>
      <c r="F95" s="9" t="e">
        <f t="shared" si="7"/>
        <v>#NUM!</v>
      </c>
    </row>
    <row r="96" spans="1:6" x14ac:dyDescent="0.25">
      <c r="A96" s="2">
        <v>1924</v>
      </c>
      <c r="B96">
        <v>22.1</v>
      </c>
      <c r="C96" s="9">
        <f t="shared" si="4"/>
        <v>-9.8700000000003456</v>
      </c>
      <c r="D96">
        <f t="shared" si="5"/>
        <v>-10.104800000000068</v>
      </c>
      <c r="E96" s="9">
        <f t="shared" si="6"/>
        <v>31.970000000000347</v>
      </c>
      <c r="F96" s="9" t="e">
        <f t="shared" si="7"/>
        <v>#NUM!</v>
      </c>
    </row>
    <row r="97" spans="1:6" x14ac:dyDescent="0.25">
      <c r="A97" s="2">
        <v>1923</v>
      </c>
      <c r="B97">
        <v>27.8</v>
      </c>
      <c r="C97" s="9">
        <f t="shared" si="4"/>
        <v>-11.777500000000146</v>
      </c>
      <c r="D97">
        <f t="shared" si="5"/>
        <v>-12.024600000000191</v>
      </c>
      <c r="E97" s="9">
        <f t="shared" si="6"/>
        <v>39.577500000000143</v>
      </c>
      <c r="F97" s="9" t="e">
        <f t="shared" si="7"/>
        <v>#NUM!</v>
      </c>
    </row>
    <row r="98" spans="1:6" x14ac:dyDescent="0.25">
      <c r="A98" s="2">
        <v>1922</v>
      </c>
      <c r="B98">
        <v>26.3</v>
      </c>
      <c r="C98" s="9">
        <f t="shared" si="4"/>
        <v>-13.684999999999945</v>
      </c>
      <c r="D98">
        <f t="shared" si="5"/>
        <v>-13.944400000000314</v>
      </c>
      <c r="E98" s="9">
        <f t="shared" si="6"/>
        <v>39.984999999999943</v>
      </c>
      <c r="F98" s="9" t="e">
        <f t="shared" si="7"/>
        <v>#NUM!</v>
      </c>
    </row>
    <row r="99" spans="1:6" x14ac:dyDescent="0.25">
      <c r="A99" s="2">
        <v>1921</v>
      </c>
      <c r="B99">
        <v>27.8</v>
      </c>
      <c r="C99" s="9">
        <f t="shared" si="4"/>
        <v>-15.5925000000002</v>
      </c>
      <c r="D99">
        <f t="shared" si="5"/>
        <v>-15.864200000000437</v>
      </c>
      <c r="E99" s="9">
        <f t="shared" si="6"/>
        <v>43.392500000000197</v>
      </c>
      <c r="F99" s="9" t="e">
        <f t="shared" si="7"/>
        <v>#NUM!</v>
      </c>
    </row>
    <row r="100" spans="1:6" x14ac:dyDescent="0.25">
      <c r="A100" s="2">
        <v>1920</v>
      </c>
      <c r="B100">
        <v>29.9</v>
      </c>
      <c r="C100" s="9">
        <f t="shared" si="4"/>
        <v>-17.5</v>
      </c>
      <c r="D100">
        <f t="shared" si="5"/>
        <v>-17.784000000000106</v>
      </c>
      <c r="E100" s="9">
        <f t="shared" si="6"/>
        <v>47.4</v>
      </c>
      <c r="F100" s="9" t="e">
        <f t="shared" si="7"/>
        <v>#NUM!</v>
      </c>
    </row>
    <row r="101" spans="1:6" x14ac:dyDescent="0.25">
      <c r="A101" s="2">
        <v>1919</v>
      </c>
      <c r="B101">
        <v>26.8</v>
      </c>
      <c r="C101" s="9">
        <f t="shared" si="4"/>
        <v>-19.407500000000255</v>
      </c>
      <c r="D101">
        <f t="shared" si="5"/>
        <v>-19.703800000000228</v>
      </c>
      <c r="E101" s="9">
        <f t="shared" si="6"/>
        <v>46.207500000000252</v>
      </c>
      <c r="F101" s="9" t="e">
        <f t="shared" si="7"/>
        <v>#NUM!</v>
      </c>
    </row>
    <row r="102" spans="1:6" x14ac:dyDescent="0.25">
      <c r="A102" s="2">
        <v>1918</v>
      </c>
      <c r="B102">
        <v>23.9</v>
      </c>
      <c r="C102" s="9">
        <f t="shared" si="4"/>
        <v>-21.315000000000055</v>
      </c>
      <c r="D102">
        <f t="shared" si="5"/>
        <v>-21.623600000000351</v>
      </c>
      <c r="E102" s="9">
        <f t="shared" si="6"/>
        <v>45.215000000000053</v>
      </c>
      <c r="F102" s="9" t="e">
        <f t="shared" si="7"/>
        <v>#NUM!</v>
      </c>
    </row>
    <row r="103" spans="1:6" x14ac:dyDescent="0.25">
      <c r="A103" s="2">
        <v>1917</v>
      </c>
      <c r="B103">
        <v>26.2</v>
      </c>
      <c r="C103" s="9">
        <f t="shared" si="4"/>
        <v>-23.222500000000309</v>
      </c>
      <c r="D103">
        <f t="shared" si="5"/>
        <v>-23.543400000000474</v>
      </c>
      <c r="E103" s="9">
        <f t="shared" si="6"/>
        <v>49.422500000000312</v>
      </c>
      <c r="F103" s="9" t="e">
        <f t="shared" si="7"/>
        <v>#NUM!</v>
      </c>
    </row>
    <row r="104" spans="1:6" x14ac:dyDescent="0.25">
      <c r="A104" s="2">
        <v>1916</v>
      </c>
      <c r="B104">
        <v>24.1</v>
      </c>
      <c r="C104" s="9">
        <f t="shared" si="4"/>
        <v>-25.130000000000109</v>
      </c>
      <c r="D104">
        <f t="shared" si="5"/>
        <v>-25.463200000000143</v>
      </c>
      <c r="E104" s="9">
        <f t="shared" si="6"/>
        <v>49.230000000000111</v>
      </c>
      <c r="F104" s="9" t="e">
        <f t="shared" si="7"/>
        <v>#NUM!</v>
      </c>
    </row>
    <row r="105" spans="1:6" x14ac:dyDescent="0.25">
      <c r="A105" s="2">
        <v>1915</v>
      </c>
      <c r="B105">
        <v>28.1</v>
      </c>
      <c r="C105" s="9">
        <f t="shared" si="4"/>
        <v>-27.037500000000364</v>
      </c>
      <c r="D105">
        <f t="shared" si="5"/>
        <v>-27.383000000000266</v>
      </c>
      <c r="E105" s="9">
        <f t="shared" si="6"/>
        <v>55.137500000000365</v>
      </c>
      <c r="F105" s="9" t="e">
        <f t="shared" si="7"/>
        <v>#NUM!</v>
      </c>
    </row>
    <row r="106" spans="1:6" x14ac:dyDescent="0.25">
      <c r="A106" s="2">
        <v>1914</v>
      </c>
      <c r="B106">
        <v>25.8</v>
      </c>
      <c r="C106" s="9">
        <f t="shared" si="4"/>
        <v>-28.945000000000164</v>
      </c>
      <c r="D106">
        <f t="shared" si="5"/>
        <v>-29.302800000000389</v>
      </c>
      <c r="E106" s="9">
        <f t="shared" si="6"/>
        <v>54.745000000000161</v>
      </c>
      <c r="F106" s="9" t="e">
        <f t="shared" si="7"/>
        <v>#NUM!</v>
      </c>
    </row>
    <row r="107" spans="1:6" x14ac:dyDescent="0.25">
      <c r="A107" s="2">
        <v>1913</v>
      </c>
      <c r="B107">
        <v>22.7</v>
      </c>
      <c r="C107" s="9">
        <f t="shared" si="4"/>
        <v>-30.852499999999964</v>
      </c>
      <c r="D107">
        <f t="shared" si="5"/>
        <v>-31.222600000000057</v>
      </c>
      <c r="E107" s="9">
        <f t="shared" si="6"/>
        <v>53.552499999999966</v>
      </c>
      <c r="F107" s="9" t="e">
        <f t="shared" si="7"/>
        <v>#NUM!</v>
      </c>
    </row>
    <row r="108" spans="1:6" x14ac:dyDescent="0.25">
      <c r="A108" s="2">
        <v>1912</v>
      </c>
      <c r="B108">
        <v>29.1</v>
      </c>
      <c r="C108" s="9">
        <f t="shared" si="4"/>
        <v>-32.760000000000218</v>
      </c>
      <c r="D108">
        <f t="shared" si="5"/>
        <v>-33.14240000000018</v>
      </c>
      <c r="E108" s="9">
        <f t="shared" si="6"/>
        <v>61.86000000000022</v>
      </c>
      <c r="F108" s="9" t="e">
        <f t="shared" si="7"/>
        <v>#NUM!</v>
      </c>
    </row>
    <row r="109" spans="1:6" x14ac:dyDescent="0.25">
      <c r="A109" s="2">
        <v>1911</v>
      </c>
      <c r="B109">
        <v>24.4</v>
      </c>
      <c r="C109" s="9">
        <f t="shared" si="4"/>
        <v>-34.667500000000018</v>
      </c>
      <c r="D109">
        <f t="shared" si="5"/>
        <v>-35.062200000000303</v>
      </c>
      <c r="E109" s="9">
        <f t="shared" si="6"/>
        <v>59.067500000000017</v>
      </c>
      <c r="F109" s="9" t="e">
        <f t="shared" si="7"/>
        <v>#NUM!</v>
      </c>
    </row>
    <row r="110" spans="1:6" x14ac:dyDescent="0.25">
      <c r="A110" s="2">
        <v>1910</v>
      </c>
      <c r="B110">
        <v>27.9</v>
      </c>
      <c r="C110" s="9">
        <f t="shared" si="4"/>
        <v>-36.575000000000273</v>
      </c>
      <c r="D110">
        <f t="shared" si="5"/>
        <v>-36.982000000000426</v>
      </c>
      <c r="E110" s="9">
        <f t="shared" si="6"/>
        <v>64.475000000000279</v>
      </c>
      <c r="F110" s="9" t="e">
        <f t="shared" si="7"/>
        <v>#NUM!</v>
      </c>
    </row>
    <row r="111" spans="1:6" x14ac:dyDescent="0.25">
      <c r="A111" s="2">
        <v>1909</v>
      </c>
      <c r="B111">
        <v>26.1</v>
      </c>
      <c r="C111" s="9">
        <f t="shared" si="4"/>
        <v>-38.482500000000073</v>
      </c>
      <c r="D111">
        <f t="shared" si="5"/>
        <v>-38.901800000000094</v>
      </c>
      <c r="E111" s="9">
        <f t="shared" si="6"/>
        <v>64.582500000000067</v>
      </c>
      <c r="F111" s="9" t="e">
        <f t="shared" si="7"/>
        <v>#NUM!</v>
      </c>
    </row>
    <row r="112" spans="1:6" x14ac:dyDescent="0.25">
      <c r="A112" s="2">
        <v>1908</v>
      </c>
      <c r="B112">
        <v>26.9</v>
      </c>
      <c r="C112" s="9">
        <f t="shared" si="4"/>
        <v>-40.390000000000327</v>
      </c>
      <c r="D112">
        <f t="shared" si="5"/>
        <v>-40.821600000000217</v>
      </c>
      <c r="E112" s="9">
        <f t="shared" si="6"/>
        <v>67.290000000000333</v>
      </c>
      <c r="F112" s="9" t="e">
        <f t="shared" si="7"/>
        <v>#NUM!</v>
      </c>
    </row>
    <row r="113" spans="1:6" x14ac:dyDescent="0.25">
      <c r="A113" s="2">
        <v>1907</v>
      </c>
      <c r="B113">
        <v>27.2</v>
      </c>
      <c r="C113" s="9">
        <f t="shared" si="4"/>
        <v>-42.297500000000127</v>
      </c>
      <c r="D113">
        <f t="shared" si="5"/>
        <v>-42.74140000000034</v>
      </c>
      <c r="E113" s="9">
        <f t="shared" si="6"/>
        <v>69.49750000000013</v>
      </c>
      <c r="F113" s="9" t="e">
        <f t="shared" si="7"/>
        <v>#NUM!</v>
      </c>
    </row>
    <row r="114" spans="1:6" x14ac:dyDescent="0.25">
      <c r="A114" s="2">
        <v>1906</v>
      </c>
      <c r="B114">
        <v>31.7</v>
      </c>
      <c r="C114" s="9">
        <f t="shared" si="4"/>
        <v>-44.204999999999927</v>
      </c>
      <c r="D114">
        <f t="shared" si="5"/>
        <v>-44.661200000000463</v>
      </c>
      <c r="E114" s="9">
        <f t="shared" si="6"/>
        <v>75.90499999999993</v>
      </c>
      <c r="F114" s="9" t="e">
        <f t="shared" si="7"/>
        <v>#NUM!</v>
      </c>
    </row>
    <row r="115" spans="1:6" x14ac:dyDescent="0.25">
      <c r="A115" s="2">
        <v>1905</v>
      </c>
      <c r="B115">
        <v>30.9</v>
      </c>
      <c r="C115" s="9">
        <f t="shared" si="4"/>
        <v>-46.112500000000182</v>
      </c>
      <c r="D115">
        <f t="shared" si="5"/>
        <v>-46.581000000000131</v>
      </c>
      <c r="E115" s="9">
        <f t="shared" si="6"/>
        <v>77.012500000000188</v>
      </c>
      <c r="F115" s="9" t="e">
        <f t="shared" si="7"/>
        <v>#NUM!</v>
      </c>
    </row>
    <row r="116" spans="1:6" x14ac:dyDescent="0.25">
      <c r="A116" s="2">
        <v>1904</v>
      </c>
      <c r="B116">
        <v>28.2</v>
      </c>
      <c r="C116" s="9">
        <f t="shared" si="4"/>
        <v>-48.019999999999982</v>
      </c>
      <c r="D116">
        <f t="shared" si="5"/>
        <v>-48.500800000000254</v>
      </c>
      <c r="E116" s="9">
        <f t="shared" si="6"/>
        <v>76.219999999999985</v>
      </c>
      <c r="F116" s="9" t="e">
        <f t="shared" si="7"/>
        <v>#NUM!</v>
      </c>
    </row>
    <row r="117" spans="1:6" x14ac:dyDescent="0.25">
      <c r="A117" s="2">
        <v>1903</v>
      </c>
      <c r="B117">
        <v>26.9</v>
      </c>
      <c r="C117" s="9">
        <f t="shared" si="4"/>
        <v>-49.927500000000236</v>
      </c>
      <c r="D117">
        <f t="shared" si="5"/>
        <v>-50.420600000000377</v>
      </c>
      <c r="E117" s="9">
        <f t="shared" si="6"/>
        <v>76.827500000000242</v>
      </c>
      <c r="F117" s="9" t="e">
        <f t="shared" si="7"/>
        <v>#NUM!</v>
      </c>
    </row>
    <row r="118" spans="1:6" x14ac:dyDescent="0.25">
      <c r="A118" s="2">
        <v>1902</v>
      </c>
      <c r="B118">
        <v>28.5</v>
      </c>
      <c r="C118" s="9">
        <f t="shared" si="4"/>
        <v>-51.835000000000036</v>
      </c>
      <c r="D118">
        <f t="shared" si="5"/>
        <v>-52.3404000000005</v>
      </c>
      <c r="E118" s="9">
        <f t="shared" si="6"/>
        <v>80.335000000000036</v>
      </c>
      <c r="F118" s="9" t="e">
        <f t="shared" si="7"/>
        <v>#NUM!</v>
      </c>
    </row>
    <row r="119" spans="1:6" x14ac:dyDescent="0.25">
      <c r="A119" s="2">
        <v>1901</v>
      </c>
      <c r="B119">
        <v>18.2</v>
      </c>
      <c r="C119" s="9">
        <f t="shared" si="4"/>
        <v>-53.742500000000291</v>
      </c>
      <c r="D119">
        <f t="shared" si="5"/>
        <v>-54.260200000000168</v>
      </c>
      <c r="E119" s="9">
        <f t="shared" si="6"/>
        <v>71.942500000000294</v>
      </c>
      <c r="F119" s="9" t="e">
        <f t="shared" si="7"/>
        <v>#NUM!</v>
      </c>
    </row>
    <row r="120" spans="1:6" x14ac:dyDescent="0.25">
      <c r="A120" s="2">
        <v>1900</v>
      </c>
      <c r="B120">
        <v>28.1</v>
      </c>
      <c r="C120" s="9">
        <f t="shared" si="4"/>
        <v>-55.650000000000091</v>
      </c>
      <c r="D120">
        <f t="shared" si="5"/>
        <v>-56.180000000000291</v>
      </c>
      <c r="E120" s="9">
        <f t="shared" si="6"/>
        <v>83.750000000000085</v>
      </c>
      <c r="F120" s="9" t="e">
        <f t="shared" si="7"/>
        <v>#NUM!</v>
      </c>
    </row>
    <row r="121" spans="1:6" x14ac:dyDescent="0.25">
      <c r="A121" s="2">
        <v>1899</v>
      </c>
      <c r="B121">
        <v>28</v>
      </c>
      <c r="C121" s="9">
        <f t="shared" si="4"/>
        <v>-57.557500000000346</v>
      </c>
      <c r="D121">
        <f t="shared" si="5"/>
        <v>-58.099800000000414</v>
      </c>
      <c r="E121" s="9">
        <f t="shared" si="6"/>
        <v>85.557500000000346</v>
      </c>
      <c r="F121" s="9" t="e">
        <f t="shared" si="7"/>
        <v>#NUM!</v>
      </c>
    </row>
    <row r="122" spans="1:6" x14ac:dyDescent="0.25">
      <c r="A122" s="2">
        <v>1898</v>
      </c>
      <c r="B122">
        <v>26.8</v>
      </c>
      <c r="C122" s="9">
        <f t="shared" si="4"/>
        <v>-59.465000000000146</v>
      </c>
      <c r="D122">
        <f t="shared" si="5"/>
        <v>-60.019600000000082</v>
      </c>
      <c r="E122" s="9">
        <f t="shared" si="6"/>
        <v>86.265000000000143</v>
      </c>
      <c r="F122" s="9" t="e">
        <f t="shared" si="7"/>
        <v>#NUM!</v>
      </c>
    </row>
    <row r="123" spans="1:6" x14ac:dyDescent="0.25">
      <c r="A123" s="2">
        <v>1897</v>
      </c>
      <c r="B123">
        <v>25.4</v>
      </c>
      <c r="C123" s="9">
        <f t="shared" si="4"/>
        <v>-61.372499999999945</v>
      </c>
      <c r="D123">
        <f t="shared" si="5"/>
        <v>-61.939400000000205</v>
      </c>
      <c r="E123" s="9">
        <f t="shared" si="6"/>
        <v>86.772499999999951</v>
      </c>
      <c r="F123" s="9" t="e">
        <f t="shared" si="7"/>
        <v>#NUM!</v>
      </c>
    </row>
    <row r="124" spans="1:6" x14ac:dyDescent="0.25">
      <c r="A124" s="2">
        <v>1896</v>
      </c>
      <c r="B124">
        <v>30</v>
      </c>
      <c r="C124" s="9">
        <f t="shared" si="4"/>
        <v>-63.2800000000002</v>
      </c>
      <c r="D124">
        <f t="shared" si="5"/>
        <v>-63.859200000000328</v>
      </c>
      <c r="E124" s="9">
        <f t="shared" si="6"/>
        <v>93.2800000000002</v>
      </c>
      <c r="F124" s="9" t="e">
        <f t="shared" si="7"/>
        <v>#NUM!</v>
      </c>
    </row>
    <row r="125" spans="1:6" x14ac:dyDescent="0.25">
      <c r="A125" s="2">
        <v>1895</v>
      </c>
      <c r="B125">
        <v>28</v>
      </c>
      <c r="C125" s="9">
        <f t="shared" si="4"/>
        <v>-65.1875</v>
      </c>
      <c r="D125">
        <f t="shared" si="5"/>
        <v>-65.779000000000451</v>
      </c>
      <c r="E125" s="9">
        <f t="shared" si="6"/>
        <v>93.1875</v>
      </c>
      <c r="F125" s="9" t="e">
        <f t="shared" si="7"/>
        <v>#NUM!</v>
      </c>
    </row>
    <row r="126" spans="1:6" x14ac:dyDescent="0.25">
      <c r="A126" s="2">
        <v>1894</v>
      </c>
      <c r="B126">
        <v>20.2</v>
      </c>
      <c r="C126" s="9">
        <f t="shared" si="4"/>
        <v>-67.095000000000255</v>
      </c>
      <c r="D126">
        <f t="shared" si="5"/>
        <v>-67.698800000000119</v>
      </c>
      <c r="E126" s="9">
        <f t="shared" si="6"/>
        <v>87.295000000000258</v>
      </c>
      <c r="F126" s="9" t="e">
        <f t="shared" si="7"/>
        <v>#NUM!</v>
      </c>
    </row>
    <row r="127" spans="1:6" x14ac:dyDescent="0.25">
      <c r="A127" s="2">
        <v>1893</v>
      </c>
      <c r="B127">
        <v>23.8</v>
      </c>
      <c r="C127" s="9">
        <f t="shared" si="4"/>
        <v>-69.002500000000055</v>
      </c>
      <c r="D127">
        <f t="shared" si="5"/>
        <v>-69.618600000000242</v>
      </c>
      <c r="E127" s="9">
        <f t="shared" si="6"/>
        <v>92.802500000000052</v>
      </c>
      <c r="F127" s="9" t="e">
        <f t="shared" si="7"/>
        <v>#NUM!</v>
      </c>
    </row>
    <row r="128" spans="1:6" x14ac:dyDescent="0.25">
      <c r="A128" s="2">
        <v>1892</v>
      </c>
      <c r="B128">
        <v>24.7</v>
      </c>
      <c r="C128" s="9">
        <f t="shared" si="4"/>
        <v>-70.910000000000309</v>
      </c>
      <c r="D128">
        <f t="shared" si="5"/>
        <v>-71.538400000000365</v>
      </c>
      <c r="E128" s="9">
        <f t="shared" si="6"/>
        <v>95.610000000000312</v>
      </c>
      <c r="F128" s="9" t="e">
        <f t="shared" si="7"/>
        <v>#NUM!</v>
      </c>
    </row>
    <row r="129" spans="1:6" x14ac:dyDescent="0.25">
      <c r="A129" s="2">
        <v>1891</v>
      </c>
      <c r="B129">
        <v>29.6</v>
      </c>
      <c r="C129" s="9">
        <f t="shared" si="4"/>
        <v>-72.817500000000109</v>
      </c>
      <c r="D129">
        <f t="shared" si="5"/>
        <v>-73.458200000000488</v>
      </c>
      <c r="E129" s="9">
        <f t="shared" si="6"/>
        <v>102.4175000000001</v>
      </c>
      <c r="F129" s="9" t="e">
        <f t="shared" si="7"/>
        <v>#NUM!</v>
      </c>
    </row>
    <row r="130" spans="1:6" x14ac:dyDescent="0.25">
      <c r="A130" s="2">
        <v>1890</v>
      </c>
      <c r="B130">
        <v>22.1</v>
      </c>
      <c r="C130" s="9">
        <f t="shared" si="4"/>
        <v>-74.725000000000364</v>
      </c>
      <c r="D130">
        <f t="shared" si="5"/>
        <v>-75.378000000000156</v>
      </c>
      <c r="E130" s="9">
        <f t="shared" si="6"/>
        <v>96.825000000000358</v>
      </c>
      <c r="F130" s="9" t="e">
        <f t="shared" si="7"/>
        <v>#NUM!</v>
      </c>
    </row>
    <row r="131" spans="1:6" x14ac:dyDescent="0.25">
      <c r="A131" s="2">
        <v>1889</v>
      </c>
      <c r="B131">
        <v>29.5</v>
      </c>
      <c r="C131" s="9">
        <f t="shared" si="4"/>
        <v>-76.632500000000164</v>
      </c>
      <c r="D131">
        <f t="shared" si="5"/>
        <v>-77.297800000000279</v>
      </c>
      <c r="E131" s="9">
        <f t="shared" si="6"/>
        <v>106.13250000000016</v>
      </c>
      <c r="F131" s="9" t="e">
        <f t="shared" si="7"/>
        <v>#NUM!</v>
      </c>
    </row>
    <row r="132" spans="1:6" x14ac:dyDescent="0.25">
      <c r="A132" s="2">
        <v>1888</v>
      </c>
      <c r="B132">
        <v>29.1</v>
      </c>
      <c r="C132" s="9">
        <f t="shared" si="4"/>
        <v>-78.539999999999964</v>
      </c>
      <c r="D132">
        <f t="shared" si="5"/>
        <v>-79.217600000000402</v>
      </c>
      <c r="E132" s="9">
        <f t="shared" si="6"/>
        <v>107.63999999999996</v>
      </c>
      <c r="F132" s="9" t="e">
        <f t="shared" si="7"/>
        <v>#NUM!</v>
      </c>
    </row>
    <row r="133" spans="1:6" x14ac:dyDescent="0.25">
      <c r="A133" s="2">
        <v>1887</v>
      </c>
      <c r="B133">
        <v>21.9</v>
      </c>
      <c r="C133" s="9">
        <f t="shared" ref="C133:C154" si="8">1.9075*A133-3679.9</f>
        <v>-80.447500000000218</v>
      </c>
      <c r="D133">
        <f t="shared" ref="D133:D154" si="9">1.9198*A133-3703.8</f>
        <v>-81.137400000000071</v>
      </c>
      <c r="E133" s="9">
        <f t="shared" si="6"/>
        <v>102.34750000000022</v>
      </c>
      <c r="F133" s="9" t="e">
        <f t="shared" si="7"/>
        <v>#NUM!</v>
      </c>
    </row>
    <row r="134" spans="1:6" x14ac:dyDescent="0.25">
      <c r="A134" s="2">
        <v>1886</v>
      </c>
      <c r="B134">
        <v>24.1</v>
      </c>
      <c r="C134" s="9">
        <f t="shared" si="8"/>
        <v>-82.355000000000018</v>
      </c>
      <c r="D134">
        <f t="shared" si="9"/>
        <v>-83.057200000000194</v>
      </c>
      <c r="E134" s="9">
        <f t="shared" ref="E134:E154" si="10">B134-C134</f>
        <v>106.45500000000001</v>
      </c>
      <c r="F134" s="9" t="e">
        <f t="shared" ref="F134:F154" si="11">LN(B134)-LN(C134)</f>
        <v>#NUM!</v>
      </c>
    </row>
    <row r="135" spans="1:6" x14ac:dyDescent="0.25">
      <c r="A135" s="2">
        <v>1885</v>
      </c>
      <c r="B135">
        <v>28.6</v>
      </c>
      <c r="C135" s="9">
        <f t="shared" si="8"/>
        <v>-84.262500000000273</v>
      </c>
      <c r="D135">
        <f t="shared" si="9"/>
        <v>-84.977000000000317</v>
      </c>
      <c r="E135" s="9">
        <f t="shared" si="10"/>
        <v>112.86250000000027</v>
      </c>
      <c r="F135" s="9" t="e">
        <f t="shared" si="11"/>
        <v>#NUM!</v>
      </c>
    </row>
    <row r="136" spans="1:6" x14ac:dyDescent="0.25">
      <c r="A136" s="2">
        <v>1884</v>
      </c>
      <c r="B136">
        <v>28.3</v>
      </c>
      <c r="C136" s="9">
        <f t="shared" si="8"/>
        <v>-86.170000000000073</v>
      </c>
      <c r="D136">
        <f t="shared" si="9"/>
        <v>-86.896800000000439</v>
      </c>
      <c r="E136" s="9">
        <f t="shared" si="10"/>
        <v>114.47000000000007</v>
      </c>
      <c r="F136" s="9" t="e">
        <f t="shared" si="11"/>
        <v>#NUM!</v>
      </c>
    </row>
    <row r="137" spans="1:6" x14ac:dyDescent="0.25">
      <c r="A137" s="2">
        <v>1883</v>
      </c>
      <c r="B137">
        <v>24.2</v>
      </c>
      <c r="C137" s="9">
        <f t="shared" si="8"/>
        <v>-88.077500000000327</v>
      </c>
      <c r="D137">
        <f t="shared" si="9"/>
        <v>-88.816600000000108</v>
      </c>
      <c r="E137" s="9">
        <f t="shared" si="10"/>
        <v>112.27750000000033</v>
      </c>
      <c r="F137" s="9" t="e">
        <f t="shared" si="11"/>
        <v>#NUM!</v>
      </c>
    </row>
    <row r="138" spans="1:6" x14ac:dyDescent="0.25">
      <c r="A138" s="2">
        <v>1882</v>
      </c>
      <c r="B138">
        <v>26.5</v>
      </c>
      <c r="C138" s="9">
        <f t="shared" si="8"/>
        <v>-89.985000000000127</v>
      </c>
      <c r="D138">
        <f t="shared" si="9"/>
        <v>-90.736400000000231</v>
      </c>
      <c r="E138" s="9">
        <f t="shared" si="10"/>
        <v>116.48500000000013</v>
      </c>
      <c r="F138" s="9" t="e">
        <f t="shared" si="11"/>
        <v>#NUM!</v>
      </c>
    </row>
    <row r="139" spans="1:6" x14ac:dyDescent="0.25">
      <c r="A139" s="2">
        <v>1881</v>
      </c>
      <c r="B139">
        <v>19.8</v>
      </c>
      <c r="C139" s="9">
        <f t="shared" si="8"/>
        <v>-91.892499999999927</v>
      </c>
      <c r="D139">
        <f t="shared" si="9"/>
        <v>-92.656200000000354</v>
      </c>
      <c r="E139" s="9">
        <f t="shared" si="10"/>
        <v>111.69249999999992</v>
      </c>
      <c r="F139" s="9" t="e">
        <f t="shared" si="11"/>
        <v>#NUM!</v>
      </c>
    </row>
    <row r="140" spans="1:6" x14ac:dyDescent="0.25">
      <c r="A140" s="2">
        <v>1880</v>
      </c>
      <c r="B140">
        <v>27.3</v>
      </c>
      <c r="C140" s="9">
        <f t="shared" si="8"/>
        <v>-93.800000000000182</v>
      </c>
      <c r="D140">
        <f t="shared" si="9"/>
        <v>-94.576000000000477</v>
      </c>
      <c r="E140" s="9">
        <f t="shared" si="10"/>
        <v>121.10000000000018</v>
      </c>
      <c r="F140" s="9" t="e">
        <f t="shared" si="11"/>
        <v>#NUM!</v>
      </c>
    </row>
    <row r="141" spans="1:6" x14ac:dyDescent="0.25">
      <c r="A141" s="2">
        <v>1879</v>
      </c>
      <c r="B141">
        <v>28.2</v>
      </c>
      <c r="C141" s="9">
        <f t="shared" si="8"/>
        <v>-95.707499999999982</v>
      </c>
      <c r="D141">
        <f t="shared" si="9"/>
        <v>-96.495800000000145</v>
      </c>
      <c r="E141" s="9">
        <f t="shared" si="10"/>
        <v>123.90749999999998</v>
      </c>
      <c r="F141" s="9" t="e">
        <f t="shared" si="11"/>
        <v>#NUM!</v>
      </c>
    </row>
    <row r="142" spans="1:6" x14ac:dyDescent="0.25">
      <c r="A142" s="2">
        <v>1878</v>
      </c>
      <c r="B142">
        <v>26.2</v>
      </c>
      <c r="C142" s="9">
        <f t="shared" si="8"/>
        <v>-97.615000000000236</v>
      </c>
      <c r="D142">
        <f t="shared" si="9"/>
        <v>-98.415600000000268</v>
      </c>
      <c r="E142" s="9">
        <f t="shared" si="10"/>
        <v>123.81500000000024</v>
      </c>
      <c r="F142" s="9" t="e">
        <f t="shared" si="11"/>
        <v>#NUM!</v>
      </c>
    </row>
    <row r="143" spans="1:6" x14ac:dyDescent="0.25">
      <c r="A143" s="2">
        <v>1877</v>
      </c>
      <c r="B143">
        <v>25.8</v>
      </c>
      <c r="C143" s="9">
        <f t="shared" si="8"/>
        <v>-99.522500000000036</v>
      </c>
      <c r="D143">
        <f t="shared" si="9"/>
        <v>-100.33540000000039</v>
      </c>
      <c r="E143" s="9">
        <f t="shared" si="10"/>
        <v>125.32250000000003</v>
      </c>
      <c r="F143" s="9" t="e">
        <f t="shared" si="11"/>
        <v>#NUM!</v>
      </c>
    </row>
    <row r="144" spans="1:6" x14ac:dyDescent="0.25">
      <c r="A144" s="2">
        <v>1876</v>
      </c>
      <c r="B144">
        <v>26.7</v>
      </c>
      <c r="C144" s="9">
        <f t="shared" si="8"/>
        <v>-101.43000000000029</v>
      </c>
      <c r="D144">
        <f t="shared" si="9"/>
        <v>-102.25520000000006</v>
      </c>
      <c r="E144" s="9">
        <f t="shared" si="10"/>
        <v>128.13000000000028</v>
      </c>
      <c r="F144" s="9" t="e">
        <f t="shared" si="11"/>
        <v>#NUM!</v>
      </c>
    </row>
    <row r="145" spans="1:6" x14ac:dyDescent="0.25">
      <c r="A145" s="2">
        <v>1875</v>
      </c>
      <c r="B145">
        <v>27.7</v>
      </c>
      <c r="C145" s="9">
        <f t="shared" si="8"/>
        <v>-103.33750000000009</v>
      </c>
      <c r="D145">
        <f t="shared" si="9"/>
        <v>-104.17500000000018</v>
      </c>
      <c r="E145" s="9">
        <f t="shared" si="10"/>
        <v>131.03750000000008</v>
      </c>
      <c r="F145" s="9" t="e">
        <f t="shared" si="11"/>
        <v>#NUM!</v>
      </c>
    </row>
    <row r="146" spans="1:6" x14ac:dyDescent="0.25">
      <c r="A146" s="2">
        <v>1874</v>
      </c>
      <c r="B146">
        <v>22.2</v>
      </c>
      <c r="C146" s="9">
        <f t="shared" si="8"/>
        <v>-105.24500000000035</v>
      </c>
      <c r="D146">
        <f t="shared" si="9"/>
        <v>-106.0948000000003</v>
      </c>
      <c r="E146" s="9">
        <f t="shared" si="10"/>
        <v>127.44500000000035</v>
      </c>
      <c r="F146" s="9" t="e">
        <f t="shared" si="11"/>
        <v>#NUM!</v>
      </c>
    </row>
    <row r="147" spans="1:6" x14ac:dyDescent="0.25">
      <c r="A147" s="2">
        <v>1873</v>
      </c>
      <c r="B147">
        <v>22.9</v>
      </c>
      <c r="C147" s="9">
        <f t="shared" si="8"/>
        <v>-107.15250000000015</v>
      </c>
      <c r="D147">
        <f t="shared" si="9"/>
        <v>-108.01460000000043</v>
      </c>
      <c r="E147" s="9">
        <f t="shared" si="10"/>
        <v>130.05250000000015</v>
      </c>
      <c r="F147" s="9" t="e">
        <f t="shared" si="11"/>
        <v>#NUM!</v>
      </c>
    </row>
    <row r="148" spans="1:6" x14ac:dyDescent="0.25">
      <c r="A148" s="2">
        <v>1872</v>
      </c>
      <c r="B148">
        <v>29.4</v>
      </c>
      <c r="C148" s="9">
        <f t="shared" si="8"/>
        <v>-109.05999999999995</v>
      </c>
      <c r="D148">
        <f t="shared" si="9"/>
        <v>-109.9344000000001</v>
      </c>
      <c r="E148" s="9">
        <f t="shared" si="10"/>
        <v>138.45999999999995</v>
      </c>
      <c r="F148" s="9" t="e">
        <f t="shared" si="11"/>
        <v>#NUM!</v>
      </c>
    </row>
    <row r="149" spans="1:6" x14ac:dyDescent="0.25">
      <c r="A149" s="2">
        <v>1871</v>
      </c>
      <c r="B149">
        <v>27.2</v>
      </c>
      <c r="C149" s="9">
        <f t="shared" si="8"/>
        <v>-110.9675000000002</v>
      </c>
      <c r="D149">
        <f t="shared" si="9"/>
        <v>-111.85420000000022</v>
      </c>
      <c r="E149" s="9">
        <f t="shared" si="10"/>
        <v>138.16750000000019</v>
      </c>
      <c r="F149" s="9" t="e">
        <f t="shared" si="11"/>
        <v>#NUM!</v>
      </c>
    </row>
    <row r="150" spans="1:6" x14ac:dyDescent="0.25">
      <c r="A150" s="2">
        <v>1870</v>
      </c>
      <c r="B150">
        <v>29.3</v>
      </c>
      <c r="C150" s="9">
        <f t="shared" si="8"/>
        <v>-112.875</v>
      </c>
      <c r="D150">
        <f t="shared" si="9"/>
        <v>-113.77400000000034</v>
      </c>
      <c r="E150" s="9">
        <f t="shared" si="10"/>
        <v>142.17500000000001</v>
      </c>
      <c r="F150" s="9" t="e">
        <f t="shared" si="11"/>
        <v>#NUM!</v>
      </c>
    </row>
    <row r="151" spans="1:6" x14ac:dyDescent="0.25">
      <c r="A151" s="2">
        <v>1869</v>
      </c>
      <c r="B151">
        <v>21.8</v>
      </c>
      <c r="C151" s="9">
        <f t="shared" si="8"/>
        <v>-114.78250000000025</v>
      </c>
      <c r="D151">
        <f t="shared" si="9"/>
        <v>-115.69380000000046</v>
      </c>
      <c r="E151" s="9">
        <f t="shared" si="10"/>
        <v>136.58250000000027</v>
      </c>
      <c r="F151" s="9" t="e">
        <f t="shared" si="11"/>
        <v>#NUM!</v>
      </c>
    </row>
    <row r="152" spans="1:6" x14ac:dyDescent="0.25">
      <c r="A152" s="2">
        <v>1868</v>
      </c>
      <c r="B152">
        <v>26.2</v>
      </c>
      <c r="C152" s="9">
        <f t="shared" si="8"/>
        <v>-116.69000000000005</v>
      </c>
      <c r="D152">
        <f t="shared" si="9"/>
        <v>-117.61360000000013</v>
      </c>
      <c r="E152" s="9">
        <f t="shared" si="10"/>
        <v>142.89000000000004</v>
      </c>
      <c r="F152" s="9" t="e">
        <f t="shared" si="11"/>
        <v>#NUM!</v>
      </c>
    </row>
    <row r="153" spans="1:6" x14ac:dyDescent="0.25">
      <c r="A153" s="2">
        <v>1867</v>
      </c>
      <c r="B153">
        <v>24.7</v>
      </c>
      <c r="C153" s="9">
        <f t="shared" si="8"/>
        <v>-118.59750000000031</v>
      </c>
      <c r="D153">
        <f t="shared" si="9"/>
        <v>-119.53340000000026</v>
      </c>
      <c r="E153" s="9">
        <f t="shared" si="10"/>
        <v>143.2975000000003</v>
      </c>
      <c r="F153" s="9" t="e">
        <f t="shared" si="11"/>
        <v>#NUM!</v>
      </c>
    </row>
    <row r="154" spans="1:6" x14ac:dyDescent="0.25">
      <c r="A154" s="2">
        <v>1866</v>
      </c>
      <c r="B154">
        <v>24.3</v>
      </c>
      <c r="C154" s="9">
        <f t="shared" si="8"/>
        <v>-120.50500000000011</v>
      </c>
      <c r="D154">
        <f t="shared" si="9"/>
        <v>-121.45320000000038</v>
      </c>
      <c r="E154" s="9">
        <f t="shared" si="10"/>
        <v>144.80500000000012</v>
      </c>
      <c r="F154" s="9" t="e">
        <f t="shared" si="11"/>
        <v>#NUM!</v>
      </c>
    </row>
  </sheetData>
  <mergeCells count="10">
    <mergeCell ref="A1:A3"/>
    <mergeCell ref="B1:B3"/>
    <mergeCell ref="C1:C3"/>
    <mergeCell ref="E1:E3"/>
    <mergeCell ref="F1:F3"/>
    <mergeCell ref="G1:G3"/>
    <mergeCell ref="H1:H3"/>
    <mergeCell ref="I1:I3"/>
    <mergeCell ref="J1:J3"/>
    <mergeCell ref="D1:D3"/>
  </mergeCells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073" r:id="rId4" name="Control 1">
          <controlPr defaultSize="0" r:id="rId5">
            <anchor moveWithCells="1">
              <from>
                <xdr:col>0</xdr:col>
                <xdr:colOff>0</xdr:colOff>
                <xdr:row>4</xdr:row>
                <xdr:rowOff>9525</xdr:rowOff>
              </from>
              <to>
                <xdr:col>0</xdr:col>
                <xdr:colOff>295275</xdr:colOff>
                <xdr:row>5</xdr:row>
                <xdr:rowOff>123825</xdr:rowOff>
              </to>
            </anchor>
          </controlPr>
        </control>
      </mc:Choice>
      <mc:Fallback>
        <control shapeId="3073" r:id="rId4" name="Control 1"/>
      </mc:Fallback>
    </mc:AlternateContent>
    <mc:AlternateContent xmlns:mc="http://schemas.openxmlformats.org/markup-compatibility/2006">
      <mc:Choice Requires="x14">
        <control shapeId="3074" r:id="rId6" name="Control 2">
          <controlPr defaultSize="0" r:id="rId5">
            <anchor moveWithCells="1">
              <from>
                <xdr:col>1</xdr:col>
                <xdr:colOff>0</xdr:colOff>
                <xdr:row>4</xdr:row>
                <xdr:rowOff>9525</xdr:rowOff>
              </from>
              <to>
                <xdr:col>1</xdr:col>
                <xdr:colOff>295275</xdr:colOff>
                <xdr:row>5</xdr:row>
                <xdr:rowOff>123825</xdr:rowOff>
              </to>
            </anchor>
          </controlPr>
        </control>
      </mc:Choice>
      <mc:Fallback>
        <control shapeId="3074" r:id="rId6" name="Control 2"/>
      </mc:Fallback>
    </mc:AlternateContent>
    <mc:AlternateContent xmlns:mc="http://schemas.openxmlformats.org/markup-compatibility/2006">
      <mc:Choice Requires="x14">
        <control shapeId="3075" r:id="rId7" name="Control 3">
          <controlPr defaultSize="0" r:id="rId8">
            <anchor moveWithCells="1">
              <from>
                <xdr:col>0</xdr:col>
                <xdr:colOff>0</xdr:colOff>
                <xdr:row>4</xdr:row>
                <xdr:rowOff>9525</xdr:rowOff>
              </from>
              <to>
                <xdr:col>0</xdr:col>
                <xdr:colOff>295275</xdr:colOff>
                <xdr:row>5</xdr:row>
                <xdr:rowOff>123825</xdr:rowOff>
              </to>
            </anchor>
          </controlPr>
        </control>
      </mc:Choice>
      <mc:Fallback>
        <control shapeId="3075" r:id="rId7" name="Control 3"/>
      </mc:Fallback>
    </mc:AlternateContent>
    <mc:AlternateContent xmlns:mc="http://schemas.openxmlformats.org/markup-compatibility/2006">
      <mc:Choice Requires="x14">
        <control shapeId="3076" r:id="rId9" name="Control 4">
          <controlPr defaultSize="0" r:id="rId5">
            <anchor moveWithCells="1">
              <from>
                <xdr:col>1</xdr:col>
                <xdr:colOff>0</xdr:colOff>
                <xdr:row>4</xdr:row>
                <xdr:rowOff>9525</xdr:rowOff>
              </from>
              <to>
                <xdr:col>1</xdr:col>
                <xdr:colOff>295275</xdr:colOff>
                <xdr:row>5</xdr:row>
                <xdr:rowOff>123825</xdr:rowOff>
              </to>
            </anchor>
          </controlPr>
        </control>
      </mc:Choice>
      <mc:Fallback>
        <control shapeId="3076" r:id="rId9" name="Control 4"/>
      </mc:Fallback>
    </mc:AlternateContent>
    <mc:AlternateContent xmlns:mc="http://schemas.openxmlformats.org/markup-compatibility/2006">
      <mc:Choice Requires="x14">
        <control shapeId="3077" r:id="rId10" name="Control 5">
          <controlPr defaultSize="0" r:id="rId5">
            <anchor moveWithCells="1">
              <from>
                <xdr:col>0</xdr:col>
                <xdr:colOff>0</xdr:colOff>
                <xdr:row>4</xdr:row>
                <xdr:rowOff>9525</xdr:rowOff>
              </from>
              <to>
                <xdr:col>0</xdr:col>
                <xdr:colOff>295275</xdr:colOff>
                <xdr:row>5</xdr:row>
                <xdr:rowOff>123825</xdr:rowOff>
              </to>
            </anchor>
          </controlPr>
        </control>
      </mc:Choice>
      <mc:Fallback>
        <control shapeId="3077" r:id="rId10" name="Control 5"/>
      </mc:Fallback>
    </mc:AlternateContent>
    <mc:AlternateContent xmlns:mc="http://schemas.openxmlformats.org/markup-compatibility/2006">
      <mc:Choice Requires="x14">
        <control shapeId="3078" r:id="rId11" name="Control 6">
          <controlPr defaultSize="0" r:id="rId5">
            <anchor moveWithCells="1">
              <from>
                <xdr:col>1</xdr:col>
                <xdr:colOff>0</xdr:colOff>
                <xdr:row>4</xdr:row>
                <xdr:rowOff>9525</xdr:rowOff>
              </from>
              <to>
                <xdr:col>1</xdr:col>
                <xdr:colOff>295275</xdr:colOff>
                <xdr:row>5</xdr:row>
                <xdr:rowOff>123825</xdr:rowOff>
              </to>
            </anchor>
          </controlPr>
        </control>
      </mc:Choice>
      <mc:Fallback>
        <control shapeId="3078" r:id="rId11" name="Control 6"/>
      </mc:Fallback>
    </mc:AlternateContent>
    <mc:AlternateContent xmlns:mc="http://schemas.openxmlformats.org/markup-compatibility/2006">
      <mc:Choice Requires="x14">
        <control shapeId="3079" r:id="rId12" name="Control 7">
          <controlPr defaultSize="0" r:id="rId5">
            <anchor moveWithCells="1">
              <from>
                <xdr:col>0</xdr:col>
                <xdr:colOff>0</xdr:colOff>
                <xdr:row>96</xdr:row>
                <xdr:rowOff>0</xdr:rowOff>
              </from>
              <to>
                <xdr:col>0</xdr:col>
                <xdr:colOff>295275</xdr:colOff>
                <xdr:row>97</xdr:row>
                <xdr:rowOff>114300</xdr:rowOff>
              </to>
            </anchor>
          </controlPr>
        </control>
      </mc:Choice>
      <mc:Fallback>
        <control shapeId="3079" r:id="rId12" name="Control 7"/>
      </mc:Fallback>
    </mc:AlternateContent>
    <mc:AlternateContent xmlns:mc="http://schemas.openxmlformats.org/markup-compatibility/2006">
      <mc:Choice Requires="x14">
        <control shapeId="3080" r:id="rId13" name="Control 8">
          <controlPr defaultSize="0" r:id="rId5">
            <anchor moveWithCells="1">
              <from>
                <xdr:col>1</xdr:col>
                <xdr:colOff>0</xdr:colOff>
                <xdr:row>96</xdr:row>
                <xdr:rowOff>0</xdr:rowOff>
              </from>
              <to>
                <xdr:col>1</xdr:col>
                <xdr:colOff>295275</xdr:colOff>
                <xdr:row>97</xdr:row>
                <xdr:rowOff>114300</xdr:rowOff>
              </to>
            </anchor>
          </controlPr>
        </control>
      </mc:Choice>
      <mc:Fallback>
        <control shapeId="3080" r:id="rId13" name="Control 8"/>
      </mc:Fallback>
    </mc:AlternateContent>
    <mc:AlternateContent xmlns:mc="http://schemas.openxmlformats.org/markup-compatibility/2006">
      <mc:Choice Requires="x14">
        <control shapeId="3081" r:id="rId14" name="Control 9">
          <controlPr defaultSize="0" r:id="rId5">
            <anchor moveWithCells="1">
              <from>
                <xdr:col>0</xdr:col>
                <xdr:colOff>0</xdr:colOff>
                <xdr:row>4</xdr:row>
                <xdr:rowOff>9525</xdr:rowOff>
              </from>
              <to>
                <xdr:col>0</xdr:col>
                <xdr:colOff>295275</xdr:colOff>
                <xdr:row>5</xdr:row>
                <xdr:rowOff>123825</xdr:rowOff>
              </to>
            </anchor>
          </controlPr>
        </control>
      </mc:Choice>
      <mc:Fallback>
        <control shapeId="3081" r:id="rId14" name="Control 9"/>
      </mc:Fallback>
    </mc:AlternateContent>
    <mc:AlternateContent xmlns:mc="http://schemas.openxmlformats.org/markup-compatibility/2006">
      <mc:Choice Requires="x14">
        <control shapeId="3082" r:id="rId15" name="Control 10">
          <controlPr defaultSize="0" r:id="rId5">
            <anchor moveWithCells="1">
              <from>
                <xdr:col>1</xdr:col>
                <xdr:colOff>0</xdr:colOff>
                <xdr:row>4</xdr:row>
                <xdr:rowOff>9525</xdr:rowOff>
              </from>
              <to>
                <xdr:col>1</xdr:col>
                <xdr:colOff>295275</xdr:colOff>
                <xdr:row>5</xdr:row>
                <xdr:rowOff>123825</xdr:rowOff>
              </to>
            </anchor>
          </controlPr>
        </control>
      </mc:Choice>
      <mc:Fallback>
        <control shapeId="3082" r:id="rId15" name="Control 10"/>
      </mc:Fallback>
    </mc:AlternateContent>
    <mc:AlternateContent xmlns:mc="http://schemas.openxmlformats.org/markup-compatibility/2006">
      <mc:Choice Requires="x14">
        <control shapeId="3083" r:id="rId16" name="Control 11">
          <controlPr defaultSize="0" r:id="rId5">
            <anchor moveWithCells="1">
              <from>
                <xdr:col>0</xdr:col>
                <xdr:colOff>0</xdr:colOff>
                <xdr:row>96</xdr:row>
                <xdr:rowOff>0</xdr:rowOff>
              </from>
              <to>
                <xdr:col>0</xdr:col>
                <xdr:colOff>295275</xdr:colOff>
                <xdr:row>97</xdr:row>
                <xdr:rowOff>114300</xdr:rowOff>
              </to>
            </anchor>
          </controlPr>
        </control>
      </mc:Choice>
      <mc:Fallback>
        <control shapeId="3083" r:id="rId16" name="Control 11"/>
      </mc:Fallback>
    </mc:AlternateContent>
    <mc:AlternateContent xmlns:mc="http://schemas.openxmlformats.org/markup-compatibility/2006">
      <mc:Choice Requires="x14">
        <control shapeId="3084" r:id="rId17" name="Control 12">
          <controlPr defaultSize="0" r:id="rId5">
            <anchor moveWithCells="1">
              <from>
                <xdr:col>1</xdr:col>
                <xdr:colOff>0</xdr:colOff>
                <xdr:row>96</xdr:row>
                <xdr:rowOff>0</xdr:rowOff>
              </from>
              <to>
                <xdr:col>1</xdr:col>
                <xdr:colOff>295275</xdr:colOff>
                <xdr:row>97</xdr:row>
                <xdr:rowOff>114300</xdr:rowOff>
              </to>
            </anchor>
          </controlPr>
        </control>
      </mc:Choice>
      <mc:Fallback>
        <control shapeId="3084" r:id="rId17" name="Control 12"/>
      </mc:Fallback>
    </mc:AlternateContent>
    <mc:AlternateContent xmlns:mc="http://schemas.openxmlformats.org/markup-compatibility/2006">
      <mc:Choice Requires="x14">
        <control shapeId="3085" r:id="rId18" name="Control 13">
          <controlPr defaultSize="0" r:id="rId5">
            <anchor moveWithCells="1">
              <from>
                <xdr:col>0</xdr:col>
                <xdr:colOff>0</xdr:colOff>
                <xdr:row>4</xdr:row>
                <xdr:rowOff>9525</xdr:rowOff>
              </from>
              <to>
                <xdr:col>0</xdr:col>
                <xdr:colOff>295275</xdr:colOff>
                <xdr:row>5</xdr:row>
                <xdr:rowOff>123825</xdr:rowOff>
              </to>
            </anchor>
          </controlPr>
        </control>
      </mc:Choice>
      <mc:Fallback>
        <control shapeId="3085" r:id="rId18" name="Control 13"/>
      </mc:Fallback>
    </mc:AlternateContent>
    <mc:AlternateContent xmlns:mc="http://schemas.openxmlformats.org/markup-compatibility/2006">
      <mc:Choice Requires="x14">
        <control shapeId="3086" r:id="rId19" name="Control 14">
          <controlPr defaultSize="0" r:id="rId5">
            <anchor moveWithCells="1">
              <from>
                <xdr:col>1</xdr:col>
                <xdr:colOff>0</xdr:colOff>
                <xdr:row>4</xdr:row>
                <xdr:rowOff>9525</xdr:rowOff>
              </from>
              <to>
                <xdr:col>1</xdr:col>
                <xdr:colOff>295275</xdr:colOff>
                <xdr:row>5</xdr:row>
                <xdr:rowOff>123825</xdr:rowOff>
              </to>
            </anchor>
          </controlPr>
        </control>
      </mc:Choice>
      <mc:Fallback>
        <control shapeId="3086" r:id="rId19" name="Control 14"/>
      </mc:Fallback>
    </mc:AlternateContent>
    <mc:AlternateContent xmlns:mc="http://schemas.openxmlformats.org/markup-compatibility/2006">
      <mc:Choice Requires="x14">
        <control shapeId="3087" r:id="rId20" name="Control 15">
          <controlPr defaultSize="0" r:id="rId5">
            <anchor moveWithCells="1">
              <from>
                <xdr:col>0</xdr:col>
                <xdr:colOff>0</xdr:colOff>
                <xdr:row>96</xdr:row>
                <xdr:rowOff>0</xdr:rowOff>
              </from>
              <to>
                <xdr:col>0</xdr:col>
                <xdr:colOff>295275</xdr:colOff>
                <xdr:row>97</xdr:row>
                <xdr:rowOff>114300</xdr:rowOff>
              </to>
            </anchor>
          </controlPr>
        </control>
      </mc:Choice>
      <mc:Fallback>
        <control shapeId="3087" r:id="rId20" name="Control 15"/>
      </mc:Fallback>
    </mc:AlternateContent>
    <mc:AlternateContent xmlns:mc="http://schemas.openxmlformats.org/markup-compatibility/2006">
      <mc:Choice Requires="x14">
        <control shapeId="3088" r:id="rId21" name="Control 16">
          <controlPr defaultSize="0" r:id="rId5">
            <anchor moveWithCells="1">
              <from>
                <xdr:col>1</xdr:col>
                <xdr:colOff>0</xdr:colOff>
                <xdr:row>96</xdr:row>
                <xdr:rowOff>0</xdr:rowOff>
              </from>
              <to>
                <xdr:col>1</xdr:col>
                <xdr:colOff>295275</xdr:colOff>
                <xdr:row>97</xdr:row>
                <xdr:rowOff>114300</xdr:rowOff>
              </to>
            </anchor>
          </controlPr>
        </control>
      </mc:Choice>
      <mc:Fallback>
        <control shapeId="3088" r:id="rId21" name="Control 16"/>
      </mc:Fallback>
    </mc:AlternateContent>
    <mc:AlternateContent xmlns:mc="http://schemas.openxmlformats.org/markup-compatibility/2006">
      <mc:Choice Requires="x14">
        <control shapeId="3089" r:id="rId22" name="Control 17">
          <controlPr defaultSize="0" r:id="rId5">
            <anchor moveWithCells="1">
              <from>
                <xdr:col>0</xdr:col>
                <xdr:colOff>0</xdr:colOff>
                <xdr:row>4</xdr:row>
                <xdr:rowOff>9525</xdr:rowOff>
              </from>
              <to>
                <xdr:col>0</xdr:col>
                <xdr:colOff>295275</xdr:colOff>
                <xdr:row>5</xdr:row>
                <xdr:rowOff>123825</xdr:rowOff>
              </to>
            </anchor>
          </controlPr>
        </control>
      </mc:Choice>
      <mc:Fallback>
        <control shapeId="3089" r:id="rId22" name="Control 17"/>
      </mc:Fallback>
    </mc:AlternateContent>
    <mc:AlternateContent xmlns:mc="http://schemas.openxmlformats.org/markup-compatibility/2006">
      <mc:Choice Requires="x14">
        <control shapeId="3090" r:id="rId23" name="Control 18">
          <controlPr defaultSize="0" r:id="rId5">
            <anchor moveWithCells="1">
              <from>
                <xdr:col>1</xdr:col>
                <xdr:colOff>0</xdr:colOff>
                <xdr:row>4</xdr:row>
                <xdr:rowOff>9525</xdr:rowOff>
              </from>
              <to>
                <xdr:col>1</xdr:col>
                <xdr:colOff>295275</xdr:colOff>
                <xdr:row>5</xdr:row>
                <xdr:rowOff>123825</xdr:rowOff>
              </to>
            </anchor>
          </controlPr>
        </control>
      </mc:Choice>
      <mc:Fallback>
        <control shapeId="3090" r:id="rId23" name="Control 18"/>
      </mc:Fallback>
    </mc:AlternateContent>
    <mc:AlternateContent xmlns:mc="http://schemas.openxmlformats.org/markup-compatibility/2006">
      <mc:Choice Requires="x14">
        <control shapeId="3091" r:id="rId24" name="Control 19">
          <controlPr defaultSize="0" r:id="rId5">
            <anchor moveWithCells="1">
              <from>
                <xdr:col>0</xdr:col>
                <xdr:colOff>0</xdr:colOff>
                <xdr:row>65</xdr:row>
                <xdr:rowOff>123825</xdr:rowOff>
              </from>
              <to>
                <xdr:col>0</xdr:col>
                <xdr:colOff>295275</xdr:colOff>
                <xdr:row>67</xdr:row>
                <xdr:rowOff>47625</xdr:rowOff>
              </to>
            </anchor>
          </controlPr>
        </control>
      </mc:Choice>
      <mc:Fallback>
        <control shapeId="3091" r:id="rId24" name="Control 19"/>
      </mc:Fallback>
    </mc:AlternateContent>
    <mc:AlternateContent xmlns:mc="http://schemas.openxmlformats.org/markup-compatibility/2006">
      <mc:Choice Requires="x14">
        <control shapeId="3092" r:id="rId25" name="Control 20">
          <controlPr defaultSize="0" r:id="rId5">
            <anchor moveWithCells="1">
              <from>
                <xdr:col>1</xdr:col>
                <xdr:colOff>0</xdr:colOff>
                <xdr:row>65</xdr:row>
                <xdr:rowOff>123825</xdr:rowOff>
              </from>
              <to>
                <xdr:col>1</xdr:col>
                <xdr:colOff>295275</xdr:colOff>
                <xdr:row>67</xdr:row>
                <xdr:rowOff>47625</xdr:rowOff>
              </to>
            </anchor>
          </controlPr>
        </control>
      </mc:Choice>
      <mc:Fallback>
        <control shapeId="3092" r:id="rId25" name="Control 20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V590"/>
  <sheetViews>
    <sheetView topLeftCell="A371" workbookViewId="0">
      <selection activeCell="H588" sqref="H588"/>
    </sheetView>
  </sheetViews>
  <sheetFormatPr defaultRowHeight="15" x14ac:dyDescent="0.25"/>
  <cols>
    <col min="8" max="8" width="24.28515625" bestFit="1" customWidth="1"/>
    <col min="9" max="9" width="25.7109375" bestFit="1" customWidth="1"/>
    <col min="10" max="10" width="29.85546875" bestFit="1" customWidth="1"/>
    <col min="11" max="11" width="30.42578125" bestFit="1" customWidth="1"/>
    <col min="12" max="12" width="25.42578125" bestFit="1" customWidth="1"/>
    <col min="13" max="13" width="29.42578125" customWidth="1"/>
  </cols>
  <sheetData>
    <row r="1" spans="1:22" x14ac:dyDescent="0.25">
      <c r="A1" t="s">
        <v>20</v>
      </c>
      <c r="B1" t="s">
        <v>45</v>
      </c>
      <c r="C1" t="s">
        <v>46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52</v>
      </c>
      <c r="J1" t="s">
        <v>53</v>
      </c>
      <c r="K1" t="s">
        <v>54</v>
      </c>
      <c r="L1" t="s">
        <v>55</v>
      </c>
      <c r="M1" t="s">
        <v>95</v>
      </c>
      <c r="O1" t="s">
        <v>56</v>
      </c>
      <c r="P1" t="s">
        <v>57</v>
      </c>
      <c r="Q1" t="s">
        <v>58</v>
      </c>
      <c r="R1" t="s">
        <v>59</v>
      </c>
      <c r="S1" t="s">
        <v>60</v>
      </c>
      <c r="T1" t="s">
        <v>61</v>
      </c>
      <c r="U1" t="s">
        <v>62</v>
      </c>
      <c r="V1" t="s">
        <v>63</v>
      </c>
    </row>
    <row r="2" spans="1:22" x14ac:dyDescent="0.25">
      <c r="A2">
        <v>1986</v>
      </c>
      <c r="B2" t="s">
        <v>22</v>
      </c>
      <c r="C2" t="s">
        <v>64</v>
      </c>
      <c r="D2" t="s">
        <v>64</v>
      </c>
      <c r="E2" t="s">
        <v>65</v>
      </c>
      <c r="F2" t="s">
        <v>66</v>
      </c>
      <c r="G2" t="s">
        <v>23</v>
      </c>
      <c r="H2">
        <v>12</v>
      </c>
      <c r="I2">
        <v>55</v>
      </c>
      <c r="J2">
        <v>29</v>
      </c>
      <c r="K2">
        <v>1</v>
      </c>
      <c r="L2">
        <v>3</v>
      </c>
      <c r="M2">
        <f>J2+I2</f>
        <v>84</v>
      </c>
      <c r="N2">
        <f>P560</f>
        <v>9.6697238478022918E-2</v>
      </c>
      <c r="P2" t="s">
        <v>67</v>
      </c>
      <c r="Q2" t="s">
        <v>67</v>
      </c>
      <c r="R2" t="s">
        <v>67</v>
      </c>
      <c r="S2" t="s">
        <v>67</v>
      </c>
      <c r="T2" t="s">
        <v>67</v>
      </c>
      <c r="U2" t="s">
        <v>67</v>
      </c>
      <c r="V2" t="s">
        <v>67</v>
      </c>
    </row>
    <row r="3" spans="1:22" hidden="1" x14ac:dyDescent="0.25">
      <c r="A3">
        <v>1986</v>
      </c>
      <c r="B3" t="s">
        <v>22</v>
      </c>
      <c r="C3" t="s">
        <v>64</v>
      </c>
      <c r="D3" t="s">
        <v>64</v>
      </c>
      <c r="E3" t="s">
        <v>65</v>
      </c>
      <c r="F3" t="s">
        <v>68</v>
      </c>
      <c r="G3" t="s">
        <v>23</v>
      </c>
      <c r="H3">
        <v>12</v>
      </c>
      <c r="I3">
        <v>52</v>
      </c>
      <c r="J3">
        <v>32</v>
      </c>
      <c r="K3">
        <v>1</v>
      </c>
      <c r="L3">
        <v>3</v>
      </c>
      <c r="M3" t="s">
        <v>67</v>
      </c>
      <c r="N3">
        <v>8.2597094220909106E-2</v>
      </c>
      <c r="O3" t="s">
        <v>67</v>
      </c>
      <c r="P3" t="s">
        <v>67</v>
      </c>
      <c r="Q3" t="s">
        <v>67</v>
      </c>
      <c r="R3" t="s">
        <v>67</v>
      </c>
      <c r="S3" t="s">
        <v>67</v>
      </c>
      <c r="T3" t="s">
        <v>67</v>
      </c>
      <c r="U3" t="s">
        <v>67</v>
      </c>
      <c r="V3" t="s">
        <v>67</v>
      </c>
    </row>
    <row r="4" spans="1:22" hidden="1" x14ac:dyDescent="0.25">
      <c r="A4">
        <v>1986</v>
      </c>
      <c r="B4" t="s">
        <v>22</v>
      </c>
      <c r="C4" t="s">
        <v>64</v>
      </c>
      <c r="D4" t="s">
        <v>64</v>
      </c>
      <c r="E4" t="s">
        <v>65</v>
      </c>
      <c r="F4" t="s">
        <v>69</v>
      </c>
      <c r="G4" t="s">
        <v>23</v>
      </c>
      <c r="H4">
        <v>12</v>
      </c>
      <c r="I4">
        <v>51</v>
      </c>
      <c r="J4">
        <v>33</v>
      </c>
      <c r="K4">
        <v>1</v>
      </c>
      <c r="L4">
        <v>3</v>
      </c>
      <c r="M4" t="s">
        <v>67</v>
      </c>
      <c r="N4">
        <v>-0.28243784906459712</v>
      </c>
      <c r="O4" t="s">
        <v>67</v>
      </c>
      <c r="P4" t="s">
        <v>67</v>
      </c>
      <c r="Q4" t="s">
        <v>67</v>
      </c>
      <c r="R4" t="s">
        <v>67</v>
      </c>
      <c r="S4" t="s">
        <v>67</v>
      </c>
      <c r="T4" t="s">
        <v>67</v>
      </c>
      <c r="U4" t="s">
        <v>67</v>
      </c>
      <c r="V4" t="s">
        <v>67</v>
      </c>
    </row>
    <row r="5" spans="1:22" hidden="1" x14ac:dyDescent="0.25">
      <c r="A5">
        <v>1986</v>
      </c>
      <c r="B5" t="s">
        <v>22</v>
      </c>
      <c r="C5" t="s">
        <v>64</v>
      </c>
      <c r="D5" t="s">
        <v>64</v>
      </c>
      <c r="E5" t="s">
        <v>65</v>
      </c>
      <c r="F5" t="s">
        <v>70</v>
      </c>
      <c r="G5" t="s">
        <v>23</v>
      </c>
      <c r="H5">
        <v>12</v>
      </c>
      <c r="I5">
        <v>51</v>
      </c>
      <c r="J5">
        <v>34</v>
      </c>
      <c r="K5">
        <v>1</v>
      </c>
      <c r="L5">
        <v>2</v>
      </c>
      <c r="M5" t="s">
        <v>67</v>
      </c>
      <c r="N5">
        <v>1.8944440184086808E-2</v>
      </c>
      <c r="O5" t="s">
        <v>67</v>
      </c>
      <c r="P5" t="s">
        <v>67</v>
      </c>
      <c r="Q5" t="s">
        <v>67</v>
      </c>
      <c r="R5" t="s">
        <v>67</v>
      </c>
      <c r="S5" t="s">
        <v>67</v>
      </c>
      <c r="T5" t="s">
        <v>67</v>
      </c>
      <c r="U5" t="s">
        <v>67</v>
      </c>
      <c r="V5" t="s">
        <v>67</v>
      </c>
    </row>
    <row r="6" spans="1:22" hidden="1" x14ac:dyDescent="0.25">
      <c r="A6">
        <v>1986</v>
      </c>
      <c r="B6" t="s">
        <v>22</v>
      </c>
      <c r="C6" t="s">
        <v>64</v>
      </c>
      <c r="D6" t="s">
        <v>64</v>
      </c>
      <c r="E6" t="s">
        <v>65</v>
      </c>
      <c r="F6" t="s">
        <v>71</v>
      </c>
      <c r="G6" t="s">
        <v>23</v>
      </c>
      <c r="H6">
        <v>11</v>
      </c>
      <c r="I6">
        <v>48</v>
      </c>
      <c r="J6">
        <v>38</v>
      </c>
      <c r="K6">
        <v>1</v>
      </c>
      <c r="L6">
        <v>2</v>
      </c>
      <c r="M6" t="s">
        <v>67</v>
      </c>
      <c r="N6">
        <v>2.1107275447949547E-2</v>
      </c>
      <c r="O6" t="s">
        <v>67</v>
      </c>
      <c r="P6" t="s">
        <v>67</v>
      </c>
      <c r="Q6" t="s">
        <v>67</v>
      </c>
      <c r="R6" t="s">
        <v>67</v>
      </c>
      <c r="S6" t="s">
        <v>67</v>
      </c>
      <c r="T6" t="s">
        <v>67</v>
      </c>
      <c r="U6" t="s">
        <v>67</v>
      </c>
      <c r="V6" t="s">
        <v>67</v>
      </c>
    </row>
    <row r="7" spans="1:22" hidden="1" x14ac:dyDescent="0.25">
      <c r="A7">
        <v>1986</v>
      </c>
      <c r="B7" t="s">
        <v>22</v>
      </c>
      <c r="C7" t="s">
        <v>64</v>
      </c>
      <c r="D7" t="s">
        <v>64</v>
      </c>
      <c r="E7" t="s">
        <v>65</v>
      </c>
      <c r="F7" t="s">
        <v>72</v>
      </c>
      <c r="G7" t="s">
        <v>23</v>
      </c>
      <c r="H7">
        <v>9</v>
      </c>
      <c r="I7">
        <v>49</v>
      </c>
      <c r="J7">
        <v>38</v>
      </c>
      <c r="K7">
        <v>2</v>
      </c>
      <c r="L7">
        <v>2</v>
      </c>
      <c r="M7" t="s">
        <v>67</v>
      </c>
      <c r="N7">
        <v>-8.2441019393712622E-2</v>
      </c>
      <c r="O7" t="s">
        <v>67</v>
      </c>
      <c r="P7" t="s">
        <v>67</v>
      </c>
      <c r="Q7" t="s">
        <v>67</v>
      </c>
      <c r="R7" t="s">
        <v>67</v>
      </c>
      <c r="S7" t="s">
        <v>67</v>
      </c>
      <c r="T7" t="s">
        <v>67</v>
      </c>
      <c r="U7" t="s">
        <v>67</v>
      </c>
      <c r="V7" t="s">
        <v>67</v>
      </c>
    </row>
    <row r="8" spans="1:22" hidden="1" x14ac:dyDescent="0.25">
      <c r="A8">
        <v>1986</v>
      </c>
      <c r="B8" t="s">
        <v>22</v>
      </c>
      <c r="C8" t="s">
        <v>64</v>
      </c>
      <c r="D8" t="s">
        <v>64</v>
      </c>
      <c r="E8" t="s">
        <v>65</v>
      </c>
      <c r="F8" t="s">
        <v>73</v>
      </c>
      <c r="G8" t="s">
        <v>23</v>
      </c>
      <c r="H8">
        <v>11</v>
      </c>
      <c r="I8">
        <v>47</v>
      </c>
      <c r="J8">
        <v>37</v>
      </c>
      <c r="K8">
        <v>2</v>
      </c>
      <c r="L8">
        <v>3</v>
      </c>
      <c r="M8" t="s">
        <v>67</v>
      </c>
      <c r="N8">
        <v>9.2849331848912975E-2</v>
      </c>
      <c r="O8" t="s">
        <v>67</v>
      </c>
      <c r="P8" t="s">
        <v>67</v>
      </c>
      <c r="Q8" t="s">
        <v>67</v>
      </c>
      <c r="R8" t="s">
        <v>67</v>
      </c>
      <c r="S8" t="s">
        <v>67</v>
      </c>
      <c r="T8" t="s">
        <v>67</v>
      </c>
      <c r="U8" t="s">
        <v>67</v>
      </c>
      <c r="V8" t="s">
        <v>67</v>
      </c>
    </row>
    <row r="9" spans="1:22" hidden="1" x14ac:dyDescent="0.25">
      <c r="A9">
        <v>1986</v>
      </c>
      <c r="B9" t="s">
        <v>22</v>
      </c>
      <c r="C9" t="s">
        <v>64</v>
      </c>
      <c r="D9" t="s">
        <v>64</v>
      </c>
      <c r="E9" t="s">
        <v>65</v>
      </c>
      <c r="F9" t="s">
        <v>74</v>
      </c>
      <c r="G9" t="s">
        <v>23</v>
      </c>
      <c r="H9">
        <v>9</v>
      </c>
      <c r="I9">
        <v>48</v>
      </c>
      <c r="J9">
        <v>39</v>
      </c>
      <c r="K9">
        <v>2</v>
      </c>
      <c r="L9">
        <v>2</v>
      </c>
      <c r="M9" t="s">
        <v>67</v>
      </c>
      <c r="N9">
        <v>-0.18980342814645557</v>
      </c>
      <c r="O9" t="s">
        <v>67</v>
      </c>
      <c r="P9" t="s">
        <v>67</v>
      </c>
      <c r="Q9" t="s">
        <v>67</v>
      </c>
      <c r="R9" t="s">
        <v>67</v>
      </c>
      <c r="S9" t="s">
        <v>67</v>
      </c>
      <c r="T9" t="s">
        <v>67</v>
      </c>
      <c r="U9" t="s">
        <v>67</v>
      </c>
      <c r="V9" t="s">
        <v>67</v>
      </c>
    </row>
    <row r="10" spans="1:22" hidden="1" x14ac:dyDescent="0.25">
      <c r="A10">
        <v>1986</v>
      </c>
      <c r="B10" t="s">
        <v>22</v>
      </c>
      <c r="C10" t="s">
        <v>64</v>
      </c>
      <c r="D10" t="s">
        <v>64</v>
      </c>
      <c r="E10" t="s">
        <v>65</v>
      </c>
      <c r="F10" t="s">
        <v>75</v>
      </c>
      <c r="G10" t="s">
        <v>23</v>
      </c>
      <c r="H10">
        <v>10</v>
      </c>
      <c r="I10">
        <v>48</v>
      </c>
      <c r="J10">
        <v>38</v>
      </c>
      <c r="K10">
        <v>1</v>
      </c>
      <c r="L10">
        <v>3</v>
      </c>
      <c r="M10" t="s">
        <v>67</v>
      </c>
      <c r="N10">
        <v>0.11409665688938286</v>
      </c>
      <c r="O10" t="s">
        <v>67</v>
      </c>
      <c r="P10" t="s">
        <v>67</v>
      </c>
      <c r="Q10" t="s">
        <v>67</v>
      </c>
      <c r="R10" t="s">
        <v>67</v>
      </c>
      <c r="S10" t="s">
        <v>67</v>
      </c>
      <c r="T10" t="s">
        <v>67</v>
      </c>
      <c r="U10" t="s">
        <v>67</v>
      </c>
      <c r="V10" t="s">
        <v>67</v>
      </c>
    </row>
    <row r="11" spans="1:22" hidden="1" x14ac:dyDescent="0.25">
      <c r="A11">
        <v>1986</v>
      </c>
      <c r="B11" t="s">
        <v>22</v>
      </c>
      <c r="C11" t="s">
        <v>64</v>
      </c>
      <c r="D11" t="s">
        <v>64</v>
      </c>
      <c r="E11" t="s">
        <v>65</v>
      </c>
      <c r="F11" t="s">
        <v>76</v>
      </c>
      <c r="G11" t="s">
        <v>23</v>
      </c>
      <c r="H11">
        <v>9</v>
      </c>
      <c r="I11">
        <v>48</v>
      </c>
      <c r="J11">
        <v>39</v>
      </c>
      <c r="K11">
        <v>1</v>
      </c>
      <c r="L11">
        <v>3</v>
      </c>
      <c r="M11" t="s">
        <v>67</v>
      </c>
      <c r="N11">
        <v>-0.10100080565369574</v>
      </c>
      <c r="O11" t="s">
        <v>67</v>
      </c>
      <c r="P11" t="s">
        <v>67</v>
      </c>
      <c r="Q11" t="s">
        <v>67</v>
      </c>
      <c r="R11" t="s">
        <v>67</v>
      </c>
      <c r="S11" t="s">
        <v>67</v>
      </c>
      <c r="T11" t="s">
        <v>67</v>
      </c>
      <c r="U11" t="s">
        <v>67</v>
      </c>
      <c r="V11" t="s">
        <v>67</v>
      </c>
    </row>
    <row r="12" spans="1:22" hidden="1" x14ac:dyDescent="0.25">
      <c r="A12">
        <v>1986</v>
      </c>
      <c r="B12" t="s">
        <v>22</v>
      </c>
      <c r="C12" t="s">
        <v>64</v>
      </c>
      <c r="D12" t="s">
        <v>64</v>
      </c>
      <c r="E12" t="s">
        <v>65</v>
      </c>
      <c r="F12" t="s">
        <v>77</v>
      </c>
      <c r="G12" t="s">
        <v>23</v>
      </c>
      <c r="H12">
        <v>12</v>
      </c>
      <c r="I12">
        <v>48</v>
      </c>
      <c r="J12">
        <v>36</v>
      </c>
      <c r="K12">
        <v>1</v>
      </c>
      <c r="L12">
        <v>3</v>
      </c>
      <c r="M12" t="s">
        <v>67</v>
      </c>
      <c r="N12">
        <v>-2.9068645994199116E-3</v>
      </c>
      <c r="O12" t="s">
        <v>67</v>
      </c>
      <c r="P12" t="s">
        <v>67</v>
      </c>
      <c r="Q12" t="s">
        <v>67</v>
      </c>
      <c r="R12" t="s">
        <v>67</v>
      </c>
      <c r="S12" t="s">
        <v>67</v>
      </c>
      <c r="T12" t="s">
        <v>67</v>
      </c>
      <c r="U12" t="s">
        <v>67</v>
      </c>
      <c r="V12" t="s">
        <v>67</v>
      </c>
    </row>
    <row r="13" spans="1:22" hidden="1" x14ac:dyDescent="0.25">
      <c r="A13">
        <v>1986</v>
      </c>
      <c r="B13" t="s">
        <v>22</v>
      </c>
      <c r="C13" t="s">
        <v>64</v>
      </c>
      <c r="D13" t="s">
        <v>64</v>
      </c>
      <c r="E13" t="s">
        <v>65</v>
      </c>
      <c r="F13" t="s">
        <v>78</v>
      </c>
      <c r="G13" t="s">
        <v>23</v>
      </c>
      <c r="H13">
        <v>13</v>
      </c>
      <c r="I13">
        <v>54</v>
      </c>
      <c r="J13">
        <v>29</v>
      </c>
      <c r="K13" t="s">
        <v>67</v>
      </c>
      <c r="L13">
        <v>4</v>
      </c>
      <c r="M13" t="s">
        <v>67</v>
      </c>
      <c r="N13">
        <v>-2.0912400177338419E-2</v>
      </c>
      <c r="O13" t="s">
        <v>67</v>
      </c>
      <c r="P13" t="s">
        <v>67</v>
      </c>
      <c r="Q13" t="s">
        <v>67</v>
      </c>
      <c r="R13" t="s">
        <v>67</v>
      </c>
      <c r="S13" t="s">
        <v>67</v>
      </c>
      <c r="T13" t="s">
        <v>67</v>
      </c>
      <c r="U13" t="s">
        <v>67</v>
      </c>
      <c r="V13" t="s">
        <v>67</v>
      </c>
    </row>
    <row r="14" spans="1:22" hidden="1" x14ac:dyDescent="0.25">
      <c r="A14">
        <v>1986</v>
      </c>
      <c r="B14" t="s">
        <v>22</v>
      </c>
      <c r="C14" t="s">
        <v>64</v>
      </c>
      <c r="D14" t="s">
        <v>64</v>
      </c>
      <c r="E14" t="s">
        <v>65</v>
      </c>
      <c r="F14" t="s">
        <v>79</v>
      </c>
      <c r="G14" t="s">
        <v>23</v>
      </c>
      <c r="H14">
        <v>16</v>
      </c>
      <c r="I14">
        <v>58</v>
      </c>
      <c r="J14">
        <v>23</v>
      </c>
      <c r="K14" t="s">
        <v>67</v>
      </c>
      <c r="L14">
        <v>3</v>
      </c>
      <c r="M14" t="s">
        <v>67</v>
      </c>
      <c r="N14">
        <v>2.3449895499886075E-2</v>
      </c>
      <c r="O14" t="s">
        <v>67</v>
      </c>
      <c r="P14" t="s">
        <v>67</v>
      </c>
      <c r="Q14" t="s">
        <v>67</v>
      </c>
      <c r="R14" t="s">
        <v>67</v>
      </c>
      <c r="S14" t="s">
        <v>67</v>
      </c>
      <c r="T14" t="s">
        <v>67</v>
      </c>
      <c r="U14" t="s">
        <v>67</v>
      </c>
      <c r="V14" t="s">
        <v>67</v>
      </c>
    </row>
    <row r="15" spans="1:22" hidden="1" x14ac:dyDescent="0.25">
      <c r="A15">
        <v>1986</v>
      </c>
      <c r="B15" t="s">
        <v>22</v>
      </c>
      <c r="C15" t="s">
        <v>64</v>
      </c>
      <c r="D15" t="s">
        <v>64</v>
      </c>
      <c r="E15" t="s">
        <v>65</v>
      </c>
      <c r="F15" t="s">
        <v>80</v>
      </c>
      <c r="G15" t="s">
        <v>23</v>
      </c>
      <c r="H15">
        <v>18</v>
      </c>
      <c r="I15">
        <v>59</v>
      </c>
      <c r="J15">
        <v>21</v>
      </c>
      <c r="K15" t="s">
        <v>67</v>
      </c>
      <c r="L15">
        <v>2</v>
      </c>
      <c r="M15" t="s">
        <v>67</v>
      </c>
      <c r="N15">
        <v>4.5506974794076172E-3</v>
      </c>
      <c r="O15" t="s">
        <v>67</v>
      </c>
      <c r="P15" t="s">
        <v>67</v>
      </c>
      <c r="Q15" t="s">
        <v>67</v>
      </c>
      <c r="R15" t="s">
        <v>67</v>
      </c>
      <c r="S15" t="s">
        <v>67</v>
      </c>
      <c r="T15" t="s">
        <v>67</v>
      </c>
      <c r="U15" t="s">
        <v>67</v>
      </c>
      <c r="V15" t="s">
        <v>67</v>
      </c>
    </row>
    <row r="16" spans="1:22" hidden="1" x14ac:dyDescent="0.25">
      <c r="A16">
        <v>1986</v>
      </c>
      <c r="B16" t="s">
        <v>22</v>
      </c>
      <c r="C16" t="s">
        <v>64</v>
      </c>
      <c r="D16" t="s">
        <v>64</v>
      </c>
      <c r="E16" t="s">
        <v>65</v>
      </c>
      <c r="F16" t="s">
        <v>81</v>
      </c>
      <c r="G16" t="s">
        <v>23</v>
      </c>
      <c r="H16">
        <v>18</v>
      </c>
      <c r="I16">
        <v>61</v>
      </c>
      <c r="J16">
        <v>19</v>
      </c>
      <c r="K16" t="s">
        <v>67</v>
      </c>
      <c r="L16">
        <v>2</v>
      </c>
      <c r="M16" t="s">
        <v>67</v>
      </c>
      <c r="N16">
        <v>1.3235487328251416E-2</v>
      </c>
      <c r="O16" t="s">
        <v>67</v>
      </c>
      <c r="P16" t="s">
        <v>67</v>
      </c>
      <c r="Q16" t="s">
        <v>67</v>
      </c>
      <c r="R16" t="s">
        <v>67</v>
      </c>
      <c r="S16" t="s">
        <v>67</v>
      </c>
      <c r="T16" t="s">
        <v>67</v>
      </c>
      <c r="U16" t="s">
        <v>67</v>
      </c>
      <c r="V16" t="s">
        <v>67</v>
      </c>
    </row>
    <row r="17" spans="1:22" hidden="1" x14ac:dyDescent="0.25">
      <c r="A17">
        <v>1986</v>
      </c>
      <c r="B17" t="s">
        <v>22</v>
      </c>
      <c r="C17" t="s">
        <v>64</v>
      </c>
      <c r="D17" t="s">
        <v>64</v>
      </c>
      <c r="E17" t="s">
        <v>65</v>
      </c>
      <c r="F17" t="s">
        <v>82</v>
      </c>
      <c r="G17" t="s">
        <v>23</v>
      </c>
      <c r="H17">
        <v>22</v>
      </c>
      <c r="I17">
        <v>63</v>
      </c>
      <c r="J17">
        <v>13</v>
      </c>
      <c r="K17" t="s">
        <v>67</v>
      </c>
      <c r="L17">
        <v>2</v>
      </c>
      <c r="M17" t="s">
        <v>67</v>
      </c>
      <c r="N17">
        <v>8.6662424783261471E-3</v>
      </c>
      <c r="O17" t="s">
        <v>67</v>
      </c>
      <c r="P17" t="s">
        <v>67</v>
      </c>
      <c r="Q17" t="s">
        <v>67</v>
      </c>
      <c r="R17" t="s">
        <v>67</v>
      </c>
      <c r="S17" t="s">
        <v>67</v>
      </c>
      <c r="T17" t="s">
        <v>67</v>
      </c>
      <c r="U17" t="s">
        <v>67</v>
      </c>
      <c r="V17" t="s">
        <v>67</v>
      </c>
    </row>
    <row r="18" spans="1:22" hidden="1" x14ac:dyDescent="0.25">
      <c r="A18">
        <v>1986</v>
      </c>
      <c r="B18" t="s">
        <v>22</v>
      </c>
      <c r="C18" t="s">
        <v>64</v>
      </c>
      <c r="D18" t="s">
        <v>64</v>
      </c>
      <c r="E18" t="s">
        <v>65</v>
      </c>
      <c r="F18" t="s">
        <v>83</v>
      </c>
      <c r="G18" t="s">
        <v>23</v>
      </c>
      <c r="H18">
        <v>24</v>
      </c>
      <c r="I18">
        <v>60</v>
      </c>
      <c r="J18">
        <v>11</v>
      </c>
      <c r="K18">
        <v>1</v>
      </c>
      <c r="L18">
        <v>4</v>
      </c>
      <c r="M18" t="s">
        <v>67</v>
      </c>
      <c r="N18">
        <v>-7.1726949512529892E-2</v>
      </c>
      <c r="O18" t="s">
        <v>67</v>
      </c>
      <c r="P18" t="s">
        <v>67</v>
      </c>
      <c r="Q18" t="s">
        <v>67</v>
      </c>
      <c r="R18" t="s">
        <v>67</v>
      </c>
      <c r="S18" t="s">
        <v>67</v>
      </c>
      <c r="T18" t="s">
        <v>67</v>
      </c>
      <c r="U18" t="s">
        <v>67</v>
      </c>
      <c r="V18" t="s">
        <v>67</v>
      </c>
    </row>
    <row r="19" spans="1:22" hidden="1" x14ac:dyDescent="0.25">
      <c r="A19">
        <v>1986</v>
      </c>
      <c r="B19" t="s">
        <v>22</v>
      </c>
      <c r="C19" t="s">
        <v>64</v>
      </c>
      <c r="D19" t="s">
        <v>64</v>
      </c>
      <c r="E19" t="s">
        <v>65</v>
      </c>
      <c r="F19" t="s">
        <v>84</v>
      </c>
      <c r="G19" t="s">
        <v>23</v>
      </c>
      <c r="H19">
        <v>26</v>
      </c>
      <c r="I19">
        <v>60</v>
      </c>
      <c r="J19">
        <v>11</v>
      </c>
      <c r="K19" t="s">
        <v>67</v>
      </c>
      <c r="L19">
        <v>3</v>
      </c>
      <c r="M19" t="s">
        <v>67</v>
      </c>
      <c r="N19">
        <v>9.7342852756776566E-3</v>
      </c>
      <c r="O19" t="s">
        <v>67</v>
      </c>
      <c r="P19" t="s">
        <v>67</v>
      </c>
      <c r="Q19" t="s">
        <v>67</v>
      </c>
      <c r="R19" t="s">
        <v>67</v>
      </c>
      <c r="S19" t="s">
        <v>67</v>
      </c>
      <c r="T19" t="s">
        <v>67</v>
      </c>
      <c r="U19" t="s">
        <v>67</v>
      </c>
      <c r="V19" t="s">
        <v>67</v>
      </c>
    </row>
    <row r="20" spans="1:22" hidden="1" x14ac:dyDescent="0.25">
      <c r="A20">
        <v>1986</v>
      </c>
      <c r="B20" t="s">
        <v>22</v>
      </c>
      <c r="C20" t="s">
        <v>64</v>
      </c>
      <c r="D20" t="s">
        <v>64</v>
      </c>
      <c r="E20" t="s">
        <v>65</v>
      </c>
      <c r="F20" t="s">
        <v>85</v>
      </c>
      <c r="G20" t="s">
        <v>23</v>
      </c>
      <c r="H20">
        <v>11</v>
      </c>
      <c r="I20">
        <v>53</v>
      </c>
      <c r="J20">
        <v>32</v>
      </c>
      <c r="K20">
        <v>1</v>
      </c>
      <c r="L20">
        <v>3</v>
      </c>
      <c r="M20" t="s">
        <v>67</v>
      </c>
      <c r="N20">
        <v>0.11609232597383023</v>
      </c>
      <c r="O20" t="s">
        <v>67</v>
      </c>
      <c r="P20" t="s">
        <v>67</v>
      </c>
      <c r="Q20" t="s">
        <v>67</v>
      </c>
      <c r="R20" t="s">
        <v>67</v>
      </c>
      <c r="S20" t="s">
        <v>67</v>
      </c>
      <c r="T20" t="s">
        <v>67</v>
      </c>
      <c r="U20" t="s">
        <v>67</v>
      </c>
      <c r="V20" t="s">
        <v>67</v>
      </c>
    </row>
    <row r="21" spans="1:22" hidden="1" x14ac:dyDescent="0.25">
      <c r="A21">
        <v>1987</v>
      </c>
      <c r="B21" t="s">
        <v>22</v>
      </c>
      <c r="C21" t="s">
        <v>64</v>
      </c>
      <c r="D21" t="s">
        <v>64</v>
      </c>
      <c r="E21" t="s">
        <v>65</v>
      </c>
      <c r="F21" t="s">
        <v>84</v>
      </c>
      <c r="G21" t="s">
        <v>23</v>
      </c>
      <c r="H21">
        <v>18</v>
      </c>
      <c r="I21">
        <v>61</v>
      </c>
      <c r="J21">
        <v>17</v>
      </c>
      <c r="K21" t="s">
        <v>67</v>
      </c>
      <c r="L21">
        <v>4</v>
      </c>
      <c r="M21" t="s">
        <v>67</v>
      </c>
      <c r="N21">
        <v>2.2305757514299529E-2</v>
      </c>
      <c r="O21" t="s">
        <v>67</v>
      </c>
      <c r="P21" t="s">
        <v>67</v>
      </c>
      <c r="Q21" t="s">
        <v>67</v>
      </c>
      <c r="R21" t="s">
        <v>67</v>
      </c>
      <c r="S21" t="s">
        <v>67</v>
      </c>
      <c r="T21" t="s">
        <v>67</v>
      </c>
      <c r="U21" t="s">
        <v>67</v>
      </c>
      <c r="V21" t="s">
        <v>67</v>
      </c>
    </row>
    <row r="22" spans="1:22" hidden="1" x14ac:dyDescent="0.25">
      <c r="A22">
        <v>1987</v>
      </c>
      <c r="B22" t="s">
        <v>22</v>
      </c>
      <c r="C22" t="s">
        <v>64</v>
      </c>
      <c r="D22" t="s">
        <v>64</v>
      </c>
      <c r="E22" t="s">
        <v>65</v>
      </c>
      <c r="F22" t="s">
        <v>85</v>
      </c>
      <c r="G22" t="s">
        <v>23</v>
      </c>
      <c r="H22">
        <v>16</v>
      </c>
      <c r="I22">
        <v>59</v>
      </c>
      <c r="J22">
        <v>21</v>
      </c>
      <c r="K22">
        <v>1</v>
      </c>
      <c r="L22">
        <v>3</v>
      </c>
      <c r="M22" t="s">
        <v>67</v>
      </c>
      <c r="N22">
        <v>1.7284673244272852E-2</v>
      </c>
      <c r="O22" t="s">
        <v>67</v>
      </c>
      <c r="P22" t="s">
        <v>67</v>
      </c>
      <c r="Q22" t="s">
        <v>67</v>
      </c>
      <c r="R22" t="s">
        <v>67</v>
      </c>
      <c r="S22" t="s">
        <v>67</v>
      </c>
      <c r="T22" t="s">
        <v>67</v>
      </c>
      <c r="U22" t="s">
        <v>67</v>
      </c>
      <c r="V22" t="s">
        <v>67</v>
      </c>
    </row>
    <row r="23" spans="1:22" hidden="1" x14ac:dyDescent="0.25">
      <c r="A23">
        <v>1987</v>
      </c>
      <c r="B23" t="s">
        <v>22</v>
      </c>
      <c r="C23" t="s">
        <v>64</v>
      </c>
      <c r="D23" t="s">
        <v>64</v>
      </c>
      <c r="E23" t="s">
        <v>65</v>
      </c>
      <c r="F23" t="s">
        <v>69</v>
      </c>
      <c r="G23" t="s">
        <v>23</v>
      </c>
      <c r="H23">
        <v>16</v>
      </c>
      <c r="I23">
        <v>60</v>
      </c>
      <c r="J23">
        <v>20</v>
      </c>
      <c r="K23">
        <v>1</v>
      </c>
      <c r="L23">
        <v>3</v>
      </c>
      <c r="M23" t="s">
        <v>67</v>
      </c>
      <c r="N23">
        <v>1.5026063877384921E-2</v>
      </c>
      <c r="O23" t="s">
        <v>67</v>
      </c>
      <c r="P23" t="s">
        <v>67</v>
      </c>
      <c r="Q23" t="s">
        <v>67</v>
      </c>
      <c r="R23" t="s">
        <v>67</v>
      </c>
      <c r="S23" t="s">
        <v>67</v>
      </c>
      <c r="T23" t="s">
        <v>67</v>
      </c>
      <c r="U23" t="s">
        <v>67</v>
      </c>
      <c r="V23" t="s">
        <v>67</v>
      </c>
    </row>
    <row r="24" spans="1:22" hidden="1" x14ac:dyDescent="0.25">
      <c r="A24">
        <v>1987</v>
      </c>
      <c r="B24" t="s">
        <v>22</v>
      </c>
      <c r="C24" t="s">
        <v>64</v>
      </c>
      <c r="D24" t="s">
        <v>64</v>
      </c>
      <c r="E24" t="s">
        <v>65</v>
      </c>
      <c r="F24" t="s">
        <v>70</v>
      </c>
      <c r="G24" t="s">
        <v>23</v>
      </c>
      <c r="H24">
        <v>17</v>
      </c>
      <c r="I24">
        <v>58</v>
      </c>
      <c r="J24">
        <v>21</v>
      </c>
      <c r="K24">
        <v>1</v>
      </c>
      <c r="L24">
        <v>3</v>
      </c>
      <c r="M24" t="s">
        <v>67</v>
      </c>
      <c r="N24">
        <v>1.9364367181793796E-2</v>
      </c>
      <c r="O24" t="s">
        <v>67</v>
      </c>
      <c r="P24" t="s">
        <v>67</v>
      </c>
      <c r="Q24" t="s">
        <v>67</v>
      </c>
      <c r="R24" t="s">
        <v>67</v>
      </c>
      <c r="S24" t="s">
        <v>67</v>
      </c>
      <c r="T24" t="s">
        <v>67</v>
      </c>
      <c r="U24" t="s">
        <v>67</v>
      </c>
      <c r="V24" t="s">
        <v>67</v>
      </c>
    </row>
    <row r="25" spans="1:22" hidden="1" x14ac:dyDescent="0.25">
      <c r="A25">
        <v>1987</v>
      </c>
      <c r="B25" t="s">
        <v>22</v>
      </c>
      <c r="C25" t="s">
        <v>64</v>
      </c>
      <c r="D25" t="s">
        <v>64</v>
      </c>
      <c r="E25" t="s">
        <v>65</v>
      </c>
      <c r="F25" t="s">
        <v>71</v>
      </c>
      <c r="G25" t="s">
        <v>23</v>
      </c>
      <c r="H25">
        <v>17</v>
      </c>
      <c r="I25">
        <v>59</v>
      </c>
      <c r="J25">
        <v>20</v>
      </c>
      <c r="K25">
        <v>1</v>
      </c>
      <c r="L25">
        <v>3</v>
      </c>
      <c r="M25" t="s">
        <v>67</v>
      </c>
      <c r="N25">
        <v>7.6663640108725062E-2</v>
      </c>
      <c r="O25" t="s">
        <v>67</v>
      </c>
      <c r="P25" t="s">
        <v>67</v>
      </c>
      <c r="Q25" t="s">
        <v>67</v>
      </c>
      <c r="R25" t="s">
        <v>67</v>
      </c>
      <c r="S25" t="s">
        <v>67</v>
      </c>
      <c r="T25" t="s">
        <v>67</v>
      </c>
      <c r="U25" t="s">
        <v>67</v>
      </c>
      <c r="V25" t="s">
        <v>67</v>
      </c>
    </row>
    <row r="26" spans="1:22" hidden="1" x14ac:dyDescent="0.25">
      <c r="A26">
        <v>1987</v>
      </c>
      <c r="B26" t="s">
        <v>22</v>
      </c>
      <c r="C26" t="s">
        <v>64</v>
      </c>
      <c r="D26" t="s">
        <v>64</v>
      </c>
      <c r="E26" t="s">
        <v>65</v>
      </c>
      <c r="F26" t="s">
        <v>72</v>
      </c>
      <c r="G26" t="s">
        <v>23</v>
      </c>
      <c r="H26">
        <v>17</v>
      </c>
      <c r="I26">
        <v>60</v>
      </c>
      <c r="J26">
        <v>19</v>
      </c>
      <c r="K26">
        <v>1</v>
      </c>
      <c r="L26">
        <v>3</v>
      </c>
      <c r="M26" t="s">
        <v>67</v>
      </c>
      <c r="N26">
        <v>-1.026820202719847E-2</v>
      </c>
      <c r="O26" t="s">
        <v>67</v>
      </c>
      <c r="P26" t="s">
        <v>67</v>
      </c>
      <c r="Q26" t="s">
        <v>67</v>
      </c>
      <c r="R26" t="s">
        <v>67</v>
      </c>
      <c r="S26" t="s">
        <v>67</v>
      </c>
      <c r="T26" t="s">
        <v>67</v>
      </c>
      <c r="U26" t="s">
        <v>67</v>
      </c>
      <c r="V26" t="s">
        <v>67</v>
      </c>
    </row>
    <row r="27" spans="1:22" hidden="1" x14ac:dyDescent="0.25">
      <c r="A27">
        <v>1987</v>
      </c>
      <c r="B27" t="s">
        <v>22</v>
      </c>
      <c r="C27" t="s">
        <v>64</v>
      </c>
      <c r="D27" t="s">
        <v>64</v>
      </c>
      <c r="E27" t="s">
        <v>65</v>
      </c>
      <c r="F27" t="s">
        <v>73</v>
      </c>
      <c r="G27" t="s">
        <v>23</v>
      </c>
      <c r="H27">
        <v>22</v>
      </c>
      <c r="I27">
        <v>54</v>
      </c>
      <c r="J27">
        <v>19</v>
      </c>
      <c r="K27">
        <v>1</v>
      </c>
      <c r="L27">
        <v>4</v>
      </c>
      <c r="M27" t="s">
        <v>67</v>
      </c>
      <c r="N27">
        <v>-6.1313597433122702E-2</v>
      </c>
      <c r="O27" t="s">
        <v>67</v>
      </c>
      <c r="P27" t="s">
        <v>67</v>
      </c>
      <c r="Q27" t="s">
        <v>67</v>
      </c>
      <c r="R27" t="s">
        <v>67</v>
      </c>
      <c r="S27" t="s">
        <v>67</v>
      </c>
      <c r="T27" t="s">
        <v>67</v>
      </c>
      <c r="U27" t="s">
        <v>67</v>
      </c>
      <c r="V27" t="s">
        <v>67</v>
      </c>
    </row>
    <row r="28" spans="1:22" hidden="1" x14ac:dyDescent="0.25">
      <c r="A28">
        <v>1987</v>
      </c>
      <c r="B28" t="s">
        <v>22</v>
      </c>
      <c r="C28" t="s">
        <v>64</v>
      </c>
      <c r="D28" t="s">
        <v>64</v>
      </c>
      <c r="E28" t="s">
        <v>65</v>
      </c>
      <c r="F28" t="s">
        <v>74</v>
      </c>
      <c r="G28" t="s">
        <v>23</v>
      </c>
      <c r="H28">
        <v>20</v>
      </c>
      <c r="I28">
        <v>55</v>
      </c>
      <c r="J28">
        <v>21</v>
      </c>
      <c r="K28">
        <v>1</v>
      </c>
      <c r="L28">
        <v>3</v>
      </c>
      <c r="M28" t="s">
        <v>67</v>
      </c>
      <c r="N28">
        <v>-0.24953470669434807</v>
      </c>
      <c r="O28" t="s">
        <v>67</v>
      </c>
      <c r="P28" t="s">
        <v>67</v>
      </c>
      <c r="Q28" t="s">
        <v>67</v>
      </c>
      <c r="R28" t="s">
        <v>67</v>
      </c>
      <c r="S28" t="s">
        <v>67</v>
      </c>
      <c r="T28" t="s">
        <v>67</v>
      </c>
      <c r="U28" t="s">
        <v>67</v>
      </c>
      <c r="V28" t="s">
        <v>67</v>
      </c>
    </row>
    <row r="29" spans="1:22" hidden="1" x14ac:dyDescent="0.25">
      <c r="A29">
        <v>1987</v>
      </c>
      <c r="B29" t="s">
        <v>22</v>
      </c>
      <c r="C29" t="s">
        <v>64</v>
      </c>
      <c r="D29" t="s">
        <v>64</v>
      </c>
      <c r="E29" t="s">
        <v>65</v>
      </c>
      <c r="F29" t="s">
        <v>75</v>
      </c>
      <c r="G29" t="s">
        <v>23</v>
      </c>
      <c r="H29">
        <v>16</v>
      </c>
      <c r="I29">
        <v>53</v>
      </c>
      <c r="J29">
        <v>27</v>
      </c>
      <c r="K29">
        <v>1</v>
      </c>
      <c r="L29">
        <v>3</v>
      </c>
      <c r="M29" t="s">
        <v>67</v>
      </c>
      <c r="N29">
        <v>-1.1305240730525412E-2</v>
      </c>
      <c r="O29" t="s">
        <v>67</v>
      </c>
      <c r="P29" t="s">
        <v>67</v>
      </c>
      <c r="Q29" t="s">
        <v>67</v>
      </c>
      <c r="R29" t="s">
        <v>67</v>
      </c>
      <c r="S29" t="s">
        <v>67</v>
      </c>
      <c r="T29" t="s">
        <v>67</v>
      </c>
      <c r="U29" t="s">
        <v>67</v>
      </c>
      <c r="V29" t="s">
        <v>67</v>
      </c>
    </row>
    <row r="30" spans="1:22" hidden="1" x14ac:dyDescent="0.25">
      <c r="A30">
        <v>1987</v>
      </c>
      <c r="B30" t="s">
        <v>22</v>
      </c>
      <c r="C30" t="s">
        <v>64</v>
      </c>
      <c r="D30" t="s">
        <v>64</v>
      </c>
      <c r="E30" t="s">
        <v>65</v>
      </c>
      <c r="F30" t="s">
        <v>76</v>
      </c>
      <c r="G30" t="s">
        <v>23</v>
      </c>
      <c r="H30">
        <v>11</v>
      </c>
      <c r="I30">
        <v>56</v>
      </c>
      <c r="J30">
        <v>32</v>
      </c>
      <c r="K30" t="s">
        <v>67</v>
      </c>
      <c r="L30">
        <v>1</v>
      </c>
      <c r="M30" t="s">
        <v>67</v>
      </c>
      <c r="N30">
        <v>5.5271650007159501E-2</v>
      </c>
      <c r="O30" t="s">
        <v>67</v>
      </c>
      <c r="P30" t="s">
        <v>67</v>
      </c>
      <c r="Q30" t="s">
        <v>67</v>
      </c>
      <c r="R30" t="s">
        <v>67</v>
      </c>
      <c r="S30" t="s">
        <v>67</v>
      </c>
      <c r="T30" t="s">
        <v>67</v>
      </c>
      <c r="U30" t="s">
        <v>67</v>
      </c>
      <c r="V30" t="s">
        <v>67</v>
      </c>
    </row>
    <row r="31" spans="1:22" hidden="1" x14ac:dyDescent="0.25">
      <c r="A31">
        <v>1987</v>
      </c>
      <c r="B31" t="s">
        <v>22</v>
      </c>
      <c r="C31" t="s">
        <v>64</v>
      </c>
      <c r="D31" t="s">
        <v>64</v>
      </c>
      <c r="E31" t="s">
        <v>65</v>
      </c>
      <c r="F31" t="s">
        <v>77</v>
      </c>
      <c r="G31" t="s">
        <v>23</v>
      </c>
      <c r="H31">
        <v>12</v>
      </c>
      <c r="I31">
        <v>59</v>
      </c>
      <c r="J31">
        <v>27</v>
      </c>
      <c r="K31" t="s">
        <v>67</v>
      </c>
      <c r="L31">
        <v>2</v>
      </c>
      <c r="M31" t="s">
        <v>67</v>
      </c>
      <c r="N31">
        <v>2.8230261152707214E-2</v>
      </c>
      <c r="O31" t="s">
        <v>67</v>
      </c>
      <c r="P31" t="s">
        <v>67</v>
      </c>
      <c r="Q31" t="s">
        <v>67</v>
      </c>
      <c r="R31" t="s">
        <v>67</v>
      </c>
      <c r="S31" t="s">
        <v>67</v>
      </c>
      <c r="T31" t="s">
        <v>67</v>
      </c>
      <c r="U31" t="s">
        <v>67</v>
      </c>
      <c r="V31" t="s">
        <v>67</v>
      </c>
    </row>
    <row r="32" spans="1:22" hidden="1" x14ac:dyDescent="0.25">
      <c r="A32">
        <v>1987</v>
      </c>
      <c r="B32" t="s">
        <v>22</v>
      </c>
      <c r="C32" t="s">
        <v>64</v>
      </c>
      <c r="D32" t="s">
        <v>64</v>
      </c>
      <c r="E32" t="s">
        <v>65</v>
      </c>
      <c r="F32" t="s">
        <v>78</v>
      </c>
      <c r="G32" t="s">
        <v>23</v>
      </c>
      <c r="H32">
        <v>15</v>
      </c>
      <c r="I32">
        <v>61</v>
      </c>
      <c r="J32">
        <v>22</v>
      </c>
      <c r="K32" t="s">
        <v>67</v>
      </c>
      <c r="L32">
        <v>2</v>
      </c>
      <c r="M32" t="s">
        <v>67</v>
      </c>
      <c r="N32">
        <v>5.1655503869326047E-2</v>
      </c>
      <c r="O32" t="s">
        <v>67</v>
      </c>
      <c r="P32" t="s">
        <v>67</v>
      </c>
      <c r="Q32" t="s">
        <v>67</v>
      </c>
      <c r="R32" t="s">
        <v>67</v>
      </c>
      <c r="S32" t="s">
        <v>67</v>
      </c>
      <c r="T32" t="s">
        <v>67</v>
      </c>
      <c r="U32" t="s">
        <v>67</v>
      </c>
      <c r="V32" t="s">
        <v>67</v>
      </c>
    </row>
    <row r="33" spans="1:22" hidden="1" x14ac:dyDescent="0.25">
      <c r="A33">
        <v>1987</v>
      </c>
      <c r="B33" t="s">
        <v>22</v>
      </c>
      <c r="C33" t="s">
        <v>64</v>
      </c>
      <c r="D33" t="s">
        <v>64</v>
      </c>
      <c r="E33" t="s">
        <v>65</v>
      </c>
      <c r="F33" t="s">
        <v>79</v>
      </c>
      <c r="G33" t="s">
        <v>23</v>
      </c>
      <c r="H33">
        <v>15</v>
      </c>
      <c r="I33">
        <v>62</v>
      </c>
      <c r="J33">
        <v>22</v>
      </c>
      <c r="K33" t="s">
        <v>67</v>
      </c>
      <c r="L33">
        <v>1</v>
      </c>
      <c r="M33" t="s">
        <v>67</v>
      </c>
      <c r="N33" t="s">
        <v>67</v>
      </c>
      <c r="O33" t="s">
        <v>67</v>
      </c>
      <c r="P33" t="s">
        <v>67</v>
      </c>
      <c r="Q33" t="s">
        <v>67</v>
      </c>
      <c r="R33" t="s">
        <v>67</v>
      </c>
      <c r="S33" t="s">
        <v>67</v>
      </c>
      <c r="T33" t="s">
        <v>67</v>
      </c>
      <c r="U33" t="s">
        <v>67</v>
      </c>
      <c r="V33" t="s">
        <v>67</v>
      </c>
    </row>
    <row r="34" spans="1:22" hidden="1" x14ac:dyDescent="0.25">
      <c r="A34">
        <v>1987</v>
      </c>
      <c r="B34" t="s">
        <v>22</v>
      </c>
      <c r="C34" t="s">
        <v>64</v>
      </c>
      <c r="D34" t="s">
        <v>64</v>
      </c>
      <c r="E34" t="s">
        <v>65</v>
      </c>
      <c r="F34" t="s">
        <v>80</v>
      </c>
      <c r="G34" t="s">
        <v>23</v>
      </c>
      <c r="H34">
        <v>21</v>
      </c>
      <c r="I34">
        <v>63</v>
      </c>
      <c r="J34">
        <v>14</v>
      </c>
      <c r="K34" t="s">
        <v>67</v>
      </c>
      <c r="L34">
        <v>2</v>
      </c>
      <c r="M34" t="s">
        <v>67</v>
      </c>
      <c r="N34" t="s">
        <v>67</v>
      </c>
      <c r="O34" t="s">
        <v>67</v>
      </c>
      <c r="P34" t="s">
        <v>67</v>
      </c>
      <c r="Q34" t="s">
        <v>67</v>
      </c>
      <c r="R34" t="s">
        <v>67</v>
      </c>
      <c r="S34" t="s">
        <v>67</v>
      </c>
      <c r="T34" t="s">
        <v>67</v>
      </c>
      <c r="U34" t="s">
        <v>67</v>
      </c>
      <c r="V34" t="s">
        <v>67</v>
      </c>
    </row>
    <row r="35" spans="1:22" hidden="1" x14ac:dyDescent="0.25">
      <c r="A35">
        <v>1987</v>
      </c>
      <c r="B35" t="s">
        <v>22</v>
      </c>
      <c r="C35" t="s">
        <v>64</v>
      </c>
      <c r="D35" t="s">
        <v>64</v>
      </c>
      <c r="E35" t="s">
        <v>65</v>
      </c>
      <c r="F35" t="s">
        <v>81</v>
      </c>
      <c r="G35" t="s">
        <v>23</v>
      </c>
      <c r="H35">
        <v>17</v>
      </c>
      <c r="I35">
        <v>66</v>
      </c>
      <c r="J35">
        <v>16</v>
      </c>
      <c r="K35" t="s">
        <v>67</v>
      </c>
      <c r="L35">
        <v>1</v>
      </c>
      <c r="M35" t="s">
        <v>67</v>
      </c>
      <c r="N35" t="s">
        <v>67</v>
      </c>
      <c r="O35" t="s">
        <v>67</v>
      </c>
      <c r="P35" t="s">
        <v>67</v>
      </c>
      <c r="Q35" t="s">
        <v>67</v>
      </c>
      <c r="R35" t="s">
        <v>67</v>
      </c>
      <c r="S35" t="s">
        <v>67</v>
      </c>
      <c r="T35" t="s">
        <v>67</v>
      </c>
      <c r="U35" t="s">
        <v>67</v>
      </c>
      <c r="V35" t="s">
        <v>67</v>
      </c>
    </row>
    <row r="36" spans="1:22" hidden="1" x14ac:dyDescent="0.25">
      <c r="A36">
        <v>1987</v>
      </c>
      <c r="B36" t="s">
        <v>22</v>
      </c>
      <c r="C36" t="s">
        <v>64</v>
      </c>
      <c r="D36" t="s">
        <v>64</v>
      </c>
      <c r="E36" t="s">
        <v>65</v>
      </c>
      <c r="F36" t="s">
        <v>82</v>
      </c>
      <c r="G36" t="s">
        <v>23</v>
      </c>
      <c r="H36">
        <v>18</v>
      </c>
      <c r="I36">
        <v>63</v>
      </c>
      <c r="J36">
        <v>18</v>
      </c>
      <c r="K36" t="s">
        <v>67</v>
      </c>
      <c r="L36">
        <v>1</v>
      </c>
      <c r="M36" t="s">
        <v>67</v>
      </c>
      <c r="N36" t="s">
        <v>67</v>
      </c>
      <c r="O36" t="s">
        <v>67</v>
      </c>
      <c r="P36" t="s">
        <v>67</v>
      </c>
      <c r="Q36" t="s">
        <v>67</v>
      </c>
      <c r="R36" t="s">
        <v>67</v>
      </c>
      <c r="S36" t="s">
        <v>67</v>
      </c>
      <c r="T36" t="s">
        <v>67</v>
      </c>
      <c r="U36" t="s">
        <v>67</v>
      </c>
      <c r="V36" t="s">
        <v>67</v>
      </c>
    </row>
    <row r="37" spans="1:22" hidden="1" x14ac:dyDescent="0.25">
      <c r="A37">
        <v>1987</v>
      </c>
      <c r="B37" t="s">
        <v>22</v>
      </c>
      <c r="C37" t="s">
        <v>64</v>
      </c>
      <c r="D37" t="s">
        <v>64</v>
      </c>
      <c r="E37" t="s">
        <v>65</v>
      </c>
      <c r="F37" t="s">
        <v>83</v>
      </c>
      <c r="G37" t="s">
        <v>23</v>
      </c>
      <c r="H37">
        <v>24</v>
      </c>
      <c r="I37">
        <v>62</v>
      </c>
      <c r="J37">
        <v>13</v>
      </c>
      <c r="K37" t="s">
        <v>67</v>
      </c>
      <c r="L37">
        <v>1</v>
      </c>
      <c r="M37" t="s">
        <v>67</v>
      </c>
      <c r="N37" t="s">
        <v>67</v>
      </c>
      <c r="O37" t="s">
        <v>67</v>
      </c>
      <c r="P37" t="s">
        <v>67</v>
      </c>
      <c r="Q37" t="s">
        <v>67</v>
      </c>
      <c r="R37" t="s">
        <v>67</v>
      </c>
      <c r="S37" t="s">
        <v>67</v>
      </c>
      <c r="T37" t="s">
        <v>67</v>
      </c>
      <c r="U37" t="s">
        <v>67</v>
      </c>
      <c r="V37" t="s">
        <v>67</v>
      </c>
    </row>
    <row r="38" spans="1:22" hidden="1" x14ac:dyDescent="0.25">
      <c r="A38">
        <v>1987</v>
      </c>
      <c r="B38" t="s">
        <v>22</v>
      </c>
      <c r="C38" t="s">
        <v>64</v>
      </c>
      <c r="D38" t="s">
        <v>64</v>
      </c>
      <c r="E38" t="s">
        <v>65</v>
      </c>
      <c r="F38" t="s">
        <v>68</v>
      </c>
      <c r="G38" t="s">
        <v>23</v>
      </c>
      <c r="H38">
        <v>16</v>
      </c>
      <c r="I38">
        <v>60</v>
      </c>
      <c r="J38">
        <v>20</v>
      </c>
      <c r="K38">
        <v>1</v>
      </c>
      <c r="L38">
        <v>3</v>
      </c>
      <c r="M38" t="s">
        <v>67</v>
      </c>
      <c r="N38" t="s">
        <v>67</v>
      </c>
      <c r="O38" t="s">
        <v>67</v>
      </c>
      <c r="P38" t="s">
        <v>67</v>
      </c>
      <c r="Q38" t="s">
        <v>67</v>
      </c>
      <c r="R38" t="s">
        <v>67</v>
      </c>
      <c r="S38" t="s">
        <v>67</v>
      </c>
      <c r="T38" t="s">
        <v>67</v>
      </c>
      <c r="U38" t="s">
        <v>67</v>
      </c>
      <c r="V38" t="s">
        <v>67</v>
      </c>
    </row>
    <row r="39" spans="1:22" x14ac:dyDescent="0.25">
      <c r="A39">
        <v>1987</v>
      </c>
      <c r="B39" t="s">
        <v>22</v>
      </c>
      <c r="C39" t="s">
        <v>64</v>
      </c>
      <c r="D39" t="s">
        <v>64</v>
      </c>
      <c r="E39" t="s">
        <v>65</v>
      </c>
      <c r="F39" t="s">
        <v>87</v>
      </c>
      <c r="G39" t="s">
        <v>23</v>
      </c>
      <c r="H39">
        <v>13</v>
      </c>
      <c r="I39">
        <v>61</v>
      </c>
      <c r="J39">
        <v>22</v>
      </c>
      <c r="K39">
        <v>1</v>
      </c>
      <c r="L39">
        <v>3</v>
      </c>
      <c r="M39">
        <f>J39+I39</f>
        <v>83</v>
      </c>
      <c r="N39">
        <v>8.2597094220909106E-2</v>
      </c>
      <c r="O39" t="s">
        <v>67</v>
      </c>
      <c r="P39" t="s">
        <v>67</v>
      </c>
      <c r="Q39" t="s">
        <v>67</v>
      </c>
      <c r="R39" t="s">
        <v>67</v>
      </c>
      <c r="S39" t="s">
        <v>67</v>
      </c>
      <c r="T39" t="s">
        <v>67</v>
      </c>
      <c r="U39" t="s">
        <v>67</v>
      </c>
      <c r="V39" t="s">
        <v>67</v>
      </c>
    </row>
    <row r="40" spans="1:22" hidden="1" x14ac:dyDescent="0.25">
      <c r="A40">
        <v>1988</v>
      </c>
      <c r="B40" t="s">
        <v>22</v>
      </c>
      <c r="C40" t="s">
        <v>64</v>
      </c>
      <c r="D40" t="s">
        <v>64</v>
      </c>
      <c r="E40" t="s">
        <v>65</v>
      </c>
      <c r="F40" t="s">
        <v>70</v>
      </c>
      <c r="G40" t="s">
        <v>23</v>
      </c>
      <c r="H40">
        <v>37</v>
      </c>
      <c r="I40">
        <v>14</v>
      </c>
      <c r="J40">
        <v>3</v>
      </c>
      <c r="K40">
        <v>10</v>
      </c>
      <c r="L40">
        <v>36</v>
      </c>
      <c r="M40" t="s">
        <v>67</v>
      </c>
      <c r="N40" t="s">
        <v>67</v>
      </c>
      <c r="O40" t="s">
        <v>67</v>
      </c>
      <c r="P40" t="s">
        <v>67</v>
      </c>
      <c r="Q40" t="s">
        <v>67</v>
      </c>
      <c r="R40" t="s">
        <v>67</v>
      </c>
      <c r="S40" t="s">
        <v>67</v>
      </c>
      <c r="T40" t="s">
        <v>67</v>
      </c>
      <c r="U40" t="s">
        <v>67</v>
      </c>
      <c r="V40" t="s">
        <v>67</v>
      </c>
    </row>
    <row r="41" spans="1:22" hidden="1" x14ac:dyDescent="0.25">
      <c r="A41">
        <v>1988</v>
      </c>
      <c r="B41" t="s">
        <v>22</v>
      </c>
      <c r="C41" t="s">
        <v>64</v>
      </c>
      <c r="D41" t="s">
        <v>64</v>
      </c>
      <c r="E41" t="s">
        <v>65</v>
      </c>
      <c r="F41" t="s">
        <v>72</v>
      </c>
      <c r="G41" t="s">
        <v>23</v>
      </c>
      <c r="H41">
        <v>31</v>
      </c>
      <c r="I41">
        <v>14</v>
      </c>
      <c r="J41">
        <v>2</v>
      </c>
      <c r="K41">
        <v>15</v>
      </c>
      <c r="L41">
        <v>38</v>
      </c>
      <c r="M41" t="s">
        <v>67</v>
      </c>
      <c r="N41" t="s">
        <v>67</v>
      </c>
      <c r="O41" t="s">
        <v>67</v>
      </c>
      <c r="P41" t="s">
        <v>67</v>
      </c>
      <c r="Q41" t="s">
        <v>67</v>
      </c>
      <c r="R41" t="s">
        <v>67</v>
      </c>
      <c r="S41" t="s">
        <v>67</v>
      </c>
      <c r="T41" t="s">
        <v>67</v>
      </c>
      <c r="U41" t="s">
        <v>67</v>
      </c>
      <c r="V41" t="s">
        <v>67</v>
      </c>
    </row>
    <row r="42" spans="1:22" hidden="1" x14ac:dyDescent="0.25">
      <c r="A42">
        <v>1988</v>
      </c>
      <c r="B42" t="s">
        <v>22</v>
      </c>
      <c r="C42" t="s">
        <v>64</v>
      </c>
      <c r="D42" t="s">
        <v>64</v>
      </c>
      <c r="E42" t="s">
        <v>65</v>
      </c>
      <c r="F42" t="s">
        <v>73</v>
      </c>
      <c r="G42" t="s">
        <v>23</v>
      </c>
      <c r="H42">
        <v>30</v>
      </c>
      <c r="I42">
        <v>15</v>
      </c>
      <c r="J42">
        <v>3</v>
      </c>
      <c r="K42">
        <v>16</v>
      </c>
      <c r="L42">
        <v>36</v>
      </c>
      <c r="M42" t="s">
        <v>67</v>
      </c>
      <c r="N42" t="s">
        <v>67</v>
      </c>
      <c r="O42" t="s">
        <v>67</v>
      </c>
      <c r="P42" t="s">
        <v>67</v>
      </c>
      <c r="Q42" t="s">
        <v>67</v>
      </c>
      <c r="R42" t="s">
        <v>67</v>
      </c>
      <c r="S42" t="s">
        <v>67</v>
      </c>
      <c r="T42" t="s">
        <v>67</v>
      </c>
      <c r="U42" t="s">
        <v>67</v>
      </c>
      <c r="V42" t="s">
        <v>67</v>
      </c>
    </row>
    <row r="43" spans="1:22" hidden="1" x14ac:dyDescent="0.25">
      <c r="A43">
        <v>1988</v>
      </c>
      <c r="B43" t="s">
        <v>22</v>
      </c>
      <c r="C43" t="s">
        <v>64</v>
      </c>
      <c r="D43" t="s">
        <v>64</v>
      </c>
      <c r="E43" t="s">
        <v>65</v>
      </c>
      <c r="F43" t="s">
        <v>74</v>
      </c>
      <c r="G43" t="s">
        <v>23</v>
      </c>
      <c r="H43">
        <v>31</v>
      </c>
      <c r="I43">
        <v>15</v>
      </c>
      <c r="J43">
        <v>3</v>
      </c>
      <c r="K43">
        <v>18</v>
      </c>
      <c r="L43">
        <v>33</v>
      </c>
      <c r="M43" t="s">
        <v>67</v>
      </c>
      <c r="N43" t="s">
        <v>67</v>
      </c>
      <c r="O43" t="s">
        <v>67</v>
      </c>
      <c r="P43" t="s">
        <v>67</v>
      </c>
      <c r="Q43" t="s">
        <v>67</v>
      </c>
      <c r="R43" t="s">
        <v>67</v>
      </c>
      <c r="S43" t="s">
        <v>67</v>
      </c>
      <c r="T43" t="s">
        <v>67</v>
      </c>
      <c r="U43" t="s">
        <v>67</v>
      </c>
      <c r="V43" t="s">
        <v>67</v>
      </c>
    </row>
    <row r="44" spans="1:22" hidden="1" x14ac:dyDescent="0.25">
      <c r="A44">
        <v>1988</v>
      </c>
      <c r="B44" t="s">
        <v>22</v>
      </c>
      <c r="C44" t="s">
        <v>64</v>
      </c>
      <c r="D44" t="s">
        <v>64</v>
      </c>
      <c r="E44" t="s">
        <v>65</v>
      </c>
      <c r="F44" t="s">
        <v>75</v>
      </c>
      <c r="G44" t="s">
        <v>23</v>
      </c>
      <c r="H44">
        <v>33</v>
      </c>
      <c r="I44">
        <v>16</v>
      </c>
      <c r="J44">
        <v>3</v>
      </c>
      <c r="K44">
        <v>15</v>
      </c>
      <c r="L44">
        <v>33</v>
      </c>
      <c r="M44" t="s">
        <v>67</v>
      </c>
      <c r="N44" t="s">
        <v>67</v>
      </c>
      <c r="O44" t="s">
        <v>67</v>
      </c>
      <c r="P44" t="s">
        <v>67</v>
      </c>
      <c r="Q44" t="s">
        <v>67</v>
      </c>
      <c r="R44" t="s">
        <v>67</v>
      </c>
      <c r="S44" t="s">
        <v>67</v>
      </c>
      <c r="T44" t="s">
        <v>67</v>
      </c>
      <c r="U44" t="s">
        <v>67</v>
      </c>
      <c r="V44" t="s">
        <v>67</v>
      </c>
    </row>
    <row r="45" spans="1:22" hidden="1" x14ac:dyDescent="0.25">
      <c r="A45">
        <v>1988</v>
      </c>
      <c r="B45" t="s">
        <v>22</v>
      </c>
      <c r="C45" t="s">
        <v>64</v>
      </c>
      <c r="D45" t="s">
        <v>64</v>
      </c>
      <c r="E45" t="s">
        <v>65</v>
      </c>
      <c r="F45" t="s">
        <v>76</v>
      </c>
      <c r="G45" t="s">
        <v>23</v>
      </c>
      <c r="H45">
        <v>35</v>
      </c>
      <c r="I45">
        <v>18</v>
      </c>
      <c r="J45">
        <v>2</v>
      </c>
      <c r="K45">
        <v>13</v>
      </c>
      <c r="L45">
        <v>32</v>
      </c>
      <c r="M45" t="s">
        <v>67</v>
      </c>
      <c r="N45" t="s">
        <v>67</v>
      </c>
      <c r="O45" t="s">
        <v>67</v>
      </c>
      <c r="P45" t="s">
        <v>67</v>
      </c>
      <c r="Q45" t="s">
        <v>67</v>
      </c>
      <c r="R45" t="s">
        <v>67</v>
      </c>
      <c r="S45" t="s">
        <v>67</v>
      </c>
      <c r="T45" t="s">
        <v>67</v>
      </c>
      <c r="U45" t="s">
        <v>67</v>
      </c>
      <c r="V45" t="s">
        <v>67</v>
      </c>
    </row>
    <row r="46" spans="1:22" hidden="1" x14ac:dyDescent="0.25">
      <c r="A46">
        <v>1988</v>
      </c>
      <c r="B46" t="s">
        <v>22</v>
      </c>
      <c r="C46" t="s">
        <v>64</v>
      </c>
      <c r="D46" t="s">
        <v>64</v>
      </c>
      <c r="E46" t="s">
        <v>65</v>
      </c>
      <c r="F46" t="s">
        <v>77</v>
      </c>
      <c r="G46" t="s">
        <v>23</v>
      </c>
      <c r="H46">
        <v>32</v>
      </c>
      <c r="I46">
        <v>16</v>
      </c>
      <c r="J46">
        <v>2</v>
      </c>
      <c r="K46">
        <v>18</v>
      </c>
      <c r="L46">
        <v>32</v>
      </c>
      <c r="M46" t="s">
        <v>67</v>
      </c>
      <c r="N46" t="s">
        <v>67</v>
      </c>
      <c r="O46" t="s">
        <v>67</v>
      </c>
      <c r="P46" t="s">
        <v>67</v>
      </c>
      <c r="Q46" t="s">
        <v>67</v>
      </c>
      <c r="R46" t="s">
        <v>67</v>
      </c>
      <c r="S46" t="s">
        <v>67</v>
      </c>
      <c r="T46" t="s">
        <v>67</v>
      </c>
      <c r="U46" t="s">
        <v>67</v>
      </c>
      <c r="V46" t="s">
        <v>67</v>
      </c>
    </row>
    <row r="47" spans="1:22" hidden="1" x14ac:dyDescent="0.25">
      <c r="A47">
        <v>1988</v>
      </c>
      <c r="B47" t="s">
        <v>22</v>
      </c>
      <c r="C47" t="s">
        <v>64</v>
      </c>
      <c r="D47" t="s">
        <v>64</v>
      </c>
      <c r="E47" t="s">
        <v>65</v>
      </c>
      <c r="F47" t="s">
        <v>71</v>
      </c>
      <c r="G47" t="s">
        <v>23</v>
      </c>
      <c r="H47">
        <v>36</v>
      </c>
      <c r="I47">
        <v>15</v>
      </c>
      <c r="J47">
        <v>3</v>
      </c>
      <c r="K47">
        <v>12</v>
      </c>
      <c r="L47">
        <v>34</v>
      </c>
      <c r="M47" t="s">
        <v>67</v>
      </c>
      <c r="N47" t="s">
        <v>67</v>
      </c>
      <c r="O47" t="s">
        <v>67</v>
      </c>
      <c r="P47" t="s">
        <v>67</v>
      </c>
      <c r="Q47" t="s">
        <v>67</v>
      </c>
      <c r="R47" t="s">
        <v>67</v>
      </c>
      <c r="S47" t="s">
        <v>67</v>
      </c>
      <c r="T47" t="s">
        <v>67</v>
      </c>
      <c r="U47" t="s">
        <v>67</v>
      </c>
      <c r="V47" t="s">
        <v>67</v>
      </c>
    </row>
    <row r="48" spans="1:22" hidden="1" x14ac:dyDescent="0.25">
      <c r="A48">
        <v>1988</v>
      </c>
      <c r="B48" t="s">
        <v>22</v>
      </c>
      <c r="C48" t="s">
        <v>64</v>
      </c>
      <c r="D48" t="s">
        <v>64</v>
      </c>
      <c r="E48" t="s">
        <v>65</v>
      </c>
      <c r="F48" t="s">
        <v>79</v>
      </c>
      <c r="G48" t="s">
        <v>23</v>
      </c>
      <c r="H48">
        <v>48</v>
      </c>
      <c r="I48">
        <v>21</v>
      </c>
      <c r="J48">
        <v>2</v>
      </c>
      <c r="K48">
        <v>6</v>
      </c>
      <c r="L48">
        <v>23</v>
      </c>
      <c r="M48" t="s">
        <v>67</v>
      </c>
      <c r="N48" t="s">
        <v>67</v>
      </c>
      <c r="O48" t="s">
        <v>67</v>
      </c>
      <c r="P48" t="s">
        <v>67</v>
      </c>
      <c r="Q48" t="s">
        <v>67</v>
      </c>
      <c r="R48" t="s">
        <v>67</v>
      </c>
      <c r="S48" t="s">
        <v>67</v>
      </c>
      <c r="T48" t="s">
        <v>67</v>
      </c>
      <c r="U48" t="s">
        <v>67</v>
      </c>
      <c r="V48" t="s">
        <v>67</v>
      </c>
    </row>
    <row r="49" spans="1:22" hidden="1" x14ac:dyDescent="0.25">
      <c r="A49">
        <v>1988</v>
      </c>
      <c r="B49" t="s">
        <v>22</v>
      </c>
      <c r="C49" t="s">
        <v>64</v>
      </c>
      <c r="D49" t="s">
        <v>64</v>
      </c>
      <c r="E49" t="s">
        <v>65</v>
      </c>
      <c r="F49" t="s">
        <v>80</v>
      </c>
      <c r="G49" t="s">
        <v>23</v>
      </c>
      <c r="H49">
        <v>51</v>
      </c>
      <c r="I49">
        <v>20</v>
      </c>
      <c r="J49">
        <v>1</v>
      </c>
      <c r="K49">
        <v>5</v>
      </c>
      <c r="L49">
        <v>23</v>
      </c>
      <c r="M49" t="s">
        <v>67</v>
      </c>
      <c r="N49" t="s">
        <v>67</v>
      </c>
      <c r="O49" t="s">
        <v>67</v>
      </c>
      <c r="P49" t="s">
        <v>67</v>
      </c>
      <c r="Q49" t="s">
        <v>67</v>
      </c>
      <c r="R49" t="s">
        <v>67</v>
      </c>
      <c r="S49" t="s">
        <v>67</v>
      </c>
      <c r="T49" t="s">
        <v>67</v>
      </c>
      <c r="U49" t="s">
        <v>67</v>
      </c>
      <c r="V49" t="s">
        <v>67</v>
      </c>
    </row>
    <row r="50" spans="1:22" hidden="1" x14ac:dyDescent="0.25">
      <c r="A50">
        <v>1988</v>
      </c>
      <c r="B50" t="s">
        <v>22</v>
      </c>
      <c r="C50" t="s">
        <v>64</v>
      </c>
      <c r="D50" t="s">
        <v>64</v>
      </c>
      <c r="E50" t="s">
        <v>65</v>
      </c>
      <c r="F50" t="s">
        <v>81</v>
      </c>
      <c r="G50" t="s">
        <v>23</v>
      </c>
      <c r="H50">
        <v>47</v>
      </c>
      <c r="I50">
        <v>34</v>
      </c>
      <c r="J50">
        <v>3</v>
      </c>
      <c r="K50">
        <v>2</v>
      </c>
      <c r="L50">
        <v>14</v>
      </c>
      <c r="M50" t="s">
        <v>67</v>
      </c>
      <c r="N50" t="s">
        <v>67</v>
      </c>
      <c r="O50" t="s">
        <v>67</v>
      </c>
      <c r="P50" t="s">
        <v>67</v>
      </c>
      <c r="Q50" t="s">
        <v>67</v>
      </c>
      <c r="R50" t="s">
        <v>67</v>
      </c>
      <c r="S50" t="s">
        <v>67</v>
      </c>
      <c r="T50" t="s">
        <v>67</v>
      </c>
      <c r="U50" t="s">
        <v>67</v>
      </c>
      <c r="V50" t="s">
        <v>67</v>
      </c>
    </row>
    <row r="51" spans="1:22" hidden="1" x14ac:dyDescent="0.25">
      <c r="A51">
        <v>1988</v>
      </c>
      <c r="B51" t="s">
        <v>22</v>
      </c>
      <c r="C51" t="s">
        <v>64</v>
      </c>
      <c r="D51" t="s">
        <v>64</v>
      </c>
      <c r="E51" t="s">
        <v>65</v>
      </c>
      <c r="F51" t="s">
        <v>82</v>
      </c>
      <c r="G51" t="s">
        <v>23</v>
      </c>
      <c r="H51">
        <v>43</v>
      </c>
      <c r="I51">
        <v>43</v>
      </c>
      <c r="J51">
        <v>4</v>
      </c>
      <c r="K51">
        <v>1</v>
      </c>
      <c r="L51">
        <v>9</v>
      </c>
      <c r="M51" t="s">
        <v>67</v>
      </c>
      <c r="N51" t="s">
        <v>67</v>
      </c>
      <c r="O51" t="s">
        <v>67</v>
      </c>
      <c r="P51" t="s">
        <v>67</v>
      </c>
      <c r="Q51" t="s">
        <v>67</v>
      </c>
      <c r="R51" t="s">
        <v>67</v>
      </c>
      <c r="S51" t="s">
        <v>67</v>
      </c>
      <c r="T51" t="s">
        <v>67</v>
      </c>
      <c r="U51" t="s">
        <v>67</v>
      </c>
      <c r="V51" t="s">
        <v>67</v>
      </c>
    </row>
    <row r="52" spans="1:22" hidden="1" x14ac:dyDescent="0.25">
      <c r="A52">
        <v>1988</v>
      </c>
      <c r="B52" t="s">
        <v>22</v>
      </c>
      <c r="C52" t="s">
        <v>64</v>
      </c>
      <c r="D52" t="s">
        <v>64</v>
      </c>
      <c r="E52" t="s">
        <v>65</v>
      </c>
      <c r="F52" t="s">
        <v>83</v>
      </c>
      <c r="G52" t="s">
        <v>23</v>
      </c>
      <c r="H52">
        <v>38</v>
      </c>
      <c r="I52">
        <v>49</v>
      </c>
      <c r="J52">
        <v>6</v>
      </c>
      <c r="K52">
        <v>1</v>
      </c>
      <c r="L52">
        <v>6</v>
      </c>
      <c r="M52" t="s">
        <v>67</v>
      </c>
      <c r="N52" t="s">
        <v>67</v>
      </c>
      <c r="O52" t="s">
        <v>67</v>
      </c>
      <c r="P52" t="s">
        <v>67</v>
      </c>
      <c r="Q52" t="s">
        <v>67</v>
      </c>
      <c r="R52" t="s">
        <v>67</v>
      </c>
      <c r="S52" t="s">
        <v>67</v>
      </c>
      <c r="T52" t="s">
        <v>67</v>
      </c>
      <c r="U52" t="s">
        <v>67</v>
      </c>
      <c r="V52" t="s">
        <v>67</v>
      </c>
    </row>
    <row r="53" spans="1:22" hidden="1" x14ac:dyDescent="0.25">
      <c r="A53">
        <v>1988</v>
      </c>
      <c r="B53" t="s">
        <v>22</v>
      </c>
      <c r="C53" t="s">
        <v>64</v>
      </c>
      <c r="D53" t="s">
        <v>64</v>
      </c>
      <c r="E53" t="s">
        <v>65</v>
      </c>
      <c r="F53" t="s">
        <v>84</v>
      </c>
      <c r="G53" t="s">
        <v>23</v>
      </c>
      <c r="H53">
        <v>31</v>
      </c>
      <c r="I53">
        <v>57</v>
      </c>
      <c r="J53">
        <v>7</v>
      </c>
      <c r="K53">
        <v>1</v>
      </c>
      <c r="L53">
        <v>4</v>
      </c>
      <c r="M53" t="s">
        <v>67</v>
      </c>
      <c r="N53" t="s">
        <v>67</v>
      </c>
      <c r="O53" t="s">
        <v>67</v>
      </c>
      <c r="P53" t="s">
        <v>67</v>
      </c>
      <c r="Q53" t="s">
        <v>67</v>
      </c>
      <c r="R53" t="s">
        <v>67</v>
      </c>
      <c r="S53" t="s">
        <v>67</v>
      </c>
      <c r="T53" t="s">
        <v>67</v>
      </c>
      <c r="U53" t="s">
        <v>67</v>
      </c>
      <c r="V53" t="s">
        <v>67</v>
      </c>
    </row>
    <row r="54" spans="1:22" hidden="1" x14ac:dyDescent="0.25">
      <c r="A54">
        <v>1988</v>
      </c>
      <c r="B54" t="s">
        <v>22</v>
      </c>
      <c r="C54" t="s">
        <v>64</v>
      </c>
      <c r="D54" t="s">
        <v>64</v>
      </c>
      <c r="E54" t="s">
        <v>65</v>
      </c>
      <c r="F54" t="s">
        <v>69</v>
      </c>
      <c r="G54" t="s">
        <v>23</v>
      </c>
      <c r="H54">
        <v>36</v>
      </c>
      <c r="I54">
        <v>17</v>
      </c>
      <c r="J54">
        <v>2</v>
      </c>
      <c r="K54">
        <v>11</v>
      </c>
      <c r="L54">
        <v>34</v>
      </c>
      <c r="M54" t="s">
        <v>67</v>
      </c>
      <c r="N54" t="s">
        <v>67</v>
      </c>
      <c r="O54" t="s">
        <v>67</v>
      </c>
      <c r="P54" t="s">
        <v>67</v>
      </c>
      <c r="Q54" t="s">
        <v>67</v>
      </c>
      <c r="R54" t="s">
        <v>67</v>
      </c>
      <c r="S54" t="s">
        <v>67</v>
      </c>
      <c r="T54" t="s">
        <v>67</v>
      </c>
      <c r="U54" t="s">
        <v>67</v>
      </c>
      <c r="V54" t="s">
        <v>67</v>
      </c>
    </row>
    <row r="55" spans="1:22" hidden="1" x14ac:dyDescent="0.25">
      <c r="A55">
        <v>1988</v>
      </c>
      <c r="B55" t="s">
        <v>22</v>
      </c>
      <c r="C55" t="s">
        <v>64</v>
      </c>
      <c r="D55" t="s">
        <v>64</v>
      </c>
      <c r="E55" t="s">
        <v>65</v>
      </c>
      <c r="F55" t="s">
        <v>78</v>
      </c>
      <c r="G55" t="s">
        <v>23</v>
      </c>
      <c r="H55">
        <v>36</v>
      </c>
      <c r="I55">
        <v>13</v>
      </c>
      <c r="J55">
        <v>1</v>
      </c>
      <c r="K55">
        <v>18</v>
      </c>
      <c r="L55">
        <v>32</v>
      </c>
      <c r="M55" t="s">
        <v>67</v>
      </c>
      <c r="N55" t="s">
        <v>67</v>
      </c>
      <c r="O55" t="s">
        <v>67</v>
      </c>
      <c r="P55" t="s">
        <v>67</v>
      </c>
      <c r="Q55" t="s">
        <v>67</v>
      </c>
      <c r="R55" t="s">
        <v>67</v>
      </c>
      <c r="S55" t="s">
        <v>67</v>
      </c>
      <c r="T55" t="s">
        <v>67</v>
      </c>
      <c r="U55" t="s">
        <v>67</v>
      </c>
      <c r="V55" t="s">
        <v>67</v>
      </c>
    </row>
    <row r="56" spans="1:22" hidden="1" x14ac:dyDescent="0.25">
      <c r="A56">
        <v>1989</v>
      </c>
      <c r="B56" t="s">
        <v>22</v>
      </c>
      <c r="C56" t="s">
        <v>64</v>
      </c>
      <c r="D56" t="s">
        <v>64</v>
      </c>
      <c r="E56" t="s">
        <v>65</v>
      </c>
      <c r="F56" t="s">
        <v>68</v>
      </c>
      <c r="G56" t="s">
        <v>23</v>
      </c>
      <c r="H56">
        <v>25</v>
      </c>
      <c r="I56">
        <v>53</v>
      </c>
      <c r="J56">
        <v>14</v>
      </c>
      <c r="K56">
        <v>2</v>
      </c>
      <c r="L56">
        <v>6</v>
      </c>
      <c r="M56" t="s">
        <v>67</v>
      </c>
      <c r="N56" t="s">
        <v>67</v>
      </c>
      <c r="O56" t="s">
        <v>67</v>
      </c>
      <c r="P56" t="s">
        <v>67</v>
      </c>
      <c r="Q56" t="s">
        <v>67</v>
      </c>
      <c r="R56" t="s">
        <v>67</v>
      </c>
      <c r="S56" t="s">
        <v>67</v>
      </c>
      <c r="T56" t="s">
        <v>67</v>
      </c>
      <c r="U56" t="s">
        <v>67</v>
      </c>
      <c r="V56" t="s">
        <v>67</v>
      </c>
    </row>
    <row r="57" spans="1:22" hidden="1" x14ac:dyDescent="0.25">
      <c r="A57">
        <v>1989</v>
      </c>
      <c r="B57" t="s">
        <v>22</v>
      </c>
      <c r="C57" t="s">
        <v>64</v>
      </c>
      <c r="D57" t="s">
        <v>64</v>
      </c>
      <c r="E57" t="s">
        <v>65</v>
      </c>
      <c r="F57" t="s">
        <v>85</v>
      </c>
      <c r="G57" t="s">
        <v>23</v>
      </c>
      <c r="H57">
        <v>24</v>
      </c>
      <c r="I57">
        <v>56</v>
      </c>
      <c r="J57">
        <v>12</v>
      </c>
      <c r="K57">
        <v>2</v>
      </c>
      <c r="L57">
        <v>6</v>
      </c>
      <c r="M57" t="s">
        <v>67</v>
      </c>
      <c r="N57" t="s">
        <v>67</v>
      </c>
      <c r="O57" t="s">
        <v>67</v>
      </c>
      <c r="P57" t="s">
        <v>67</v>
      </c>
      <c r="Q57" t="s">
        <v>67</v>
      </c>
      <c r="R57" t="s">
        <v>67</v>
      </c>
      <c r="S57" t="s">
        <v>67</v>
      </c>
      <c r="T57" t="s">
        <v>67</v>
      </c>
      <c r="U57" t="s">
        <v>67</v>
      </c>
      <c r="V57" t="s">
        <v>67</v>
      </c>
    </row>
    <row r="58" spans="1:22" hidden="1" x14ac:dyDescent="0.25">
      <c r="A58">
        <v>1989</v>
      </c>
      <c r="B58" t="s">
        <v>22</v>
      </c>
      <c r="C58" t="s">
        <v>64</v>
      </c>
      <c r="D58" t="s">
        <v>64</v>
      </c>
      <c r="E58" t="s">
        <v>65</v>
      </c>
      <c r="F58" t="s">
        <v>69</v>
      </c>
      <c r="G58" t="s">
        <v>23</v>
      </c>
      <c r="H58">
        <v>26</v>
      </c>
      <c r="I58">
        <v>52</v>
      </c>
      <c r="J58">
        <v>13</v>
      </c>
      <c r="K58">
        <v>2</v>
      </c>
      <c r="L58">
        <v>7</v>
      </c>
      <c r="M58" t="s">
        <v>67</v>
      </c>
      <c r="N58" t="s">
        <v>67</v>
      </c>
      <c r="O58" t="s">
        <v>67</v>
      </c>
      <c r="P58" t="s">
        <v>67</v>
      </c>
      <c r="Q58" t="s">
        <v>67</v>
      </c>
      <c r="R58" t="s">
        <v>67</v>
      </c>
      <c r="S58" t="s">
        <v>67</v>
      </c>
      <c r="T58" t="s">
        <v>67</v>
      </c>
      <c r="U58" t="s">
        <v>67</v>
      </c>
      <c r="V58" t="s">
        <v>67</v>
      </c>
    </row>
    <row r="59" spans="1:22" hidden="1" x14ac:dyDescent="0.25">
      <c r="A59">
        <v>1989</v>
      </c>
      <c r="B59" t="s">
        <v>22</v>
      </c>
      <c r="C59" t="s">
        <v>64</v>
      </c>
      <c r="D59" t="s">
        <v>64</v>
      </c>
      <c r="E59" t="s">
        <v>65</v>
      </c>
      <c r="F59" t="s">
        <v>70</v>
      </c>
      <c r="G59" t="s">
        <v>23</v>
      </c>
      <c r="H59">
        <v>25</v>
      </c>
      <c r="I59">
        <v>50</v>
      </c>
      <c r="J59">
        <v>14</v>
      </c>
      <c r="K59">
        <v>3</v>
      </c>
      <c r="L59">
        <v>8</v>
      </c>
      <c r="M59" t="s">
        <v>67</v>
      </c>
      <c r="N59" t="s">
        <v>67</v>
      </c>
      <c r="O59" t="s">
        <v>67</v>
      </c>
      <c r="P59" t="s">
        <v>67</v>
      </c>
      <c r="Q59" t="s">
        <v>67</v>
      </c>
      <c r="R59" t="s">
        <v>67</v>
      </c>
      <c r="S59" t="s">
        <v>67</v>
      </c>
      <c r="T59" t="s">
        <v>67</v>
      </c>
      <c r="U59" t="s">
        <v>67</v>
      </c>
      <c r="V59" t="s">
        <v>67</v>
      </c>
    </row>
    <row r="60" spans="1:22" hidden="1" x14ac:dyDescent="0.25">
      <c r="A60">
        <v>1989</v>
      </c>
      <c r="B60" t="s">
        <v>22</v>
      </c>
      <c r="C60" t="s">
        <v>64</v>
      </c>
      <c r="D60" t="s">
        <v>64</v>
      </c>
      <c r="E60" t="s">
        <v>65</v>
      </c>
      <c r="F60" t="s">
        <v>71</v>
      </c>
      <c r="G60" t="s">
        <v>23</v>
      </c>
      <c r="H60">
        <v>27</v>
      </c>
      <c r="I60">
        <v>46</v>
      </c>
      <c r="J60">
        <v>13</v>
      </c>
      <c r="K60">
        <v>3</v>
      </c>
      <c r="L60">
        <v>11</v>
      </c>
      <c r="M60" t="s">
        <v>67</v>
      </c>
      <c r="N60" t="s">
        <v>67</v>
      </c>
      <c r="O60" t="s">
        <v>67</v>
      </c>
      <c r="P60" t="s">
        <v>67</v>
      </c>
      <c r="Q60" t="s">
        <v>67</v>
      </c>
      <c r="R60" t="s">
        <v>67</v>
      </c>
      <c r="S60" t="s">
        <v>67</v>
      </c>
      <c r="T60" t="s">
        <v>67</v>
      </c>
      <c r="U60" t="s">
        <v>67</v>
      </c>
      <c r="V60" t="s">
        <v>67</v>
      </c>
    </row>
    <row r="61" spans="1:22" hidden="1" x14ac:dyDescent="0.25">
      <c r="A61">
        <v>1989</v>
      </c>
      <c r="B61" t="s">
        <v>22</v>
      </c>
      <c r="C61" t="s">
        <v>64</v>
      </c>
      <c r="D61" t="s">
        <v>64</v>
      </c>
      <c r="E61" t="s">
        <v>65</v>
      </c>
      <c r="F61" t="s">
        <v>72</v>
      </c>
      <c r="G61" t="s">
        <v>23</v>
      </c>
      <c r="H61">
        <v>27</v>
      </c>
      <c r="I61">
        <v>46</v>
      </c>
      <c r="J61">
        <v>13</v>
      </c>
      <c r="K61">
        <v>3</v>
      </c>
      <c r="L61">
        <v>11</v>
      </c>
      <c r="M61" t="s">
        <v>67</v>
      </c>
      <c r="N61" t="s">
        <v>67</v>
      </c>
      <c r="O61" t="s">
        <v>67</v>
      </c>
      <c r="P61" t="s">
        <v>67</v>
      </c>
      <c r="Q61" t="s">
        <v>67</v>
      </c>
      <c r="R61" t="s">
        <v>67</v>
      </c>
      <c r="S61" t="s">
        <v>67</v>
      </c>
      <c r="T61" t="s">
        <v>67</v>
      </c>
      <c r="U61" t="s">
        <v>67</v>
      </c>
      <c r="V61" t="s">
        <v>67</v>
      </c>
    </row>
    <row r="62" spans="1:22" hidden="1" x14ac:dyDescent="0.25">
      <c r="A62">
        <v>1989</v>
      </c>
      <c r="B62" t="s">
        <v>22</v>
      </c>
      <c r="C62" t="s">
        <v>64</v>
      </c>
      <c r="D62" t="s">
        <v>64</v>
      </c>
      <c r="E62" t="s">
        <v>65</v>
      </c>
      <c r="F62" t="s">
        <v>73</v>
      </c>
      <c r="G62" t="s">
        <v>23</v>
      </c>
      <c r="H62">
        <v>26</v>
      </c>
      <c r="I62">
        <v>51</v>
      </c>
      <c r="J62">
        <v>12</v>
      </c>
      <c r="K62">
        <v>3</v>
      </c>
      <c r="L62">
        <v>8</v>
      </c>
      <c r="M62" t="s">
        <v>67</v>
      </c>
      <c r="N62" t="s">
        <v>67</v>
      </c>
      <c r="O62" t="s">
        <v>67</v>
      </c>
      <c r="P62" t="s">
        <v>67</v>
      </c>
      <c r="Q62" t="s">
        <v>67</v>
      </c>
      <c r="R62" t="s">
        <v>67</v>
      </c>
      <c r="S62" t="s">
        <v>67</v>
      </c>
      <c r="T62" t="s">
        <v>67</v>
      </c>
      <c r="U62" t="s">
        <v>67</v>
      </c>
      <c r="V62" t="s">
        <v>67</v>
      </c>
    </row>
    <row r="63" spans="1:22" hidden="1" x14ac:dyDescent="0.25">
      <c r="A63">
        <v>1989</v>
      </c>
      <c r="B63" t="s">
        <v>22</v>
      </c>
      <c r="C63" t="s">
        <v>64</v>
      </c>
      <c r="D63" t="s">
        <v>64</v>
      </c>
      <c r="E63" t="s">
        <v>65</v>
      </c>
      <c r="F63" t="s">
        <v>74</v>
      </c>
      <c r="G63" t="s">
        <v>23</v>
      </c>
      <c r="H63">
        <v>23</v>
      </c>
      <c r="I63">
        <v>55</v>
      </c>
      <c r="J63">
        <v>16</v>
      </c>
      <c r="K63">
        <v>1</v>
      </c>
      <c r="L63">
        <v>5</v>
      </c>
      <c r="M63" t="s">
        <v>67</v>
      </c>
      <c r="N63" t="s">
        <v>67</v>
      </c>
      <c r="O63" t="s">
        <v>67</v>
      </c>
      <c r="P63" t="s">
        <v>67</v>
      </c>
      <c r="Q63" t="s">
        <v>67</v>
      </c>
      <c r="R63" t="s">
        <v>67</v>
      </c>
      <c r="S63" t="s">
        <v>67</v>
      </c>
      <c r="T63" t="s">
        <v>67</v>
      </c>
      <c r="U63" t="s">
        <v>67</v>
      </c>
      <c r="V63" t="s">
        <v>67</v>
      </c>
    </row>
    <row r="64" spans="1:22" hidden="1" x14ac:dyDescent="0.25">
      <c r="A64">
        <v>1989</v>
      </c>
      <c r="B64" t="s">
        <v>22</v>
      </c>
      <c r="C64" t="s">
        <v>64</v>
      </c>
      <c r="D64" t="s">
        <v>64</v>
      </c>
      <c r="E64" t="s">
        <v>65</v>
      </c>
      <c r="F64" t="s">
        <v>75</v>
      </c>
      <c r="G64" t="s">
        <v>23</v>
      </c>
      <c r="H64">
        <v>23</v>
      </c>
      <c r="I64">
        <v>56</v>
      </c>
      <c r="J64">
        <v>15</v>
      </c>
      <c r="K64">
        <v>1</v>
      </c>
      <c r="L64">
        <v>5</v>
      </c>
      <c r="M64" t="s">
        <v>67</v>
      </c>
      <c r="N64" t="s">
        <v>67</v>
      </c>
      <c r="O64" t="s">
        <v>67</v>
      </c>
      <c r="P64" t="s">
        <v>67</v>
      </c>
      <c r="Q64" t="s">
        <v>67</v>
      </c>
      <c r="R64" t="s">
        <v>67</v>
      </c>
      <c r="S64" t="s">
        <v>67</v>
      </c>
      <c r="T64" t="s">
        <v>67</v>
      </c>
      <c r="U64" t="s">
        <v>67</v>
      </c>
      <c r="V64" t="s">
        <v>67</v>
      </c>
    </row>
    <row r="65" spans="1:22" hidden="1" x14ac:dyDescent="0.25">
      <c r="A65">
        <v>1989</v>
      </c>
      <c r="B65" t="s">
        <v>22</v>
      </c>
      <c r="C65" t="s">
        <v>64</v>
      </c>
      <c r="D65" t="s">
        <v>64</v>
      </c>
      <c r="E65" t="s">
        <v>65</v>
      </c>
      <c r="F65" t="s">
        <v>76</v>
      </c>
      <c r="G65" t="s">
        <v>23</v>
      </c>
      <c r="H65">
        <v>26</v>
      </c>
      <c r="I65">
        <v>58</v>
      </c>
      <c r="J65">
        <v>12</v>
      </c>
      <c r="K65">
        <v>1</v>
      </c>
      <c r="L65">
        <v>3</v>
      </c>
      <c r="M65" t="s">
        <v>67</v>
      </c>
      <c r="N65" t="s">
        <v>67</v>
      </c>
      <c r="O65" t="s">
        <v>67</v>
      </c>
      <c r="P65" t="s">
        <v>67</v>
      </c>
      <c r="Q65" t="s">
        <v>67</v>
      </c>
      <c r="R65" t="s">
        <v>67</v>
      </c>
      <c r="S65" t="s">
        <v>67</v>
      </c>
      <c r="T65" t="s">
        <v>67</v>
      </c>
      <c r="U65" t="s">
        <v>67</v>
      </c>
      <c r="V65" t="s">
        <v>67</v>
      </c>
    </row>
    <row r="66" spans="1:22" hidden="1" x14ac:dyDescent="0.25">
      <c r="A66">
        <v>1989</v>
      </c>
      <c r="B66" t="s">
        <v>22</v>
      </c>
      <c r="C66" t="s">
        <v>64</v>
      </c>
      <c r="D66" t="s">
        <v>64</v>
      </c>
      <c r="E66" t="s">
        <v>65</v>
      </c>
      <c r="F66" t="s">
        <v>77</v>
      </c>
      <c r="G66" t="s">
        <v>23</v>
      </c>
      <c r="H66">
        <v>33</v>
      </c>
      <c r="I66">
        <v>49</v>
      </c>
      <c r="J66">
        <v>9</v>
      </c>
      <c r="K66">
        <v>1</v>
      </c>
      <c r="L66">
        <v>8</v>
      </c>
      <c r="M66" t="s">
        <v>67</v>
      </c>
      <c r="N66" t="s">
        <v>67</v>
      </c>
      <c r="O66" t="s">
        <v>67</v>
      </c>
      <c r="P66" t="s">
        <v>67</v>
      </c>
      <c r="Q66" t="s">
        <v>67</v>
      </c>
      <c r="R66" t="s">
        <v>67</v>
      </c>
      <c r="S66" t="s">
        <v>67</v>
      </c>
      <c r="T66" t="s">
        <v>67</v>
      </c>
      <c r="U66" t="s">
        <v>67</v>
      </c>
      <c r="V66" t="s">
        <v>67</v>
      </c>
    </row>
    <row r="67" spans="1:22" hidden="1" x14ac:dyDescent="0.25">
      <c r="A67">
        <v>1989</v>
      </c>
      <c r="B67" t="s">
        <v>22</v>
      </c>
      <c r="C67" t="s">
        <v>64</v>
      </c>
      <c r="D67" t="s">
        <v>64</v>
      </c>
      <c r="E67" t="s">
        <v>65</v>
      </c>
      <c r="F67" t="s">
        <v>78</v>
      </c>
      <c r="G67" t="s">
        <v>23</v>
      </c>
      <c r="H67">
        <v>33</v>
      </c>
      <c r="I67">
        <v>51</v>
      </c>
      <c r="J67">
        <v>10</v>
      </c>
      <c r="K67">
        <v>1</v>
      </c>
      <c r="L67">
        <v>5</v>
      </c>
      <c r="M67" t="s">
        <v>67</v>
      </c>
      <c r="N67" t="s">
        <v>67</v>
      </c>
      <c r="O67" t="s">
        <v>67</v>
      </c>
      <c r="P67" t="s">
        <v>67</v>
      </c>
      <c r="Q67" t="s">
        <v>67</v>
      </c>
      <c r="R67" t="s">
        <v>67</v>
      </c>
      <c r="S67" t="s">
        <v>67</v>
      </c>
      <c r="T67" t="s">
        <v>67</v>
      </c>
      <c r="U67" t="s">
        <v>67</v>
      </c>
      <c r="V67" t="s">
        <v>67</v>
      </c>
    </row>
    <row r="68" spans="1:22" hidden="1" x14ac:dyDescent="0.25">
      <c r="A68">
        <v>1989</v>
      </c>
      <c r="B68" t="s">
        <v>22</v>
      </c>
      <c r="C68" t="s">
        <v>64</v>
      </c>
      <c r="D68" t="s">
        <v>64</v>
      </c>
      <c r="E68" t="s">
        <v>65</v>
      </c>
      <c r="F68" t="s">
        <v>79</v>
      </c>
      <c r="G68" t="s">
        <v>23</v>
      </c>
      <c r="H68">
        <v>24</v>
      </c>
      <c r="I68">
        <v>62</v>
      </c>
      <c r="J68">
        <v>11</v>
      </c>
      <c r="K68" t="s">
        <v>67</v>
      </c>
      <c r="L68">
        <v>3</v>
      </c>
      <c r="M68" t="s">
        <v>67</v>
      </c>
      <c r="N68" t="s">
        <v>67</v>
      </c>
      <c r="O68" t="s">
        <v>67</v>
      </c>
      <c r="P68" t="s">
        <v>67</v>
      </c>
      <c r="Q68" t="s">
        <v>67</v>
      </c>
      <c r="R68" t="s">
        <v>67</v>
      </c>
      <c r="S68" t="s">
        <v>67</v>
      </c>
      <c r="T68" t="s">
        <v>67</v>
      </c>
      <c r="U68" t="s">
        <v>67</v>
      </c>
      <c r="V68" t="s">
        <v>67</v>
      </c>
    </row>
    <row r="69" spans="1:22" hidden="1" x14ac:dyDescent="0.25">
      <c r="A69">
        <v>1989</v>
      </c>
      <c r="B69" t="s">
        <v>22</v>
      </c>
      <c r="C69" t="s">
        <v>64</v>
      </c>
      <c r="D69" t="s">
        <v>64</v>
      </c>
      <c r="E69" t="s">
        <v>65</v>
      </c>
      <c r="F69" t="s">
        <v>80</v>
      </c>
      <c r="G69" t="s">
        <v>23</v>
      </c>
      <c r="H69">
        <v>30</v>
      </c>
      <c r="I69">
        <v>57</v>
      </c>
      <c r="J69">
        <v>8</v>
      </c>
      <c r="K69">
        <v>1</v>
      </c>
      <c r="L69">
        <v>4</v>
      </c>
      <c r="M69" t="s">
        <v>67</v>
      </c>
      <c r="N69" t="s">
        <v>67</v>
      </c>
      <c r="O69" t="s">
        <v>67</v>
      </c>
      <c r="P69" t="s">
        <v>67</v>
      </c>
      <c r="Q69" t="s">
        <v>67</v>
      </c>
      <c r="R69" t="s">
        <v>67</v>
      </c>
      <c r="S69" t="s">
        <v>67</v>
      </c>
      <c r="T69" t="s">
        <v>67</v>
      </c>
      <c r="U69" t="s">
        <v>67</v>
      </c>
      <c r="V69" t="s">
        <v>67</v>
      </c>
    </row>
    <row r="70" spans="1:22" hidden="1" x14ac:dyDescent="0.25">
      <c r="A70">
        <v>1989</v>
      </c>
      <c r="B70" t="s">
        <v>22</v>
      </c>
      <c r="C70" t="s">
        <v>64</v>
      </c>
      <c r="D70" t="s">
        <v>64</v>
      </c>
      <c r="E70" t="s">
        <v>65</v>
      </c>
      <c r="F70" t="s">
        <v>81</v>
      </c>
      <c r="G70" t="s">
        <v>23</v>
      </c>
      <c r="H70">
        <v>32</v>
      </c>
      <c r="I70">
        <v>55</v>
      </c>
      <c r="J70">
        <v>8</v>
      </c>
      <c r="K70">
        <v>1</v>
      </c>
      <c r="L70">
        <v>4</v>
      </c>
      <c r="M70" t="s">
        <v>67</v>
      </c>
      <c r="N70" t="s">
        <v>67</v>
      </c>
      <c r="O70" t="s">
        <v>67</v>
      </c>
      <c r="P70" t="s">
        <v>67</v>
      </c>
      <c r="Q70" t="s">
        <v>67</v>
      </c>
      <c r="R70" t="s">
        <v>67</v>
      </c>
      <c r="S70" t="s">
        <v>67</v>
      </c>
      <c r="T70" t="s">
        <v>67</v>
      </c>
      <c r="U70" t="s">
        <v>67</v>
      </c>
      <c r="V70" t="s">
        <v>67</v>
      </c>
    </row>
    <row r="71" spans="1:22" hidden="1" x14ac:dyDescent="0.25">
      <c r="A71">
        <v>1989</v>
      </c>
      <c r="B71" t="s">
        <v>22</v>
      </c>
      <c r="C71" t="s">
        <v>64</v>
      </c>
      <c r="D71" t="s">
        <v>64</v>
      </c>
      <c r="E71" t="s">
        <v>65</v>
      </c>
      <c r="F71" t="s">
        <v>82</v>
      </c>
      <c r="G71" t="s">
        <v>23</v>
      </c>
      <c r="H71">
        <v>31</v>
      </c>
      <c r="I71">
        <v>56</v>
      </c>
      <c r="J71">
        <v>8</v>
      </c>
      <c r="K71">
        <v>1</v>
      </c>
      <c r="L71">
        <v>4</v>
      </c>
      <c r="M71" t="s">
        <v>67</v>
      </c>
      <c r="N71" t="s">
        <v>67</v>
      </c>
      <c r="O71" t="s">
        <v>67</v>
      </c>
      <c r="P71" t="s">
        <v>67</v>
      </c>
      <c r="Q71" t="s">
        <v>67</v>
      </c>
      <c r="R71" t="s">
        <v>67</v>
      </c>
      <c r="S71" t="s">
        <v>67</v>
      </c>
      <c r="T71" t="s">
        <v>67</v>
      </c>
      <c r="U71" t="s">
        <v>67</v>
      </c>
      <c r="V71" t="s">
        <v>67</v>
      </c>
    </row>
    <row r="72" spans="1:22" hidden="1" x14ac:dyDescent="0.25">
      <c r="A72">
        <v>1989</v>
      </c>
      <c r="B72" t="s">
        <v>22</v>
      </c>
      <c r="C72" t="s">
        <v>64</v>
      </c>
      <c r="D72" t="s">
        <v>64</v>
      </c>
      <c r="E72" t="s">
        <v>65</v>
      </c>
      <c r="F72" t="s">
        <v>83</v>
      </c>
      <c r="G72" t="s">
        <v>23</v>
      </c>
      <c r="H72">
        <v>31</v>
      </c>
      <c r="I72">
        <v>57</v>
      </c>
      <c r="J72">
        <v>7</v>
      </c>
      <c r="K72">
        <v>1</v>
      </c>
      <c r="L72">
        <v>4</v>
      </c>
      <c r="M72" t="s">
        <v>67</v>
      </c>
      <c r="N72" t="s">
        <v>67</v>
      </c>
      <c r="O72" t="s">
        <v>67</v>
      </c>
      <c r="P72" t="s">
        <v>67</v>
      </c>
      <c r="Q72" t="s">
        <v>67</v>
      </c>
      <c r="R72" t="s">
        <v>67</v>
      </c>
      <c r="S72" t="s">
        <v>67</v>
      </c>
      <c r="T72" t="s">
        <v>67</v>
      </c>
      <c r="U72" t="s">
        <v>67</v>
      </c>
      <c r="V72" t="s">
        <v>67</v>
      </c>
    </row>
    <row r="73" spans="1:22" x14ac:dyDescent="0.25">
      <c r="A73">
        <v>1989</v>
      </c>
      <c r="B73" t="s">
        <v>22</v>
      </c>
      <c r="C73" t="s">
        <v>64</v>
      </c>
      <c r="D73" t="s">
        <v>64</v>
      </c>
      <c r="E73" t="s">
        <v>65</v>
      </c>
      <c r="F73" t="s">
        <v>66</v>
      </c>
      <c r="G73" t="s">
        <v>23</v>
      </c>
      <c r="H73">
        <v>24</v>
      </c>
      <c r="I73">
        <v>54</v>
      </c>
      <c r="J73">
        <v>12</v>
      </c>
      <c r="K73">
        <v>2</v>
      </c>
      <c r="L73">
        <v>8</v>
      </c>
      <c r="M73">
        <f>J73+I73</f>
        <v>66</v>
      </c>
      <c r="N73">
        <v>-0.28243784906459712</v>
      </c>
      <c r="O73" t="s">
        <v>67</v>
      </c>
      <c r="P73" t="s">
        <v>67</v>
      </c>
      <c r="Q73" t="s">
        <v>67</v>
      </c>
      <c r="R73" t="s">
        <v>67</v>
      </c>
      <c r="S73" t="s">
        <v>67</v>
      </c>
      <c r="T73" t="s">
        <v>67</v>
      </c>
      <c r="U73" t="s">
        <v>67</v>
      </c>
      <c r="V73" t="s">
        <v>67</v>
      </c>
    </row>
    <row r="74" spans="1:22" hidden="1" x14ac:dyDescent="0.25">
      <c r="A74">
        <v>1990</v>
      </c>
      <c r="B74" t="s">
        <v>22</v>
      </c>
      <c r="C74" t="s">
        <v>64</v>
      </c>
      <c r="D74" t="s">
        <v>64</v>
      </c>
      <c r="E74" t="s">
        <v>65</v>
      </c>
      <c r="F74" t="s">
        <v>69</v>
      </c>
      <c r="G74" t="s">
        <v>23</v>
      </c>
      <c r="H74">
        <v>19</v>
      </c>
      <c r="I74">
        <v>61</v>
      </c>
      <c r="J74">
        <v>15</v>
      </c>
      <c r="K74">
        <v>1</v>
      </c>
      <c r="L74">
        <v>4</v>
      </c>
      <c r="M74" t="s">
        <v>67</v>
      </c>
      <c r="N74" t="s">
        <v>67</v>
      </c>
      <c r="O74" t="s">
        <v>67</v>
      </c>
      <c r="P74" t="s">
        <v>67</v>
      </c>
      <c r="Q74" t="s">
        <v>67</v>
      </c>
      <c r="R74" t="s">
        <v>67</v>
      </c>
      <c r="S74" t="s">
        <v>67</v>
      </c>
      <c r="T74" t="s">
        <v>67</v>
      </c>
      <c r="U74" t="s">
        <v>67</v>
      </c>
      <c r="V74" t="s">
        <v>67</v>
      </c>
    </row>
    <row r="75" spans="1:22" hidden="1" x14ac:dyDescent="0.25">
      <c r="A75">
        <v>1990</v>
      </c>
      <c r="B75" t="s">
        <v>22</v>
      </c>
      <c r="C75" t="s">
        <v>64</v>
      </c>
      <c r="D75" t="s">
        <v>64</v>
      </c>
      <c r="E75" t="s">
        <v>65</v>
      </c>
      <c r="F75" t="s">
        <v>68</v>
      </c>
      <c r="G75" t="s">
        <v>23</v>
      </c>
      <c r="H75">
        <v>20</v>
      </c>
      <c r="I75">
        <v>63</v>
      </c>
      <c r="J75">
        <v>12</v>
      </c>
      <c r="K75">
        <v>1</v>
      </c>
      <c r="L75">
        <v>4</v>
      </c>
      <c r="M75" t="s">
        <v>67</v>
      </c>
      <c r="N75" t="s">
        <v>67</v>
      </c>
      <c r="O75" t="s">
        <v>67</v>
      </c>
      <c r="P75" t="s">
        <v>67</v>
      </c>
      <c r="Q75" t="s">
        <v>67</v>
      </c>
      <c r="R75" t="s">
        <v>67</v>
      </c>
      <c r="S75" t="s">
        <v>67</v>
      </c>
      <c r="T75" t="s">
        <v>67</v>
      </c>
      <c r="U75" t="s">
        <v>67</v>
      </c>
      <c r="V75" t="s">
        <v>67</v>
      </c>
    </row>
    <row r="76" spans="1:22" hidden="1" x14ac:dyDescent="0.25">
      <c r="A76">
        <v>1990</v>
      </c>
      <c r="B76" t="s">
        <v>22</v>
      </c>
      <c r="C76" t="s">
        <v>64</v>
      </c>
      <c r="D76" t="s">
        <v>64</v>
      </c>
      <c r="E76" t="s">
        <v>65</v>
      </c>
      <c r="F76" t="s">
        <v>85</v>
      </c>
      <c r="G76" t="s">
        <v>23</v>
      </c>
      <c r="H76">
        <v>20</v>
      </c>
      <c r="I76">
        <v>62</v>
      </c>
      <c r="J76">
        <v>14</v>
      </c>
      <c r="K76">
        <v>1</v>
      </c>
      <c r="L76">
        <v>3</v>
      </c>
      <c r="M76" t="s">
        <v>67</v>
      </c>
      <c r="N76" t="s">
        <v>67</v>
      </c>
      <c r="O76" t="s">
        <v>67</v>
      </c>
      <c r="P76" t="s">
        <v>67</v>
      </c>
      <c r="Q76" t="s">
        <v>67</v>
      </c>
      <c r="R76" t="s">
        <v>67</v>
      </c>
      <c r="S76" t="s">
        <v>67</v>
      </c>
      <c r="T76" t="s">
        <v>67</v>
      </c>
      <c r="U76" t="s">
        <v>67</v>
      </c>
      <c r="V76" t="s">
        <v>67</v>
      </c>
    </row>
    <row r="77" spans="1:22" x14ac:dyDescent="0.25">
      <c r="A77">
        <v>1990</v>
      </c>
      <c r="B77" t="s">
        <v>22</v>
      </c>
      <c r="C77" t="s">
        <v>64</v>
      </c>
      <c r="D77" t="s">
        <v>64</v>
      </c>
      <c r="E77" t="s">
        <v>65</v>
      </c>
      <c r="F77" t="s">
        <v>87</v>
      </c>
      <c r="G77" t="s">
        <v>23</v>
      </c>
      <c r="H77">
        <v>21</v>
      </c>
      <c r="I77">
        <v>65</v>
      </c>
      <c r="J77">
        <v>10</v>
      </c>
      <c r="K77">
        <v>1</v>
      </c>
      <c r="L77">
        <v>3</v>
      </c>
      <c r="M77">
        <f>J77+I77</f>
        <v>75</v>
      </c>
      <c r="N77">
        <v>1.8944440184086808E-2</v>
      </c>
      <c r="O77" t="s">
        <v>67</v>
      </c>
      <c r="P77" t="s">
        <v>67</v>
      </c>
      <c r="Q77" t="s">
        <v>67</v>
      </c>
      <c r="R77" t="s">
        <v>67</v>
      </c>
      <c r="S77" t="s">
        <v>67</v>
      </c>
      <c r="T77" t="s">
        <v>67</v>
      </c>
      <c r="U77" t="s">
        <v>67</v>
      </c>
      <c r="V77" t="s">
        <v>67</v>
      </c>
    </row>
    <row r="78" spans="1:22" hidden="1" x14ac:dyDescent="0.25">
      <c r="A78">
        <v>1990</v>
      </c>
      <c r="B78" t="s">
        <v>22</v>
      </c>
      <c r="C78" t="s">
        <v>64</v>
      </c>
      <c r="D78" t="s">
        <v>64</v>
      </c>
      <c r="E78" t="s">
        <v>65</v>
      </c>
      <c r="F78" t="s">
        <v>70</v>
      </c>
      <c r="G78" t="s">
        <v>23</v>
      </c>
      <c r="H78">
        <v>16</v>
      </c>
      <c r="I78">
        <v>63</v>
      </c>
      <c r="J78">
        <v>16</v>
      </c>
      <c r="K78">
        <v>1</v>
      </c>
      <c r="L78">
        <v>4</v>
      </c>
      <c r="M78" t="s">
        <v>67</v>
      </c>
      <c r="N78" t="s">
        <v>67</v>
      </c>
      <c r="O78" t="s">
        <v>67</v>
      </c>
      <c r="P78" t="s">
        <v>67</v>
      </c>
      <c r="Q78" t="s">
        <v>67</v>
      </c>
      <c r="R78" t="s">
        <v>67</v>
      </c>
      <c r="S78" t="s">
        <v>67</v>
      </c>
      <c r="T78" t="s">
        <v>67</v>
      </c>
      <c r="U78" t="s">
        <v>67</v>
      </c>
      <c r="V78" t="s">
        <v>67</v>
      </c>
    </row>
    <row r="79" spans="1:22" hidden="1" x14ac:dyDescent="0.25">
      <c r="A79">
        <v>1990</v>
      </c>
      <c r="B79" t="s">
        <v>22</v>
      </c>
      <c r="C79" t="s">
        <v>64</v>
      </c>
      <c r="D79" t="s">
        <v>64</v>
      </c>
      <c r="E79" t="s">
        <v>65</v>
      </c>
      <c r="F79" t="s">
        <v>71</v>
      </c>
      <c r="G79" t="s">
        <v>23</v>
      </c>
      <c r="H79">
        <v>17</v>
      </c>
      <c r="I79">
        <v>61</v>
      </c>
      <c r="J79">
        <v>17</v>
      </c>
      <c r="K79">
        <v>1</v>
      </c>
      <c r="L79">
        <v>4</v>
      </c>
      <c r="M79" t="s">
        <v>67</v>
      </c>
      <c r="N79" t="s">
        <v>67</v>
      </c>
      <c r="O79" t="s">
        <v>67</v>
      </c>
      <c r="P79" t="s">
        <v>67</v>
      </c>
      <c r="Q79" t="s">
        <v>67</v>
      </c>
      <c r="R79" t="s">
        <v>67</v>
      </c>
      <c r="S79" t="s">
        <v>67</v>
      </c>
      <c r="T79" t="s">
        <v>67</v>
      </c>
      <c r="U79" t="s">
        <v>67</v>
      </c>
      <c r="V79" t="s">
        <v>67</v>
      </c>
    </row>
    <row r="80" spans="1:22" hidden="1" x14ac:dyDescent="0.25">
      <c r="A80">
        <v>1990</v>
      </c>
      <c r="B80" t="s">
        <v>22</v>
      </c>
      <c r="C80" t="s">
        <v>64</v>
      </c>
      <c r="D80" t="s">
        <v>64</v>
      </c>
      <c r="E80" t="s">
        <v>65</v>
      </c>
      <c r="F80" t="s">
        <v>72</v>
      </c>
      <c r="G80" t="s">
        <v>23</v>
      </c>
      <c r="H80">
        <v>18</v>
      </c>
      <c r="I80">
        <v>60</v>
      </c>
      <c r="J80">
        <v>16</v>
      </c>
      <c r="K80">
        <v>1</v>
      </c>
      <c r="L80">
        <v>5</v>
      </c>
      <c r="M80" t="s">
        <v>67</v>
      </c>
      <c r="N80" t="s">
        <v>67</v>
      </c>
      <c r="O80" t="s">
        <v>67</v>
      </c>
      <c r="P80" t="s">
        <v>67</v>
      </c>
      <c r="Q80" t="s">
        <v>67</v>
      </c>
      <c r="R80" t="s">
        <v>67</v>
      </c>
      <c r="S80" t="s">
        <v>67</v>
      </c>
      <c r="T80" t="s">
        <v>67</v>
      </c>
      <c r="U80" t="s">
        <v>67</v>
      </c>
      <c r="V80" t="s">
        <v>67</v>
      </c>
    </row>
    <row r="81" spans="1:22" hidden="1" x14ac:dyDescent="0.25">
      <c r="A81">
        <v>1990</v>
      </c>
      <c r="B81" t="s">
        <v>22</v>
      </c>
      <c r="C81" t="s">
        <v>64</v>
      </c>
      <c r="D81" t="s">
        <v>64</v>
      </c>
      <c r="E81" t="s">
        <v>65</v>
      </c>
      <c r="F81" t="s">
        <v>73</v>
      </c>
      <c r="G81" t="s">
        <v>23</v>
      </c>
      <c r="H81">
        <v>19</v>
      </c>
      <c r="I81">
        <v>61</v>
      </c>
      <c r="J81">
        <v>15</v>
      </c>
      <c r="K81">
        <v>1</v>
      </c>
      <c r="L81">
        <v>4</v>
      </c>
      <c r="M81" t="s">
        <v>67</v>
      </c>
      <c r="N81" t="s">
        <v>67</v>
      </c>
      <c r="O81" t="s">
        <v>67</v>
      </c>
      <c r="P81" t="s">
        <v>67</v>
      </c>
      <c r="Q81" t="s">
        <v>67</v>
      </c>
      <c r="R81" t="s">
        <v>67</v>
      </c>
      <c r="S81" t="s">
        <v>67</v>
      </c>
      <c r="T81" t="s">
        <v>67</v>
      </c>
      <c r="U81" t="s">
        <v>67</v>
      </c>
      <c r="V81" t="s">
        <v>67</v>
      </c>
    </row>
    <row r="82" spans="1:22" hidden="1" x14ac:dyDescent="0.25">
      <c r="A82">
        <v>1990</v>
      </c>
      <c r="B82" t="s">
        <v>22</v>
      </c>
      <c r="C82" t="s">
        <v>64</v>
      </c>
      <c r="D82" t="s">
        <v>64</v>
      </c>
      <c r="E82" t="s">
        <v>65</v>
      </c>
      <c r="F82" t="s">
        <v>74</v>
      </c>
      <c r="G82" t="s">
        <v>23</v>
      </c>
      <c r="H82">
        <v>20</v>
      </c>
      <c r="I82">
        <v>60</v>
      </c>
      <c r="J82">
        <v>16</v>
      </c>
      <c r="K82">
        <v>1</v>
      </c>
      <c r="L82">
        <v>3</v>
      </c>
      <c r="M82" t="s">
        <v>67</v>
      </c>
      <c r="N82" t="s">
        <v>67</v>
      </c>
      <c r="O82" t="s">
        <v>67</v>
      </c>
      <c r="P82" t="s">
        <v>67</v>
      </c>
      <c r="Q82" t="s">
        <v>67</v>
      </c>
      <c r="R82" t="s">
        <v>67</v>
      </c>
      <c r="S82" t="s">
        <v>67</v>
      </c>
      <c r="T82" t="s">
        <v>67</v>
      </c>
      <c r="U82" t="s">
        <v>67</v>
      </c>
      <c r="V82" t="s">
        <v>67</v>
      </c>
    </row>
    <row r="83" spans="1:22" hidden="1" x14ac:dyDescent="0.25">
      <c r="A83">
        <v>1990</v>
      </c>
      <c r="B83" t="s">
        <v>22</v>
      </c>
      <c r="C83" t="s">
        <v>64</v>
      </c>
      <c r="D83" t="s">
        <v>64</v>
      </c>
      <c r="E83" t="s">
        <v>65</v>
      </c>
      <c r="F83" t="s">
        <v>75</v>
      </c>
      <c r="G83" t="s">
        <v>23</v>
      </c>
      <c r="H83">
        <v>21</v>
      </c>
      <c r="I83">
        <v>62</v>
      </c>
      <c r="J83">
        <v>13</v>
      </c>
      <c r="K83">
        <v>1</v>
      </c>
      <c r="L83">
        <v>3</v>
      </c>
      <c r="M83" t="s">
        <v>67</v>
      </c>
      <c r="N83" t="s">
        <v>67</v>
      </c>
      <c r="O83" t="s">
        <v>67</v>
      </c>
      <c r="P83" t="s">
        <v>67</v>
      </c>
      <c r="Q83" t="s">
        <v>67</v>
      </c>
      <c r="R83" t="s">
        <v>67</v>
      </c>
      <c r="S83" t="s">
        <v>67</v>
      </c>
      <c r="T83" t="s">
        <v>67</v>
      </c>
      <c r="U83" t="s">
        <v>67</v>
      </c>
      <c r="V83" t="s">
        <v>67</v>
      </c>
    </row>
    <row r="84" spans="1:22" hidden="1" x14ac:dyDescent="0.25">
      <c r="A84">
        <v>1990</v>
      </c>
      <c r="B84" t="s">
        <v>22</v>
      </c>
      <c r="C84" t="s">
        <v>64</v>
      </c>
      <c r="D84" t="s">
        <v>64</v>
      </c>
      <c r="E84" t="s">
        <v>65</v>
      </c>
      <c r="F84" t="s">
        <v>76</v>
      </c>
      <c r="G84" t="s">
        <v>23</v>
      </c>
      <c r="H84">
        <v>21</v>
      </c>
      <c r="I84">
        <v>62</v>
      </c>
      <c r="J84">
        <v>12</v>
      </c>
      <c r="K84">
        <v>1</v>
      </c>
      <c r="L84">
        <v>4</v>
      </c>
      <c r="M84" t="s">
        <v>67</v>
      </c>
      <c r="N84" t="s">
        <v>67</v>
      </c>
      <c r="O84" t="s">
        <v>67</v>
      </c>
      <c r="P84" t="s">
        <v>67</v>
      </c>
      <c r="Q84" t="s">
        <v>67</v>
      </c>
      <c r="R84" t="s">
        <v>67</v>
      </c>
      <c r="S84" t="s">
        <v>67</v>
      </c>
      <c r="T84" t="s">
        <v>67</v>
      </c>
      <c r="U84" t="s">
        <v>67</v>
      </c>
      <c r="V84" t="s">
        <v>67</v>
      </c>
    </row>
    <row r="85" spans="1:22" hidden="1" x14ac:dyDescent="0.25">
      <c r="A85">
        <v>1990</v>
      </c>
      <c r="B85" t="s">
        <v>22</v>
      </c>
      <c r="C85" t="s">
        <v>64</v>
      </c>
      <c r="D85" t="s">
        <v>64</v>
      </c>
      <c r="E85" t="s">
        <v>65</v>
      </c>
      <c r="F85" t="s">
        <v>77</v>
      </c>
      <c r="G85" t="s">
        <v>23</v>
      </c>
      <c r="H85">
        <v>20</v>
      </c>
      <c r="I85">
        <v>63</v>
      </c>
      <c r="J85">
        <v>12</v>
      </c>
      <c r="K85">
        <v>1</v>
      </c>
      <c r="L85">
        <v>4</v>
      </c>
      <c r="M85" t="s">
        <v>67</v>
      </c>
      <c r="N85" t="s">
        <v>67</v>
      </c>
      <c r="O85" t="s">
        <v>67</v>
      </c>
      <c r="P85" t="s">
        <v>67</v>
      </c>
      <c r="Q85" t="s">
        <v>67</v>
      </c>
      <c r="R85" t="s">
        <v>67</v>
      </c>
      <c r="S85" t="s">
        <v>67</v>
      </c>
      <c r="T85" t="s">
        <v>67</v>
      </c>
      <c r="U85" t="s">
        <v>67</v>
      </c>
      <c r="V85" t="s">
        <v>67</v>
      </c>
    </row>
    <row r="86" spans="1:22" hidden="1" x14ac:dyDescent="0.25">
      <c r="A86">
        <v>1990</v>
      </c>
      <c r="B86" t="s">
        <v>22</v>
      </c>
      <c r="C86" t="s">
        <v>64</v>
      </c>
      <c r="D86" t="s">
        <v>64</v>
      </c>
      <c r="E86" t="s">
        <v>65</v>
      </c>
      <c r="F86" t="s">
        <v>78</v>
      </c>
      <c r="G86" t="s">
        <v>23</v>
      </c>
      <c r="H86">
        <v>27</v>
      </c>
      <c r="I86">
        <v>59</v>
      </c>
      <c r="J86">
        <v>9</v>
      </c>
      <c r="K86">
        <v>1</v>
      </c>
      <c r="L86">
        <v>4</v>
      </c>
      <c r="M86" t="s">
        <v>67</v>
      </c>
      <c r="N86" t="s">
        <v>67</v>
      </c>
      <c r="O86" t="s">
        <v>67</v>
      </c>
      <c r="P86" t="s">
        <v>67</v>
      </c>
      <c r="Q86" t="s">
        <v>67</v>
      </c>
      <c r="R86" t="s">
        <v>67</v>
      </c>
      <c r="S86" t="s">
        <v>67</v>
      </c>
      <c r="T86" t="s">
        <v>67</v>
      </c>
      <c r="U86" t="s">
        <v>67</v>
      </c>
      <c r="V86" t="s">
        <v>67</v>
      </c>
    </row>
    <row r="87" spans="1:22" hidden="1" x14ac:dyDescent="0.25">
      <c r="A87">
        <v>1990</v>
      </c>
      <c r="B87" t="s">
        <v>22</v>
      </c>
      <c r="C87" t="s">
        <v>64</v>
      </c>
      <c r="D87" t="s">
        <v>64</v>
      </c>
      <c r="E87" t="s">
        <v>65</v>
      </c>
      <c r="F87" t="s">
        <v>79</v>
      </c>
      <c r="G87" t="s">
        <v>23</v>
      </c>
      <c r="H87">
        <v>30</v>
      </c>
      <c r="I87">
        <v>57</v>
      </c>
      <c r="J87">
        <v>8</v>
      </c>
      <c r="K87">
        <v>1</v>
      </c>
      <c r="L87">
        <v>4</v>
      </c>
      <c r="M87" t="s">
        <v>67</v>
      </c>
      <c r="N87" t="s">
        <v>67</v>
      </c>
      <c r="O87" t="s">
        <v>67</v>
      </c>
      <c r="P87" t="s">
        <v>67</v>
      </c>
      <c r="Q87" t="s">
        <v>67</v>
      </c>
      <c r="R87" t="s">
        <v>67</v>
      </c>
      <c r="S87" t="s">
        <v>67</v>
      </c>
      <c r="T87" t="s">
        <v>67</v>
      </c>
      <c r="U87" t="s">
        <v>67</v>
      </c>
      <c r="V87" t="s">
        <v>67</v>
      </c>
    </row>
    <row r="88" spans="1:22" hidden="1" x14ac:dyDescent="0.25">
      <c r="A88">
        <v>1990</v>
      </c>
      <c r="B88" t="s">
        <v>22</v>
      </c>
      <c r="C88" t="s">
        <v>64</v>
      </c>
      <c r="D88" t="s">
        <v>64</v>
      </c>
      <c r="E88" t="s">
        <v>65</v>
      </c>
      <c r="F88" t="s">
        <v>80</v>
      </c>
      <c r="G88" t="s">
        <v>23</v>
      </c>
      <c r="H88">
        <v>30</v>
      </c>
      <c r="I88">
        <v>57</v>
      </c>
      <c r="J88">
        <v>7</v>
      </c>
      <c r="K88">
        <v>1</v>
      </c>
      <c r="L88">
        <v>5</v>
      </c>
      <c r="M88" t="s">
        <v>67</v>
      </c>
      <c r="N88" t="s">
        <v>67</v>
      </c>
      <c r="O88" t="s">
        <v>67</v>
      </c>
      <c r="P88" t="s">
        <v>67</v>
      </c>
      <c r="Q88" t="s">
        <v>67</v>
      </c>
      <c r="R88" t="s">
        <v>67</v>
      </c>
      <c r="S88" t="s">
        <v>67</v>
      </c>
      <c r="T88" t="s">
        <v>67</v>
      </c>
      <c r="U88" t="s">
        <v>67</v>
      </c>
      <c r="V88" t="s">
        <v>67</v>
      </c>
    </row>
    <row r="89" spans="1:22" hidden="1" x14ac:dyDescent="0.25">
      <c r="A89">
        <v>1990</v>
      </c>
      <c r="B89" t="s">
        <v>22</v>
      </c>
      <c r="C89" t="s">
        <v>64</v>
      </c>
      <c r="D89" t="s">
        <v>64</v>
      </c>
      <c r="E89" t="s">
        <v>65</v>
      </c>
      <c r="F89" t="s">
        <v>81</v>
      </c>
      <c r="G89" t="s">
        <v>23</v>
      </c>
      <c r="H89">
        <v>31</v>
      </c>
      <c r="I89">
        <v>56</v>
      </c>
      <c r="J89">
        <v>7</v>
      </c>
      <c r="K89">
        <v>1</v>
      </c>
      <c r="L89">
        <v>5</v>
      </c>
      <c r="M89" t="s">
        <v>67</v>
      </c>
      <c r="N89" t="s">
        <v>67</v>
      </c>
      <c r="O89" t="s">
        <v>67</v>
      </c>
      <c r="P89" t="s">
        <v>67</v>
      </c>
      <c r="Q89" t="s">
        <v>67</v>
      </c>
      <c r="R89" t="s">
        <v>67</v>
      </c>
      <c r="S89" t="s">
        <v>67</v>
      </c>
      <c r="T89" t="s">
        <v>67</v>
      </c>
      <c r="U89" t="s">
        <v>67</v>
      </c>
      <c r="V89" t="s">
        <v>67</v>
      </c>
    </row>
    <row r="90" spans="1:22" hidden="1" x14ac:dyDescent="0.25">
      <c r="A90">
        <v>1990</v>
      </c>
      <c r="B90" t="s">
        <v>22</v>
      </c>
      <c r="C90" t="s">
        <v>64</v>
      </c>
      <c r="D90" t="s">
        <v>64</v>
      </c>
      <c r="E90" t="s">
        <v>65</v>
      </c>
      <c r="F90" t="s">
        <v>82</v>
      </c>
      <c r="G90" t="s">
        <v>23</v>
      </c>
      <c r="H90">
        <v>40</v>
      </c>
      <c r="I90">
        <v>47</v>
      </c>
      <c r="J90">
        <v>5</v>
      </c>
      <c r="K90">
        <v>1</v>
      </c>
      <c r="L90">
        <v>7</v>
      </c>
      <c r="M90" t="s">
        <v>67</v>
      </c>
      <c r="N90" t="s">
        <v>67</v>
      </c>
      <c r="O90" t="s">
        <v>67</v>
      </c>
      <c r="P90" t="s">
        <v>67</v>
      </c>
      <c r="Q90" t="s">
        <v>67</v>
      </c>
      <c r="R90" t="s">
        <v>67</v>
      </c>
      <c r="S90" t="s">
        <v>67</v>
      </c>
      <c r="T90" t="s">
        <v>67</v>
      </c>
      <c r="U90" t="s">
        <v>67</v>
      </c>
      <c r="V90" t="s">
        <v>67</v>
      </c>
    </row>
    <row r="91" spans="1:22" hidden="1" x14ac:dyDescent="0.25">
      <c r="A91">
        <v>1990</v>
      </c>
      <c r="B91" t="s">
        <v>22</v>
      </c>
      <c r="C91" t="s">
        <v>64</v>
      </c>
      <c r="D91" t="s">
        <v>64</v>
      </c>
      <c r="E91" t="s">
        <v>65</v>
      </c>
      <c r="F91" t="s">
        <v>83</v>
      </c>
      <c r="G91" t="s">
        <v>23</v>
      </c>
      <c r="H91">
        <v>42</v>
      </c>
      <c r="I91">
        <v>45</v>
      </c>
      <c r="J91">
        <v>6</v>
      </c>
      <c r="K91">
        <v>1</v>
      </c>
      <c r="L91">
        <v>6</v>
      </c>
      <c r="M91" t="s">
        <v>67</v>
      </c>
      <c r="N91" t="s">
        <v>67</v>
      </c>
      <c r="O91" t="s">
        <v>67</v>
      </c>
      <c r="P91" t="s">
        <v>67</v>
      </c>
      <c r="Q91" t="s">
        <v>67</v>
      </c>
      <c r="R91" t="s">
        <v>67</v>
      </c>
      <c r="S91" t="s">
        <v>67</v>
      </c>
      <c r="T91" t="s">
        <v>67</v>
      </c>
      <c r="U91" t="s">
        <v>67</v>
      </c>
      <c r="V91" t="s">
        <v>67</v>
      </c>
    </row>
    <row r="92" spans="1:22" hidden="1" x14ac:dyDescent="0.25">
      <c r="A92">
        <v>1991</v>
      </c>
      <c r="B92" t="s">
        <v>22</v>
      </c>
      <c r="C92" t="s">
        <v>64</v>
      </c>
      <c r="D92" t="s">
        <v>64</v>
      </c>
      <c r="E92" t="s">
        <v>65</v>
      </c>
      <c r="F92" t="s">
        <v>77</v>
      </c>
      <c r="G92" t="s">
        <v>23</v>
      </c>
      <c r="H92">
        <v>29</v>
      </c>
      <c r="I92">
        <v>53</v>
      </c>
      <c r="J92">
        <v>13</v>
      </c>
      <c r="K92">
        <v>1</v>
      </c>
      <c r="L92">
        <v>4</v>
      </c>
      <c r="M92" t="s">
        <v>67</v>
      </c>
      <c r="N92" t="s">
        <v>67</v>
      </c>
      <c r="O92" t="s">
        <v>67</v>
      </c>
      <c r="P92" t="s">
        <v>67</v>
      </c>
      <c r="Q92" t="s">
        <v>67</v>
      </c>
      <c r="R92" t="s">
        <v>67</v>
      </c>
      <c r="S92" t="s">
        <v>67</v>
      </c>
      <c r="T92" t="s">
        <v>67</v>
      </c>
      <c r="U92" t="s">
        <v>67</v>
      </c>
      <c r="V92" t="s">
        <v>67</v>
      </c>
    </row>
    <row r="93" spans="1:22" hidden="1" x14ac:dyDescent="0.25">
      <c r="A93">
        <v>1991</v>
      </c>
      <c r="B93" t="s">
        <v>22</v>
      </c>
      <c r="C93" t="s">
        <v>64</v>
      </c>
      <c r="D93" t="s">
        <v>64</v>
      </c>
      <c r="E93" t="s">
        <v>65</v>
      </c>
      <c r="F93" t="s">
        <v>85</v>
      </c>
      <c r="G93" t="s">
        <v>23</v>
      </c>
      <c r="H93">
        <v>36</v>
      </c>
      <c r="I93">
        <v>40</v>
      </c>
      <c r="J93">
        <v>8</v>
      </c>
      <c r="K93">
        <v>4</v>
      </c>
      <c r="L93">
        <v>12</v>
      </c>
      <c r="M93" t="s">
        <v>67</v>
      </c>
      <c r="N93" t="s">
        <v>67</v>
      </c>
      <c r="O93" t="s">
        <v>67</v>
      </c>
      <c r="P93" t="s">
        <v>67</v>
      </c>
      <c r="Q93" t="s">
        <v>67</v>
      </c>
      <c r="R93" t="s">
        <v>67</v>
      </c>
      <c r="S93" t="s">
        <v>67</v>
      </c>
      <c r="T93" t="s">
        <v>67</v>
      </c>
      <c r="U93" t="s">
        <v>67</v>
      </c>
      <c r="V93" t="s">
        <v>67</v>
      </c>
    </row>
    <row r="94" spans="1:22" hidden="1" x14ac:dyDescent="0.25">
      <c r="A94">
        <v>1991</v>
      </c>
      <c r="B94" t="s">
        <v>22</v>
      </c>
      <c r="C94" t="s">
        <v>64</v>
      </c>
      <c r="D94" t="s">
        <v>64</v>
      </c>
      <c r="E94" t="s">
        <v>65</v>
      </c>
      <c r="F94" t="s">
        <v>69</v>
      </c>
      <c r="G94" t="s">
        <v>23</v>
      </c>
      <c r="H94">
        <v>35</v>
      </c>
      <c r="I94">
        <v>42</v>
      </c>
      <c r="J94">
        <v>6</v>
      </c>
      <c r="K94">
        <v>5</v>
      </c>
      <c r="L94">
        <v>12</v>
      </c>
      <c r="M94" t="s">
        <v>67</v>
      </c>
      <c r="N94" t="s">
        <v>67</v>
      </c>
      <c r="O94" t="s">
        <v>67</v>
      </c>
      <c r="P94" t="s">
        <v>67</v>
      </c>
      <c r="Q94" t="s">
        <v>67</v>
      </c>
      <c r="R94" t="s">
        <v>67</v>
      </c>
      <c r="S94" t="s">
        <v>67</v>
      </c>
      <c r="T94" t="s">
        <v>67</v>
      </c>
      <c r="U94" t="s">
        <v>67</v>
      </c>
      <c r="V94" t="s">
        <v>67</v>
      </c>
    </row>
    <row r="95" spans="1:22" hidden="1" x14ac:dyDescent="0.25">
      <c r="A95">
        <v>1991</v>
      </c>
      <c r="B95" t="s">
        <v>22</v>
      </c>
      <c r="C95" t="s">
        <v>64</v>
      </c>
      <c r="D95" t="s">
        <v>64</v>
      </c>
      <c r="E95" t="s">
        <v>65</v>
      </c>
      <c r="F95" t="s">
        <v>70</v>
      </c>
      <c r="G95" t="s">
        <v>23</v>
      </c>
      <c r="H95">
        <v>37</v>
      </c>
      <c r="I95">
        <v>37</v>
      </c>
      <c r="J95">
        <v>8</v>
      </c>
      <c r="K95">
        <v>4</v>
      </c>
      <c r="L95">
        <v>14</v>
      </c>
      <c r="M95" t="s">
        <v>67</v>
      </c>
      <c r="N95" t="s">
        <v>67</v>
      </c>
      <c r="O95" t="s">
        <v>67</v>
      </c>
      <c r="P95" t="s">
        <v>67</v>
      </c>
      <c r="Q95" t="s">
        <v>67</v>
      </c>
      <c r="R95" t="s">
        <v>67</v>
      </c>
      <c r="S95" t="s">
        <v>67</v>
      </c>
      <c r="T95" t="s">
        <v>67</v>
      </c>
      <c r="U95" t="s">
        <v>67</v>
      </c>
      <c r="V95" t="s">
        <v>67</v>
      </c>
    </row>
    <row r="96" spans="1:22" hidden="1" x14ac:dyDescent="0.25">
      <c r="A96">
        <v>1991</v>
      </c>
      <c r="B96" t="s">
        <v>22</v>
      </c>
      <c r="C96" t="s">
        <v>64</v>
      </c>
      <c r="D96" t="s">
        <v>64</v>
      </c>
      <c r="E96" t="s">
        <v>65</v>
      </c>
      <c r="F96" t="s">
        <v>71</v>
      </c>
      <c r="G96" t="s">
        <v>23</v>
      </c>
      <c r="H96">
        <v>35</v>
      </c>
      <c r="I96">
        <v>39</v>
      </c>
      <c r="J96">
        <v>8</v>
      </c>
      <c r="K96">
        <v>6</v>
      </c>
      <c r="L96">
        <v>12</v>
      </c>
      <c r="M96" t="s">
        <v>67</v>
      </c>
      <c r="N96" t="s">
        <v>67</v>
      </c>
      <c r="O96" t="s">
        <v>67</v>
      </c>
      <c r="P96" t="s">
        <v>67</v>
      </c>
      <c r="Q96" t="s">
        <v>67</v>
      </c>
      <c r="R96" t="s">
        <v>67</v>
      </c>
      <c r="S96" t="s">
        <v>67</v>
      </c>
      <c r="T96" t="s">
        <v>67</v>
      </c>
      <c r="U96" t="s">
        <v>67</v>
      </c>
      <c r="V96" t="s">
        <v>67</v>
      </c>
    </row>
    <row r="97" spans="1:22" hidden="1" x14ac:dyDescent="0.25">
      <c r="A97">
        <v>1991</v>
      </c>
      <c r="B97" t="s">
        <v>22</v>
      </c>
      <c r="C97" t="s">
        <v>64</v>
      </c>
      <c r="D97" t="s">
        <v>64</v>
      </c>
      <c r="E97" t="s">
        <v>65</v>
      </c>
      <c r="F97" t="s">
        <v>72</v>
      </c>
      <c r="G97" t="s">
        <v>23</v>
      </c>
      <c r="H97">
        <v>36</v>
      </c>
      <c r="I97">
        <v>38</v>
      </c>
      <c r="J97">
        <v>9</v>
      </c>
      <c r="K97">
        <v>5</v>
      </c>
      <c r="L97">
        <v>12</v>
      </c>
      <c r="M97" t="s">
        <v>67</v>
      </c>
      <c r="N97" t="s">
        <v>67</v>
      </c>
      <c r="O97" t="s">
        <v>67</v>
      </c>
      <c r="P97" t="s">
        <v>67</v>
      </c>
      <c r="Q97" t="s">
        <v>67</v>
      </c>
      <c r="R97" t="s">
        <v>67</v>
      </c>
      <c r="S97" t="s">
        <v>67</v>
      </c>
      <c r="T97" t="s">
        <v>67</v>
      </c>
      <c r="U97" t="s">
        <v>67</v>
      </c>
      <c r="V97" t="s">
        <v>67</v>
      </c>
    </row>
    <row r="98" spans="1:22" hidden="1" x14ac:dyDescent="0.25">
      <c r="A98">
        <v>1991</v>
      </c>
      <c r="B98" t="s">
        <v>22</v>
      </c>
      <c r="C98" t="s">
        <v>64</v>
      </c>
      <c r="D98" t="s">
        <v>64</v>
      </c>
      <c r="E98" t="s">
        <v>65</v>
      </c>
      <c r="F98" t="s">
        <v>73</v>
      </c>
      <c r="G98" t="s">
        <v>23</v>
      </c>
      <c r="H98">
        <v>34</v>
      </c>
      <c r="I98">
        <v>38</v>
      </c>
      <c r="J98">
        <v>9</v>
      </c>
      <c r="K98">
        <v>5</v>
      </c>
      <c r="L98">
        <v>14</v>
      </c>
      <c r="M98" t="s">
        <v>67</v>
      </c>
      <c r="N98" t="s">
        <v>67</v>
      </c>
      <c r="O98" t="s">
        <v>67</v>
      </c>
      <c r="P98" t="s">
        <v>67</v>
      </c>
      <c r="Q98" t="s">
        <v>67</v>
      </c>
      <c r="R98" t="s">
        <v>67</v>
      </c>
      <c r="S98" t="s">
        <v>67</v>
      </c>
      <c r="T98" t="s">
        <v>67</v>
      </c>
      <c r="U98" t="s">
        <v>67</v>
      </c>
      <c r="V98" t="s">
        <v>67</v>
      </c>
    </row>
    <row r="99" spans="1:22" hidden="1" x14ac:dyDescent="0.25">
      <c r="A99">
        <v>1991</v>
      </c>
      <c r="B99" t="s">
        <v>22</v>
      </c>
      <c r="C99" t="s">
        <v>64</v>
      </c>
      <c r="D99" t="s">
        <v>64</v>
      </c>
      <c r="E99" t="s">
        <v>65</v>
      </c>
      <c r="F99" t="s">
        <v>74</v>
      </c>
      <c r="G99" t="s">
        <v>23</v>
      </c>
      <c r="H99">
        <v>32</v>
      </c>
      <c r="I99">
        <v>39</v>
      </c>
      <c r="J99">
        <v>8</v>
      </c>
      <c r="K99">
        <v>5</v>
      </c>
      <c r="L99">
        <v>16</v>
      </c>
      <c r="M99" t="s">
        <v>67</v>
      </c>
      <c r="N99" t="s">
        <v>67</v>
      </c>
      <c r="O99" t="s">
        <v>67</v>
      </c>
      <c r="P99" t="s">
        <v>67</v>
      </c>
      <c r="Q99" t="s">
        <v>67</v>
      </c>
      <c r="R99" t="s">
        <v>67</v>
      </c>
      <c r="S99" t="s">
        <v>67</v>
      </c>
      <c r="T99" t="s">
        <v>67</v>
      </c>
      <c r="U99" t="s">
        <v>67</v>
      </c>
      <c r="V99" t="s">
        <v>67</v>
      </c>
    </row>
    <row r="100" spans="1:22" hidden="1" x14ac:dyDescent="0.25">
      <c r="A100">
        <v>1991</v>
      </c>
      <c r="B100" t="s">
        <v>22</v>
      </c>
      <c r="C100" t="s">
        <v>64</v>
      </c>
      <c r="D100" t="s">
        <v>64</v>
      </c>
      <c r="E100" t="s">
        <v>65</v>
      </c>
      <c r="F100" t="s">
        <v>75</v>
      </c>
      <c r="G100" t="s">
        <v>23</v>
      </c>
      <c r="H100">
        <v>34</v>
      </c>
      <c r="I100">
        <v>43</v>
      </c>
      <c r="J100">
        <v>10</v>
      </c>
      <c r="K100">
        <v>3</v>
      </c>
      <c r="L100">
        <v>10</v>
      </c>
      <c r="M100" t="s">
        <v>67</v>
      </c>
      <c r="N100" t="s">
        <v>67</v>
      </c>
      <c r="O100" t="s">
        <v>67</v>
      </c>
      <c r="P100" t="s">
        <v>67</v>
      </c>
      <c r="Q100" t="s">
        <v>67</v>
      </c>
      <c r="R100" t="s">
        <v>67</v>
      </c>
      <c r="S100" t="s">
        <v>67</v>
      </c>
      <c r="T100" t="s">
        <v>67</v>
      </c>
      <c r="U100" t="s">
        <v>67</v>
      </c>
      <c r="V100" t="s">
        <v>67</v>
      </c>
    </row>
    <row r="101" spans="1:22" hidden="1" x14ac:dyDescent="0.25">
      <c r="A101">
        <v>1991</v>
      </c>
      <c r="B101" t="s">
        <v>22</v>
      </c>
      <c r="C101" t="s">
        <v>64</v>
      </c>
      <c r="D101" t="s">
        <v>64</v>
      </c>
      <c r="E101" t="s">
        <v>65</v>
      </c>
      <c r="F101" t="s">
        <v>76</v>
      </c>
      <c r="G101" t="s">
        <v>23</v>
      </c>
      <c r="H101">
        <v>33</v>
      </c>
      <c r="I101">
        <v>48</v>
      </c>
      <c r="J101">
        <v>10</v>
      </c>
      <c r="K101">
        <v>3</v>
      </c>
      <c r="L101">
        <v>6</v>
      </c>
      <c r="M101" t="s">
        <v>67</v>
      </c>
      <c r="N101" t="s">
        <v>67</v>
      </c>
      <c r="O101" t="s">
        <v>67</v>
      </c>
      <c r="P101" t="s">
        <v>67</v>
      </c>
      <c r="Q101" t="s">
        <v>67</v>
      </c>
      <c r="R101" t="s">
        <v>67</v>
      </c>
      <c r="S101" t="s">
        <v>67</v>
      </c>
      <c r="T101" t="s">
        <v>67</v>
      </c>
      <c r="U101" t="s">
        <v>67</v>
      </c>
      <c r="V101" t="s">
        <v>67</v>
      </c>
    </row>
    <row r="102" spans="1:22" x14ac:dyDescent="0.25">
      <c r="A102">
        <v>1991</v>
      </c>
      <c r="B102" t="s">
        <v>22</v>
      </c>
      <c r="C102" t="s">
        <v>64</v>
      </c>
      <c r="D102" t="s">
        <v>64</v>
      </c>
      <c r="E102" t="s">
        <v>65</v>
      </c>
      <c r="F102" t="s">
        <v>86</v>
      </c>
      <c r="G102" t="s">
        <v>23</v>
      </c>
      <c r="H102">
        <v>33</v>
      </c>
      <c r="I102">
        <v>44</v>
      </c>
      <c r="J102">
        <v>9</v>
      </c>
      <c r="K102">
        <v>5</v>
      </c>
      <c r="L102">
        <v>9</v>
      </c>
      <c r="M102">
        <f>J102+I102</f>
        <v>53</v>
      </c>
      <c r="N102">
        <v>2.1107275447949547E-2</v>
      </c>
      <c r="O102" t="s">
        <v>67</v>
      </c>
      <c r="P102" t="s">
        <v>67</v>
      </c>
      <c r="Q102" t="s">
        <v>67</v>
      </c>
      <c r="R102" t="s">
        <v>67</v>
      </c>
      <c r="S102" t="s">
        <v>67</v>
      </c>
      <c r="T102" t="s">
        <v>67</v>
      </c>
      <c r="U102" t="s">
        <v>67</v>
      </c>
      <c r="V102" t="s">
        <v>67</v>
      </c>
    </row>
    <row r="103" spans="1:22" hidden="1" x14ac:dyDescent="0.25">
      <c r="A103">
        <v>1991</v>
      </c>
      <c r="B103" t="s">
        <v>22</v>
      </c>
      <c r="C103" t="s">
        <v>64</v>
      </c>
      <c r="D103" t="s">
        <v>64</v>
      </c>
      <c r="E103" t="s">
        <v>65</v>
      </c>
      <c r="F103" t="s">
        <v>78</v>
      </c>
      <c r="G103" t="s">
        <v>23</v>
      </c>
      <c r="H103">
        <v>26</v>
      </c>
      <c r="I103">
        <v>54</v>
      </c>
      <c r="J103">
        <v>14</v>
      </c>
      <c r="K103">
        <v>2</v>
      </c>
      <c r="L103">
        <v>4</v>
      </c>
      <c r="M103" t="s">
        <v>67</v>
      </c>
      <c r="N103" t="s">
        <v>67</v>
      </c>
      <c r="O103" t="s">
        <v>67</v>
      </c>
      <c r="P103" t="s">
        <v>67</v>
      </c>
      <c r="Q103" t="s">
        <v>67</v>
      </c>
      <c r="R103" t="s">
        <v>67</v>
      </c>
      <c r="S103" t="s">
        <v>67</v>
      </c>
      <c r="T103" t="s">
        <v>67</v>
      </c>
      <c r="U103" t="s">
        <v>67</v>
      </c>
      <c r="V103" t="s">
        <v>67</v>
      </c>
    </row>
    <row r="104" spans="1:22" hidden="1" x14ac:dyDescent="0.25">
      <c r="A104">
        <v>1991</v>
      </c>
      <c r="B104" t="s">
        <v>22</v>
      </c>
      <c r="C104" t="s">
        <v>64</v>
      </c>
      <c r="D104" t="s">
        <v>64</v>
      </c>
      <c r="E104" t="s">
        <v>65</v>
      </c>
      <c r="F104" t="s">
        <v>79</v>
      </c>
      <c r="G104" t="s">
        <v>23</v>
      </c>
      <c r="H104">
        <v>21</v>
      </c>
      <c r="I104">
        <v>57</v>
      </c>
      <c r="J104">
        <v>18</v>
      </c>
      <c r="K104" t="s">
        <v>67</v>
      </c>
      <c r="L104">
        <v>4</v>
      </c>
      <c r="M104" t="s">
        <v>67</v>
      </c>
      <c r="N104" t="s">
        <v>67</v>
      </c>
      <c r="O104" t="s">
        <v>67</v>
      </c>
      <c r="P104" t="s">
        <v>67</v>
      </c>
      <c r="Q104" t="s">
        <v>67</v>
      </c>
      <c r="R104" t="s">
        <v>67</v>
      </c>
      <c r="S104" t="s">
        <v>67</v>
      </c>
      <c r="T104" t="s">
        <v>67</v>
      </c>
      <c r="U104" t="s">
        <v>67</v>
      </c>
      <c r="V104" t="s">
        <v>67</v>
      </c>
    </row>
    <row r="105" spans="1:22" hidden="1" x14ac:dyDescent="0.25">
      <c r="A105">
        <v>1991</v>
      </c>
      <c r="B105" t="s">
        <v>22</v>
      </c>
      <c r="C105" t="s">
        <v>64</v>
      </c>
      <c r="D105" t="s">
        <v>64</v>
      </c>
      <c r="E105" t="s">
        <v>65</v>
      </c>
      <c r="F105" t="s">
        <v>80</v>
      </c>
      <c r="G105" t="s">
        <v>23</v>
      </c>
      <c r="H105">
        <v>19</v>
      </c>
      <c r="I105">
        <v>60</v>
      </c>
      <c r="J105">
        <v>19</v>
      </c>
      <c r="K105" t="s">
        <v>67</v>
      </c>
      <c r="L105">
        <v>2</v>
      </c>
      <c r="M105" t="s">
        <v>67</v>
      </c>
      <c r="N105" t="s">
        <v>67</v>
      </c>
      <c r="O105" t="s">
        <v>67</v>
      </c>
      <c r="P105" t="s">
        <v>67</v>
      </c>
      <c r="Q105" t="s">
        <v>67</v>
      </c>
      <c r="R105" t="s">
        <v>67</v>
      </c>
      <c r="S105" t="s">
        <v>67</v>
      </c>
      <c r="T105" t="s">
        <v>67</v>
      </c>
      <c r="U105" t="s">
        <v>67</v>
      </c>
      <c r="V105" t="s">
        <v>67</v>
      </c>
    </row>
    <row r="106" spans="1:22" hidden="1" x14ac:dyDescent="0.25">
      <c r="A106">
        <v>1991</v>
      </c>
      <c r="B106" t="s">
        <v>22</v>
      </c>
      <c r="C106" t="s">
        <v>64</v>
      </c>
      <c r="D106" t="s">
        <v>64</v>
      </c>
      <c r="E106" t="s">
        <v>65</v>
      </c>
      <c r="F106" t="s">
        <v>81</v>
      </c>
      <c r="G106" t="s">
        <v>23</v>
      </c>
      <c r="H106">
        <v>20</v>
      </c>
      <c r="I106">
        <v>61</v>
      </c>
      <c r="J106">
        <v>17</v>
      </c>
      <c r="K106" t="s">
        <v>67</v>
      </c>
      <c r="L106">
        <v>2</v>
      </c>
      <c r="M106" t="s">
        <v>67</v>
      </c>
      <c r="N106" t="s">
        <v>67</v>
      </c>
      <c r="O106" t="s">
        <v>67</v>
      </c>
      <c r="P106" t="s">
        <v>67</v>
      </c>
      <c r="Q106" t="s">
        <v>67</v>
      </c>
      <c r="R106" t="s">
        <v>67</v>
      </c>
      <c r="S106" t="s">
        <v>67</v>
      </c>
      <c r="T106" t="s">
        <v>67</v>
      </c>
      <c r="U106" t="s">
        <v>67</v>
      </c>
      <c r="V106" t="s">
        <v>67</v>
      </c>
    </row>
    <row r="107" spans="1:22" hidden="1" x14ac:dyDescent="0.25">
      <c r="A107">
        <v>1991</v>
      </c>
      <c r="B107" t="s">
        <v>22</v>
      </c>
      <c r="C107" t="s">
        <v>64</v>
      </c>
      <c r="D107" t="s">
        <v>64</v>
      </c>
      <c r="E107" t="s">
        <v>65</v>
      </c>
      <c r="F107" t="s">
        <v>82</v>
      </c>
      <c r="G107" t="s">
        <v>23</v>
      </c>
      <c r="H107">
        <v>17</v>
      </c>
      <c r="I107">
        <v>61</v>
      </c>
      <c r="J107">
        <v>20</v>
      </c>
      <c r="K107" t="s">
        <v>67</v>
      </c>
      <c r="L107">
        <v>2</v>
      </c>
      <c r="M107" t="s">
        <v>67</v>
      </c>
      <c r="N107" t="s">
        <v>67</v>
      </c>
      <c r="O107" t="s">
        <v>67</v>
      </c>
      <c r="P107" t="s">
        <v>67</v>
      </c>
      <c r="Q107" t="s">
        <v>67</v>
      </c>
      <c r="R107" t="s">
        <v>67</v>
      </c>
      <c r="S107" t="s">
        <v>67</v>
      </c>
      <c r="T107" t="s">
        <v>67</v>
      </c>
      <c r="U107" t="s">
        <v>67</v>
      </c>
      <c r="V107" t="s">
        <v>67</v>
      </c>
    </row>
    <row r="108" spans="1:22" hidden="1" x14ac:dyDescent="0.25">
      <c r="A108">
        <v>1991</v>
      </c>
      <c r="B108" t="s">
        <v>22</v>
      </c>
      <c r="C108" t="s">
        <v>64</v>
      </c>
      <c r="D108" t="s">
        <v>64</v>
      </c>
      <c r="E108" t="s">
        <v>65</v>
      </c>
      <c r="F108" t="s">
        <v>83</v>
      </c>
      <c r="G108" t="s">
        <v>23</v>
      </c>
      <c r="H108">
        <v>16</v>
      </c>
      <c r="I108">
        <v>61</v>
      </c>
      <c r="J108">
        <v>20</v>
      </c>
      <c r="K108">
        <v>1</v>
      </c>
      <c r="L108">
        <v>2</v>
      </c>
      <c r="M108" t="s">
        <v>67</v>
      </c>
      <c r="N108" t="s">
        <v>67</v>
      </c>
      <c r="O108" t="s">
        <v>67</v>
      </c>
      <c r="P108" t="s">
        <v>67</v>
      </c>
      <c r="Q108" t="s">
        <v>67</v>
      </c>
      <c r="R108" t="s">
        <v>67</v>
      </c>
      <c r="S108" t="s">
        <v>67</v>
      </c>
      <c r="T108" t="s">
        <v>67</v>
      </c>
      <c r="U108" t="s">
        <v>67</v>
      </c>
      <c r="V108" t="s">
        <v>67</v>
      </c>
    </row>
    <row r="109" spans="1:22" hidden="1" x14ac:dyDescent="0.25">
      <c r="A109">
        <v>1991</v>
      </c>
      <c r="B109" t="s">
        <v>22</v>
      </c>
      <c r="C109" t="s">
        <v>64</v>
      </c>
      <c r="D109" t="s">
        <v>64</v>
      </c>
      <c r="E109" t="s">
        <v>65</v>
      </c>
      <c r="F109" t="s">
        <v>68</v>
      </c>
      <c r="G109" t="s">
        <v>23</v>
      </c>
      <c r="H109">
        <v>34</v>
      </c>
      <c r="I109">
        <v>43</v>
      </c>
      <c r="J109">
        <v>8</v>
      </c>
      <c r="K109">
        <v>4</v>
      </c>
      <c r="L109">
        <v>11</v>
      </c>
      <c r="M109" t="s">
        <v>67</v>
      </c>
      <c r="N109" t="s">
        <v>67</v>
      </c>
      <c r="O109" t="s">
        <v>67</v>
      </c>
      <c r="P109" t="s">
        <v>67</v>
      </c>
      <c r="Q109" t="s">
        <v>67</v>
      </c>
      <c r="R109" t="s">
        <v>67</v>
      </c>
      <c r="S109" t="s">
        <v>67</v>
      </c>
      <c r="T109" t="s">
        <v>67</v>
      </c>
      <c r="U109" t="s">
        <v>67</v>
      </c>
      <c r="V109" t="s">
        <v>67</v>
      </c>
    </row>
    <row r="110" spans="1:22" hidden="1" x14ac:dyDescent="0.25">
      <c r="A110">
        <v>1992</v>
      </c>
      <c r="B110" t="s">
        <v>22</v>
      </c>
      <c r="C110" t="s">
        <v>64</v>
      </c>
      <c r="D110" t="s">
        <v>64</v>
      </c>
      <c r="E110" t="s">
        <v>65</v>
      </c>
      <c r="F110" t="s">
        <v>74</v>
      </c>
      <c r="G110" t="s">
        <v>23</v>
      </c>
      <c r="H110">
        <v>17</v>
      </c>
      <c r="I110">
        <v>58</v>
      </c>
      <c r="J110">
        <v>21</v>
      </c>
      <c r="K110">
        <v>1</v>
      </c>
      <c r="L110">
        <v>3</v>
      </c>
      <c r="M110" t="s">
        <v>67</v>
      </c>
      <c r="N110" t="s">
        <v>67</v>
      </c>
      <c r="O110" t="s">
        <v>67</v>
      </c>
      <c r="P110" t="s">
        <v>67</v>
      </c>
      <c r="Q110" t="s">
        <v>67</v>
      </c>
      <c r="R110" t="s">
        <v>67</v>
      </c>
      <c r="S110" t="s">
        <v>67</v>
      </c>
      <c r="T110" t="s">
        <v>67</v>
      </c>
      <c r="U110" t="s">
        <v>67</v>
      </c>
      <c r="V110" t="s">
        <v>67</v>
      </c>
    </row>
    <row r="111" spans="1:22" x14ac:dyDescent="0.25">
      <c r="A111">
        <v>1992</v>
      </c>
      <c r="B111" t="s">
        <v>22</v>
      </c>
      <c r="C111" t="s">
        <v>64</v>
      </c>
      <c r="D111" t="s">
        <v>64</v>
      </c>
      <c r="E111" t="s">
        <v>65</v>
      </c>
      <c r="F111" t="s">
        <v>89</v>
      </c>
      <c r="G111" t="s">
        <v>23</v>
      </c>
      <c r="H111">
        <v>16</v>
      </c>
      <c r="I111">
        <v>55</v>
      </c>
      <c r="J111">
        <v>25</v>
      </c>
      <c r="K111">
        <v>1</v>
      </c>
      <c r="L111">
        <v>3</v>
      </c>
      <c r="M111">
        <f>J111+I111</f>
        <v>80</v>
      </c>
      <c r="N111">
        <v>-8.2441019393712622E-2</v>
      </c>
      <c r="O111" t="s">
        <v>67</v>
      </c>
      <c r="P111" t="s">
        <v>67</v>
      </c>
      <c r="Q111" t="s">
        <v>67</v>
      </c>
      <c r="R111" t="s">
        <v>67</v>
      </c>
      <c r="S111" t="s">
        <v>67</v>
      </c>
      <c r="T111" t="s">
        <v>67</v>
      </c>
      <c r="U111" t="s">
        <v>67</v>
      </c>
      <c r="V111" t="s">
        <v>67</v>
      </c>
    </row>
    <row r="112" spans="1:22" hidden="1" x14ac:dyDescent="0.25">
      <c r="A112">
        <v>1992</v>
      </c>
      <c r="B112" t="s">
        <v>22</v>
      </c>
      <c r="C112" t="s">
        <v>64</v>
      </c>
      <c r="D112" t="s">
        <v>64</v>
      </c>
      <c r="E112" t="s">
        <v>65</v>
      </c>
      <c r="F112" t="s">
        <v>68</v>
      </c>
      <c r="G112" t="s">
        <v>23</v>
      </c>
      <c r="H112">
        <v>18</v>
      </c>
      <c r="I112">
        <v>62</v>
      </c>
      <c r="J112">
        <v>16</v>
      </c>
      <c r="K112">
        <v>1</v>
      </c>
      <c r="L112">
        <v>3</v>
      </c>
      <c r="M112" t="s">
        <v>67</v>
      </c>
      <c r="N112" t="s">
        <v>67</v>
      </c>
      <c r="O112" t="s">
        <v>67</v>
      </c>
      <c r="P112" t="s">
        <v>67</v>
      </c>
      <c r="Q112" t="s">
        <v>67</v>
      </c>
      <c r="R112" t="s">
        <v>67</v>
      </c>
      <c r="S112" t="s">
        <v>67</v>
      </c>
      <c r="T112" t="s">
        <v>67</v>
      </c>
      <c r="U112" t="s">
        <v>67</v>
      </c>
      <c r="V112" t="s">
        <v>67</v>
      </c>
    </row>
    <row r="113" spans="1:22" hidden="1" x14ac:dyDescent="0.25">
      <c r="A113">
        <v>1992</v>
      </c>
      <c r="B113" t="s">
        <v>22</v>
      </c>
      <c r="C113" t="s">
        <v>64</v>
      </c>
      <c r="D113" t="s">
        <v>64</v>
      </c>
      <c r="E113" t="s">
        <v>65</v>
      </c>
      <c r="F113" t="s">
        <v>85</v>
      </c>
      <c r="G113" t="s">
        <v>23</v>
      </c>
      <c r="H113">
        <v>18</v>
      </c>
      <c r="I113">
        <v>61</v>
      </c>
      <c r="J113">
        <v>16</v>
      </c>
      <c r="K113">
        <v>1</v>
      </c>
      <c r="L113">
        <v>4</v>
      </c>
      <c r="M113" t="s">
        <v>67</v>
      </c>
      <c r="N113" t="s">
        <v>67</v>
      </c>
      <c r="O113" t="s">
        <v>67</v>
      </c>
      <c r="P113" t="s">
        <v>67</v>
      </c>
      <c r="Q113" t="s">
        <v>67</v>
      </c>
      <c r="R113" t="s">
        <v>67</v>
      </c>
      <c r="S113" t="s">
        <v>67</v>
      </c>
      <c r="T113" t="s">
        <v>67</v>
      </c>
      <c r="U113" t="s">
        <v>67</v>
      </c>
      <c r="V113" t="s">
        <v>67</v>
      </c>
    </row>
    <row r="114" spans="1:22" hidden="1" x14ac:dyDescent="0.25">
      <c r="A114">
        <v>1992</v>
      </c>
      <c r="B114" t="s">
        <v>22</v>
      </c>
      <c r="C114" t="s">
        <v>64</v>
      </c>
      <c r="D114" t="s">
        <v>64</v>
      </c>
      <c r="E114" t="s">
        <v>65</v>
      </c>
      <c r="F114" t="s">
        <v>69</v>
      </c>
      <c r="G114" t="s">
        <v>23</v>
      </c>
      <c r="H114">
        <v>18</v>
      </c>
      <c r="I114">
        <v>60</v>
      </c>
      <c r="J114">
        <v>17</v>
      </c>
      <c r="K114">
        <v>1</v>
      </c>
      <c r="L114">
        <v>4</v>
      </c>
      <c r="M114" t="s">
        <v>67</v>
      </c>
      <c r="N114" t="s">
        <v>67</v>
      </c>
      <c r="O114" t="s">
        <v>67</v>
      </c>
      <c r="P114" t="s">
        <v>67</v>
      </c>
      <c r="Q114" t="s">
        <v>67</v>
      </c>
      <c r="R114" t="s">
        <v>67</v>
      </c>
      <c r="S114" t="s">
        <v>67</v>
      </c>
      <c r="T114" t="s">
        <v>67</v>
      </c>
      <c r="U114" t="s">
        <v>67</v>
      </c>
      <c r="V114" t="s">
        <v>67</v>
      </c>
    </row>
    <row r="115" spans="1:22" hidden="1" x14ac:dyDescent="0.25">
      <c r="A115">
        <v>1992</v>
      </c>
      <c r="B115" t="s">
        <v>22</v>
      </c>
      <c r="C115" t="s">
        <v>64</v>
      </c>
      <c r="D115" t="s">
        <v>64</v>
      </c>
      <c r="E115" t="s">
        <v>65</v>
      </c>
      <c r="F115" t="s">
        <v>70</v>
      </c>
      <c r="G115" t="s">
        <v>23</v>
      </c>
      <c r="H115">
        <v>17</v>
      </c>
      <c r="I115">
        <v>61</v>
      </c>
      <c r="J115">
        <v>17</v>
      </c>
      <c r="K115">
        <v>1</v>
      </c>
      <c r="L115">
        <v>4</v>
      </c>
      <c r="M115" t="s">
        <v>67</v>
      </c>
      <c r="N115" t="s">
        <v>67</v>
      </c>
      <c r="O115" t="s">
        <v>67</v>
      </c>
      <c r="P115" t="s">
        <v>67</v>
      </c>
      <c r="Q115" t="s">
        <v>67</v>
      </c>
      <c r="R115" t="s">
        <v>67</v>
      </c>
      <c r="S115" t="s">
        <v>67</v>
      </c>
      <c r="T115" t="s">
        <v>67</v>
      </c>
      <c r="U115" t="s">
        <v>67</v>
      </c>
      <c r="V115" t="s">
        <v>67</v>
      </c>
    </row>
    <row r="116" spans="1:22" hidden="1" x14ac:dyDescent="0.25">
      <c r="A116">
        <v>1992</v>
      </c>
      <c r="B116" t="s">
        <v>22</v>
      </c>
      <c r="C116" t="s">
        <v>64</v>
      </c>
      <c r="D116" t="s">
        <v>64</v>
      </c>
      <c r="E116" t="s">
        <v>65</v>
      </c>
      <c r="F116" t="s">
        <v>71</v>
      </c>
      <c r="G116" t="s">
        <v>23</v>
      </c>
      <c r="H116">
        <v>16</v>
      </c>
      <c r="I116">
        <v>61</v>
      </c>
      <c r="J116">
        <v>18</v>
      </c>
      <c r="K116">
        <v>1</v>
      </c>
      <c r="L116">
        <v>4</v>
      </c>
      <c r="M116" t="s">
        <v>67</v>
      </c>
      <c r="N116" t="s">
        <v>67</v>
      </c>
      <c r="O116" t="s">
        <v>67</v>
      </c>
      <c r="P116" t="s">
        <v>67</v>
      </c>
      <c r="Q116" t="s">
        <v>67</v>
      </c>
      <c r="R116" t="s">
        <v>67</v>
      </c>
      <c r="S116" t="s">
        <v>67</v>
      </c>
      <c r="T116" t="s">
        <v>67</v>
      </c>
      <c r="U116" t="s">
        <v>67</v>
      </c>
      <c r="V116" t="s">
        <v>67</v>
      </c>
    </row>
    <row r="117" spans="1:22" hidden="1" x14ac:dyDescent="0.25">
      <c r="A117">
        <v>1992</v>
      </c>
      <c r="B117" t="s">
        <v>22</v>
      </c>
      <c r="C117" t="s">
        <v>64</v>
      </c>
      <c r="D117" t="s">
        <v>64</v>
      </c>
      <c r="E117" t="s">
        <v>65</v>
      </c>
      <c r="F117" t="s">
        <v>72</v>
      </c>
      <c r="G117" t="s">
        <v>23</v>
      </c>
      <c r="H117">
        <v>17</v>
      </c>
      <c r="I117">
        <v>58</v>
      </c>
      <c r="J117">
        <v>21</v>
      </c>
      <c r="K117">
        <v>1</v>
      </c>
      <c r="L117">
        <v>3</v>
      </c>
      <c r="M117" t="s">
        <v>67</v>
      </c>
      <c r="N117" t="s">
        <v>67</v>
      </c>
      <c r="O117" t="s">
        <v>67</v>
      </c>
      <c r="P117" t="s">
        <v>67</v>
      </c>
      <c r="Q117" t="s">
        <v>67</v>
      </c>
      <c r="R117" t="s">
        <v>67</v>
      </c>
      <c r="S117" t="s">
        <v>67</v>
      </c>
      <c r="T117" t="s">
        <v>67</v>
      </c>
      <c r="U117" t="s">
        <v>67</v>
      </c>
      <c r="V117" t="s">
        <v>67</v>
      </c>
    </row>
    <row r="118" spans="1:22" hidden="1" x14ac:dyDescent="0.25">
      <c r="A118">
        <v>1992</v>
      </c>
      <c r="B118" t="s">
        <v>22</v>
      </c>
      <c r="C118" t="s">
        <v>64</v>
      </c>
      <c r="D118" t="s">
        <v>64</v>
      </c>
      <c r="E118" t="s">
        <v>65</v>
      </c>
      <c r="F118" t="s">
        <v>73</v>
      </c>
      <c r="G118" t="s">
        <v>23</v>
      </c>
      <c r="H118">
        <v>18</v>
      </c>
      <c r="I118">
        <v>57</v>
      </c>
      <c r="J118">
        <v>21</v>
      </c>
      <c r="K118">
        <v>1</v>
      </c>
      <c r="L118">
        <v>3</v>
      </c>
      <c r="M118" t="s">
        <v>67</v>
      </c>
      <c r="N118" t="s">
        <v>67</v>
      </c>
      <c r="O118" t="s">
        <v>67</v>
      </c>
      <c r="P118" t="s">
        <v>67</v>
      </c>
      <c r="Q118" t="s">
        <v>67</v>
      </c>
      <c r="R118" t="s">
        <v>67</v>
      </c>
      <c r="S118" t="s">
        <v>67</v>
      </c>
      <c r="T118" t="s">
        <v>67</v>
      </c>
      <c r="U118" t="s">
        <v>67</v>
      </c>
      <c r="V118" t="s">
        <v>67</v>
      </c>
    </row>
    <row r="119" spans="1:22" x14ac:dyDescent="0.25">
      <c r="A119">
        <v>1992</v>
      </c>
      <c r="B119" t="s">
        <v>22</v>
      </c>
      <c r="C119" t="s">
        <v>64</v>
      </c>
      <c r="D119" t="s">
        <v>64</v>
      </c>
      <c r="E119" t="s">
        <v>65</v>
      </c>
      <c r="F119" t="s">
        <v>90</v>
      </c>
      <c r="G119" t="s">
        <v>23</v>
      </c>
      <c r="H119">
        <v>17</v>
      </c>
      <c r="I119">
        <v>61</v>
      </c>
      <c r="J119">
        <v>18</v>
      </c>
      <c r="K119">
        <v>1</v>
      </c>
      <c r="L119">
        <v>3</v>
      </c>
      <c r="M119">
        <f>J119+I119</f>
        <v>79</v>
      </c>
      <c r="N119">
        <v>9.2849331848912975E-2</v>
      </c>
      <c r="O119" t="s">
        <v>67</v>
      </c>
      <c r="P119" t="s">
        <v>67</v>
      </c>
      <c r="Q119" t="s">
        <v>67</v>
      </c>
      <c r="R119" t="s">
        <v>67</v>
      </c>
      <c r="S119" t="s">
        <v>67</v>
      </c>
      <c r="T119" t="s">
        <v>67</v>
      </c>
      <c r="U119" t="s">
        <v>67</v>
      </c>
      <c r="V119" t="s">
        <v>67</v>
      </c>
    </row>
    <row r="120" spans="1:22" hidden="1" x14ac:dyDescent="0.25">
      <c r="A120">
        <v>1992</v>
      </c>
      <c r="B120" t="s">
        <v>22</v>
      </c>
      <c r="C120" t="s">
        <v>64</v>
      </c>
      <c r="D120" t="s">
        <v>64</v>
      </c>
      <c r="E120" t="s">
        <v>65</v>
      </c>
      <c r="F120" t="s">
        <v>75</v>
      </c>
      <c r="G120" t="s">
        <v>23</v>
      </c>
      <c r="H120">
        <v>20</v>
      </c>
      <c r="I120">
        <v>57</v>
      </c>
      <c r="J120">
        <v>19</v>
      </c>
      <c r="K120">
        <v>1</v>
      </c>
      <c r="L120">
        <v>3</v>
      </c>
      <c r="M120" t="s">
        <v>67</v>
      </c>
      <c r="N120" t="s">
        <v>67</v>
      </c>
      <c r="O120" t="s">
        <v>67</v>
      </c>
      <c r="P120" t="s">
        <v>67</v>
      </c>
      <c r="Q120" t="s">
        <v>67</v>
      </c>
      <c r="R120" t="s">
        <v>67</v>
      </c>
      <c r="S120" t="s">
        <v>67</v>
      </c>
      <c r="T120" t="s">
        <v>67</v>
      </c>
      <c r="U120" t="s">
        <v>67</v>
      </c>
      <c r="V120" t="s">
        <v>67</v>
      </c>
    </row>
    <row r="121" spans="1:22" hidden="1" x14ac:dyDescent="0.25">
      <c r="A121">
        <v>1992</v>
      </c>
      <c r="B121" t="s">
        <v>22</v>
      </c>
      <c r="C121" t="s">
        <v>64</v>
      </c>
      <c r="D121" t="s">
        <v>64</v>
      </c>
      <c r="E121" t="s">
        <v>65</v>
      </c>
      <c r="F121" t="s">
        <v>76</v>
      </c>
      <c r="G121" t="s">
        <v>23</v>
      </c>
      <c r="H121">
        <v>21</v>
      </c>
      <c r="I121">
        <v>59</v>
      </c>
      <c r="J121">
        <v>16</v>
      </c>
      <c r="K121">
        <v>1</v>
      </c>
      <c r="L121">
        <v>3</v>
      </c>
      <c r="M121" t="s">
        <v>67</v>
      </c>
      <c r="N121" t="s">
        <v>67</v>
      </c>
      <c r="O121" t="s">
        <v>67</v>
      </c>
      <c r="P121" t="s">
        <v>67</v>
      </c>
      <c r="Q121" t="s">
        <v>67</v>
      </c>
      <c r="R121" t="s">
        <v>67</v>
      </c>
      <c r="S121" t="s">
        <v>67</v>
      </c>
      <c r="T121" t="s">
        <v>67</v>
      </c>
      <c r="U121" t="s">
        <v>67</v>
      </c>
      <c r="V121" t="s">
        <v>67</v>
      </c>
    </row>
    <row r="122" spans="1:22" hidden="1" x14ac:dyDescent="0.25">
      <c r="A122">
        <v>1992</v>
      </c>
      <c r="B122" t="s">
        <v>22</v>
      </c>
      <c r="C122" t="s">
        <v>64</v>
      </c>
      <c r="D122" t="s">
        <v>64</v>
      </c>
      <c r="E122" t="s">
        <v>65</v>
      </c>
      <c r="F122" t="s">
        <v>77</v>
      </c>
      <c r="G122" t="s">
        <v>23</v>
      </c>
      <c r="H122">
        <v>29</v>
      </c>
      <c r="I122">
        <v>55</v>
      </c>
      <c r="J122">
        <v>11</v>
      </c>
      <c r="K122">
        <v>1</v>
      </c>
      <c r="L122">
        <v>4</v>
      </c>
      <c r="M122" t="s">
        <v>67</v>
      </c>
      <c r="N122" t="s">
        <v>67</v>
      </c>
      <c r="O122" t="s">
        <v>67</v>
      </c>
      <c r="P122" t="s">
        <v>67</v>
      </c>
      <c r="Q122" t="s">
        <v>67</v>
      </c>
      <c r="R122" t="s">
        <v>67</v>
      </c>
      <c r="S122" t="s">
        <v>67</v>
      </c>
      <c r="T122" t="s">
        <v>67</v>
      </c>
      <c r="U122" t="s">
        <v>67</v>
      </c>
      <c r="V122" t="s">
        <v>67</v>
      </c>
    </row>
    <row r="123" spans="1:22" hidden="1" x14ac:dyDescent="0.25">
      <c r="A123">
        <v>1992</v>
      </c>
      <c r="B123" t="s">
        <v>22</v>
      </c>
      <c r="C123" t="s">
        <v>64</v>
      </c>
      <c r="D123" t="s">
        <v>64</v>
      </c>
      <c r="E123" t="s">
        <v>65</v>
      </c>
      <c r="F123" t="s">
        <v>78</v>
      </c>
      <c r="G123" t="s">
        <v>23</v>
      </c>
      <c r="H123">
        <v>38</v>
      </c>
      <c r="I123">
        <v>45</v>
      </c>
      <c r="J123">
        <v>7</v>
      </c>
      <c r="K123">
        <v>1</v>
      </c>
      <c r="L123">
        <v>9</v>
      </c>
      <c r="M123" t="s">
        <v>67</v>
      </c>
      <c r="N123" t="s">
        <v>67</v>
      </c>
      <c r="O123" t="s">
        <v>67</v>
      </c>
      <c r="P123" t="s">
        <v>67</v>
      </c>
      <c r="Q123" t="s">
        <v>67</v>
      </c>
      <c r="R123" t="s">
        <v>67</v>
      </c>
      <c r="S123" t="s">
        <v>67</v>
      </c>
      <c r="T123" t="s">
        <v>67</v>
      </c>
      <c r="U123" t="s">
        <v>67</v>
      </c>
      <c r="V123" t="s">
        <v>67</v>
      </c>
    </row>
    <row r="124" spans="1:22" hidden="1" x14ac:dyDescent="0.25">
      <c r="A124">
        <v>1992</v>
      </c>
      <c r="B124" t="s">
        <v>22</v>
      </c>
      <c r="C124" t="s">
        <v>64</v>
      </c>
      <c r="D124" t="s">
        <v>64</v>
      </c>
      <c r="E124" t="s">
        <v>65</v>
      </c>
      <c r="F124" t="s">
        <v>79</v>
      </c>
      <c r="G124" t="s">
        <v>23</v>
      </c>
      <c r="H124">
        <v>37</v>
      </c>
      <c r="I124">
        <v>48</v>
      </c>
      <c r="J124">
        <v>7</v>
      </c>
      <c r="K124">
        <v>2</v>
      </c>
      <c r="L124">
        <v>6</v>
      </c>
      <c r="M124" t="s">
        <v>67</v>
      </c>
      <c r="N124" t="s">
        <v>67</v>
      </c>
      <c r="O124" t="s">
        <v>67</v>
      </c>
      <c r="P124" t="s">
        <v>67</v>
      </c>
      <c r="Q124" t="s">
        <v>67</v>
      </c>
      <c r="R124" t="s">
        <v>67</v>
      </c>
      <c r="S124" t="s">
        <v>67</v>
      </c>
      <c r="T124" t="s">
        <v>67</v>
      </c>
      <c r="U124" t="s">
        <v>67</v>
      </c>
      <c r="V124" t="s">
        <v>67</v>
      </c>
    </row>
    <row r="125" spans="1:22" hidden="1" x14ac:dyDescent="0.25">
      <c r="A125">
        <v>1992</v>
      </c>
      <c r="B125" t="s">
        <v>22</v>
      </c>
      <c r="C125" t="s">
        <v>64</v>
      </c>
      <c r="D125" t="s">
        <v>64</v>
      </c>
      <c r="E125" t="s">
        <v>65</v>
      </c>
      <c r="F125" t="s">
        <v>80</v>
      </c>
      <c r="G125" t="s">
        <v>23</v>
      </c>
      <c r="H125">
        <v>35</v>
      </c>
      <c r="I125">
        <v>52</v>
      </c>
      <c r="J125">
        <v>7</v>
      </c>
      <c r="K125" t="s">
        <v>67</v>
      </c>
      <c r="L125">
        <v>6</v>
      </c>
      <c r="M125" t="s">
        <v>67</v>
      </c>
      <c r="N125" t="s">
        <v>67</v>
      </c>
      <c r="O125" t="s">
        <v>67</v>
      </c>
      <c r="P125" t="s">
        <v>67</v>
      </c>
      <c r="Q125" t="s">
        <v>67</v>
      </c>
      <c r="R125" t="s">
        <v>67</v>
      </c>
      <c r="S125" t="s">
        <v>67</v>
      </c>
      <c r="T125" t="s">
        <v>67</v>
      </c>
      <c r="U125" t="s">
        <v>67</v>
      </c>
      <c r="V125" t="s">
        <v>67</v>
      </c>
    </row>
    <row r="126" spans="1:22" hidden="1" x14ac:dyDescent="0.25">
      <c r="A126">
        <v>1992</v>
      </c>
      <c r="B126" t="s">
        <v>22</v>
      </c>
      <c r="C126" t="s">
        <v>64</v>
      </c>
      <c r="D126" t="s">
        <v>64</v>
      </c>
      <c r="E126" t="s">
        <v>65</v>
      </c>
      <c r="F126" t="s">
        <v>81</v>
      </c>
      <c r="G126" t="s">
        <v>23</v>
      </c>
      <c r="H126">
        <v>41</v>
      </c>
      <c r="I126">
        <v>47</v>
      </c>
      <c r="J126">
        <v>5</v>
      </c>
      <c r="K126">
        <v>1</v>
      </c>
      <c r="L126">
        <v>6</v>
      </c>
      <c r="M126" t="s">
        <v>67</v>
      </c>
      <c r="N126" t="s">
        <v>67</v>
      </c>
      <c r="O126" t="s">
        <v>67</v>
      </c>
      <c r="P126" t="s">
        <v>67</v>
      </c>
      <c r="Q126" t="s">
        <v>67</v>
      </c>
      <c r="R126" t="s">
        <v>67</v>
      </c>
      <c r="S126" t="s">
        <v>67</v>
      </c>
      <c r="T126" t="s">
        <v>67</v>
      </c>
      <c r="U126" t="s">
        <v>67</v>
      </c>
      <c r="V126" t="s">
        <v>67</v>
      </c>
    </row>
    <row r="127" spans="1:22" hidden="1" x14ac:dyDescent="0.25">
      <c r="A127">
        <v>1992</v>
      </c>
      <c r="B127" t="s">
        <v>22</v>
      </c>
      <c r="C127" t="s">
        <v>64</v>
      </c>
      <c r="D127" t="s">
        <v>64</v>
      </c>
      <c r="E127" t="s">
        <v>65</v>
      </c>
      <c r="F127" t="s">
        <v>82</v>
      </c>
      <c r="G127" t="s">
        <v>23</v>
      </c>
      <c r="H127">
        <v>45</v>
      </c>
      <c r="I127">
        <v>42</v>
      </c>
      <c r="J127">
        <v>4</v>
      </c>
      <c r="K127">
        <v>1</v>
      </c>
      <c r="L127">
        <v>8</v>
      </c>
      <c r="M127" t="s">
        <v>67</v>
      </c>
      <c r="N127" t="s">
        <v>67</v>
      </c>
      <c r="O127" t="s">
        <v>67</v>
      </c>
      <c r="P127" t="s">
        <v>67</v>
      </c>
      <c r="Q127" t="s">
        <v>67</v>
      </c>
      <c r="R127" t="s">
        <v>67</v>
      </c>
      <c r="S127" t="s">
        <v>67</v>
      </c>
      <c r="T127" t="s">
        <v>67</v>
      </c>
      <c r="U127" t="s">
        <v>67</v>
      </c>
      <c r="V127" t="s">
        <v>67</v>
      </c>
    </row>
    <row r="128" spans="1:22" hidden="1" x14ac:dyDescent="0.25">
      <c r="A128">
        <v>1992</v>
      </c>
      <c r="B128" t="s">
        <v>22</v>
      </c>
      <c r="C128" t="s">
        <v>64</v>
      </c>
      <c r="D128" t="s">
        <v>64</v>
      </c>
      <c r="E128" t="s">
        <v>65</v>
      </c>
      <c r="F128" t="s">
        <v>83</v>
      </c>
      <c r="G128" t="s">
        <v>23</v>
      </c>
      <c r="H128">
        <v>44</v>
      </c>
      <c r="I128">
        <v>42</v>
      </c>
      <c r="J128">
        <v>5</v>
      </c>
      <c r="K128">
        <v>1</v>
      </c>
      <c r="L128">
        <v>8</v>
      </c>
      <c r="M128" t="s">
        <v>67</v>
      </c>
      <c r="N128" t="s">
        <v>67</v>
      </c>
      <c r="O128" t="s">
        <v>67</v>
      </c>
      <c r="P128" t="s">
        <v>67</v>
      </c>
      <c r="Q128" t="s">
        <v>67</v>
      </c>
      <c r="R128" t="s">
        <v>67</v>
      </c>
      <c r="S128" t="s">
        <v>67</v>
      </c>
      <c r="T128" t="s">
        <v>67</v>
      </c>
      <c r="U128" t="s">
        <v>67</v>
      </c>
      <c r="V128" t="s">
        <v>67</v>
      </c>
    </row>
    <row r="129" spans="1:22" hidden="1" x14ac:dyDescent="0.25">
      <c r="A129">
        <v>1992</v>
      </c>
      <c r="B129" t="s">
        <v>22</v>
      </c>
      <c r="C129" t="s">
        <v>64</v>
      </c>
      <c r="D129" t="s">
        <v>64</v>
      </c>
      <c r="E129" t="s">
        <v>65</v>
      </c>
      <c r="F129" t="s">
        <v>84</v>
      </c>
      <c r="G129" t="s">
        <v>23</v>
      </c>
      <c r="H129">
        <v>26</v>
      </c>
      <c r="I129">
        <v>61</v>
      </c>
      <c r="J129">
        <v>10</v>
      </c>
      <c r="K129" t="s">
        <v>67</v>
      </c>
      <c r="L129">
        <v>3</v>
      </c>
      <c r="M129" t="s">
        <v>67</v>
      </c>
      <c r="N129" t="s">
        <v>67</v>
      </c>
      <c r="O129" t="s">
        <v>67</v>
      </c>
      <c r="P129" t="s">
        <v>67</v>
      </c>
      <c r="Q129" t="s">
        <v>67</v>
      </c>
      <c r="R129" t="s">
        <v>67</v>
      </c>
      <c r="S129" t="s">
        <v>67</v>
      </c>
      <c r="T129" t="s">
        <v>67</v>
      </c>
      <c r="U129" t="s">
        <v>67</v>
      </c>
      <c r="V129" t="s">
        <v>67</v>
      </c>
    </row>
    <row r="130" spans="1:22" x14ac:dyDescent="0.25">
      <c r="A130">
        <v>1993</v>
      </c>
      <c r="B130" t="s">
        <v>22</v>
      </c>
      <c r="C130" t="s">
        <v>64</v>
      </c>
      <c r="D130" t="s">
        <v>64</v>
      </c>
      <c r="E130" t="s">
        <v>65</v>
      </c>
      <c r="F130" t="s">
        <v>90</v>
      </c>
      <c r="G130" t="s">
        <v>23</v>
      </c>
      <c r="H130">
        <v>36</v>
      </c>
      <c r="I130">
        <v>39</v>
      </c>
      <c r="J130">
        <v>6</v>
      </c>
      <c r="K130">
        <v>4</v>
      </c>
      <c r="L130">
        <v>15</v>
      </c>
      <c r="M130">
        <f>J130+I130</f>
        <v>45</v>
      </c>
      <c r="N130">
        <v>-0.18980342814645557</v>
      </c>
      <c r="O130" t="s">
        <v>67</v>
      </c>
      <c r="P130" t="s">
        <v>67</v>
      </c>
      <c r="Q130" t="s">
        <v>67</v>
      </c>
      <c r="R130" t="s">
        <v>67</v>
      </c>
      <c r="S130" t="s">
        <v>67</v>
      </c>
      <c r="T130" t="s">
        <v>67</v>
      </c>
      <c r="U130" t="s">
        <v>67</v>
      </c>
      <c r="V130" t="s">
        <v>67</v>
      </c>
    </row>
    <row r="131" spans="1:22" hidden="1" x14ac:dyDescent="0.25">
      <c r="A131">
        <v>1993</v>
      </c>
      <c r="B131" t="s">
        <v>22</v>
      </c>
      <c r="C131" t="s">
        <v>64</v>
      </c>
      <c r="D131" t="s">
        <v>64</v>
      </c>
      <c r="E131" t="s">
        <v>65</v>
      </c>
      <c r="F131" t="s">
        <v>68</v>
      </c>
      <c r="G131" t="s">
        <v>23</v>
      </c>
      <c r="H131">
        <v>35</v>
      </c>
      <c r="I131">
        <v>43</v>
      </c>
      <c r="J131">
        <v>6</v>
      </c>
      <c r="K131">
        <v>3</v>
      </c>
      <c r="L131">
        <v>13</v>
      </c>
      <c r="M131" t="s">
        <v>67</v>
      </c>
      <c r="N131" t="s">
        <v>67</v>
      </c>
      <c r="O131" t="s">
        <v>67</v>
      </c>
      <c r="P131" t="s">
        <v>67</v>
      </c>
      <c r="Q131" t="s">
        <v>67</v>
      </c>
      <c r="R131" t="s">
        <v>67</v>
      </c>
      <c r="S131" t="s">
        <v>67</v>
      </c>
      <c r="T131" t="s">
        <v>67</v>
      </c>
      <c r="U131" t="s">
        <v>67</v>
      </c>
      <c r="V131" t="s">
        <v>67</v>
      </c>
    </row>
    <row r="132" spans="1:22" hidden="1" x14ac:dyDescent="0.25">
      <c r="A132">
        <v>1993</v>
      </c>
      <c r="B132" t="s">
        <v>22</v>
      </c>
      <c r="C132" t="s">
        <v>64</v>
      </c>
      <c r="D132" t="s">
        <v>64</v>
      </c>
      <c r="E132" t="s">
        <v>65</v>
      </c>
      <c r="F132" t="s">
        <v>85</v>
      </c>
      <c r="G132" t="s">
        <v>23</v>
      </c>
      <c r="H132">
        <v>35</v>
      </c>
      <c r="I132">
        <v>44</v>
      </c>
      <c r="J132">
        <v>6</v>
      </c>
      <c r="K132">
        <v>3</v>
      </c>
      <c r="L132">
        <v>12</v>
      </c>
      <c r="M132" t="s">
        <v>67</v>
      </c>
      <c r="N132" t="s">
        <v>67</v>
      </c>
      <c r="O132" t="s">
        <v>67</v>
      </c>
      <c r="P132" t="s">
        <v>67</v>
      </c>
      <c r="Q132" t="s">
        <v>67</v>
      </c>
      <c r="R132" t="s">
        <v>67</v>
      </c>
      <c r="S132" t="s">
        <v>67</v>
      </c>
      <c r="T132" t="s">
        <v>67</v>
      </c>
      <c r="U132" t="s">
        <v>67</v>
      </c>
      <c r="V132" t="s">
        <v>67</v>
      </c>
    </row>
    <row r="133" spans="1:22" hidden="1" x14ac:dyDescent="0.25">
      <c r="A133">
        <v>1993</v>
      </c>
      <c r="B133" t="s">
        <v>22</v>
      </c>
      <c r="C133" t="s">
        <v>64</v>
      </c>
      <c r="D133" t="s">
        <v>64</v>
      </c>
      <c r="E133" t="s">
        <v>65</v>
      </c>
      <c r="F133" t="s">
        <v>69</v>
      </c>
      <c r="G133" t="s">
        <v>23</v>
      </c>
      <c r="H133">
        <v>32</v>
      </c>
      <c r="I133">
        <v>46</v>
      </c>
      <c r="J133">
        <v>7</v>
      </c>
      <c r="K133">
        <v>3</v>
      </c>
      <c r="L133">
        <v>12</v>
      </c>
      <c r="M133" t="s">
        <v>67</v>
      </c>
      <c r="N133" t="s">
        <v>67</v>
      </c>
      <c r="O133" t="s">
        <v>67</v>
      </c>
      <c r="P133" t="s">
        <v>67</v>
      </c>
      <c r="Q133" t="s">
        <v>67</v>
      </c>
      <c r="R133" t="s">
        <v>67</v>
      </c>
      <c r="S133" t="s">
        <v>67</v>
      </c>
      <c r="T133" t="s">
        <v>67</v>
      </c>
      <c r="U133" t="s">
        <v>67</v>
      </c>
      <c r="V133" t="s">
        <v>67</v>
      </c>
    </row>
    <row r="134" spans="1:22" hidden="1" x14ac:dyDescent="0.25">
      <c r="A134">
        <v>1993</v>
      </c>
      <c r="B134" t="s">
        <v>22</v>
      </c>
      <c r="C134" t="s">
        <v>64</v>
      </c>
      <c r="D134" t="s">
        <v>64</v>
      </c>
      <c r="E134" t="s">
        <v>65</v>
      </c>
      <c r="F134" t="s">
        <v>70</v>
      </c>
      <c r="G134" t="s">
        <v>23</v>
      </c>
      <c r="H134">
        <v>34</v>
      </c>
      <c r="I134">
        <v>44</v>
      </c>
      <c r="J134">
        <v>7</v>
      </c>
      <c r="K134">
        <v>3</v>
      </c>
      <c r="L134">
        <v>12</v>
      </c>
      <c r="M134" t="s">
        <v>67</v>
      </c>
      <c r="N134" t="s">
        <v>67</v>
      </c>
      <c r="O134" t="s">
        <v>67</v>
      </c>
      <c r="P134" t="s">
        <v>67</v>
      </c>
      <c r="Q134" t="s">
        <v>67</v>
      </c>
      <c r="R134" t="s">
        <v>67</v>
      </c>
      <c r="S134" t="s">
        <v>67</v>
      </c>
      <c r="T134" t="s">
        <v>67</v>
      </c>
      <c r="U134" t="s">
        <v>67</v>
      </c>
      <c r="V134" t="s">
        <v>67</v>
      </c>
    </row>
    <row r="135" spans="1:22" hidden="1" x14ac:dyDescent="0.25">
      <c r="A135">
        <v>1993</v>
      </c>
      <c r="B135" t="s">
        <v>22</v>
      </c>
      <c r="C135" t="s">
        <v>64</v>
      </c>
      <c r="D135" t="s">
        <v>64</v>
      </c>
      <c r="E135" t="s">
        <v>65</v>
      </c>
      <c r="F135" t="s">
        <v>71</v>
      </c>
      <c r="G135" t="s">
        <v>23</v>
      </c>
      <c r="H135">
        <v>32</v>
      </c>
      <c r="I135">
        <v>46</v>
      </c>
      <c r="J135">
        <v>9</v>
      </c>
      <c r="K135">
        <v>2</v>
      </c>
      <c r="L135">
        <v>11</v>
      </c>
      <c r="M135" t="s">
        <v>67</v>
      </c>
      <c r="N135" t="s">
        <v>67</v>
      </c>
      <c r="O135" t="s">
        <v>67</v>
      </c>
      <c r="P135" t="s">
        <v>67</v>
      </c>
      <c r="Q135" t="s">
        <v>67</v>
      </c>
      <c r="R135" t="s">
        <v>67</v>
      </c>
      <c r="S135" t="s">
        <v>67</v>
      </c>
      <c r="T135" t="s">
        <v>67</v>
      </c>
      <c r="U135" t="s">
        <v>67</v>
      </c>
      <c r="V135" t="s">
        <v>67</v>
      </c>
    </row>
    <row r="136" spans="1:22" hidden="1" x14ac:dyDescent="0.25">
      <c r="A136">
        <v>1993</v>
      </c>
      <c r="B136" t="s">
        <v>22</v>
      </c>
      <c r="C136" t="s">
        <v>64</v>
      </c>
      <c r="D136" t="s">
        <v>64</v>
      </c>
      <c r="E136" t="s">
        <v>65</v>
      </c>
      <c r="F136" t="s">
        <v>72</v>
      </c>
      <c r="G136" t="s">
        <v>23</v>
      </c>
      <c r="H136">
        <v>31</v>
      </c>
      <c r="I136">
        <v>44</v>
      </c>
      <c r="J136">
        <v>8</v>
      </c>
      <c r="K136">
        <v>3</v>
      </c>
      <c r="L136">
        <v>14</v>
      </c>
      <c r="M136" t="s">
        <v>67</v>
      </c>
      <c r="N136" t="s">
        <v>67</v>
      </c>
      <c r="O136" t="s">
        <v>67</v>
      </c>
      <c r="P136" t="s">
        <v>67</v>
      </c>
      <c r="Q136" t="s">
        <v>67</v>
      </c>
      <c r="R136" t="s">
        <v>67</v>
      </c>
      <c r="S136" t="s">
        <v>67</v>
      </c>
      <c r="T136" t="s">
        <v>67</v>
      </c>
      <c r="U136" t="s">
        <v>67</v>
      </c>
      <c r="V136" t="s">
        <v>67</v>
      </c>
    </row>
    <row r="137" spans="1:22" hidden="1" x14ac:dyDescent="0.25">
      <c r="A137">
        <v>1993</v>
      </c>
      <c r="B137" t="s">
        <v>22</v>
      </c>
      <c r="C137" t="s">
        <v>64</v>
      </c>
      <c r="D137" t="s">
        <v>64</v>
      </c>
      <c r="E137" t="s">
        <v>65</v>
      </c>
      <c r="F137" t="s">
        <v>73</v>
      </c>
      <c r="G137" t="s">
        <v>23</v>
      </c>
      <c r="H137">
        <v>33</v>
      </c>
      <c r="I137">
        <v>43</v>
      </c>
      <c r="J137">
        <v>8</v>
      </c>
      <c r="K137">
        <v>4</v>
      </c>
      <c r="L137">
        <v>12</v>
      </c>
      <c r="M137" t="s">
        <v>67</v>
      </c>
      <c r="N137" t="s">
        <v>67</v>
      </c>
      <c r="O137" t="s">
        <v>67</v>
      </c>
      <c r="P137" t="s">
        <v>67</v>
      </c>
      <c r="Q137" t="s">
        <v>67</v>
      </c>
      <c r="R137" t="s">
        <v>67</v>
      </c>
      <c r="S137" t="s">
        <v>67</v>
      </c>
      <c r="T137" t="s">
        <v>67</v>
      </c>
      <c r="U137" t="s">
        <v>67</v>
      </c>
      <c r="V137" t="s">
        <v>67</v>
      </c>
    </row>
    <row r="138" spans="1:22" hidden="1" x14ac:dyDescent="0.25">
      <c r="A138">
        <v>1993</v>
      </c>
      <c r="B138" t="s">
        <v>22</v>
      </c>
      <c r="C138" t="s">
        <v>64</v>
      </c>
      <c r="D138" t="s">
        <v>64</v>
      </c>
      <c r="E138" t="s">
        <v>65</v>
      </c>
      <c r="F138" t="s">
        <v>74</v>
      </c>
      <c r="G138" t="s">
        <v>23</v>
      </c>
      <c r="H138">
        <v>30</v>
      </c>
      <c r="I138">
        <v>43</v>
      </c>
      <c r="J138">
        <v>9</v>
      </c>
      <c r="K138">
        <v>3</v>
      </c>
      <c r="L138">
        <v>15</v>
      </c>
      <c r="M138" t="s">
        <v>67</v>
      </c>
      <c r="N138" t="s">
        <v>67</v>
      </c>
      <c r="O138" t="s">
        <v>67</v>
      </c>
      <c r="P138" t="s">
        <v>67</v>
      </c>
      <c r="Q138" t="s">
        <v>67</v>
      </c>
      <c r="R138" t="s">
        <v>67</v>
      </c>
      <c r="S138" t="s">
        <v>67</v>
      </c>
      <c r="T138" t="s">
        <v>67</v>
      </c>
      <c r="U138" t="s">
        <v>67</v>
      </c>
      <c r="V138" t="s">
        <v>67</v>
      </c>
    </row>
    <row r="139" spans="1:22" hidden="1" x14ac:dyDescent="0.25">
      <c r="A139">
        <v>1993</v>
      </c>
      <c r="B139" t="s">
        <v>22</v>
      </c>
      <c r="C139" t="s">
        <v>64</v>
      </c>
      <c r="D139" t="s">
        <v>64</v>
      </c>
      <c r="E139" t="s">
        <v>65</v>
      </c>
      <c r="F139" t="s">
        <v>75</v>
      </c>
      <c r="G139" t="s">
        <v>23</v>
      </c>
      <c r="H139">
        <v>31</v>
      </c>
      <c r="I139">
        <v>44</v>
      </c>
      <c r="J139">
        <v>9</v>
      </c>
      <c r="K139">
        <v>3</v>
      </c>
      <c r="L139">
        <v>13</v>
      </c>
      <c r="M139" t="s">
        <v>67</v>
      </c>
      <c r="N139" t="s">
        <v>67</v>
      </c>
      <c r="O139" t="s">
        <v>67</v>
      </c>
      <c r="P139" t="s">
        <v>67</v>
      </c>
      <c r="Q139" t="s">
        <v>67</v>
      </c>
      <c r="R139" t="s">
        <v>67</v>
      </c>
      <c r="S139" t="s">
        <v>67</v>
      </c>
      <c r="T139" t="s">
        <v>67</v>
      </c>
      <c r="U139" t="s">
        <v>67</v>
      </c>
      <c r="V139" t="s">
        <v>67</v>
      </c>
    </row>
    <row r="140" spans="1:22" hidden="1" x14ac:dyDescent="0.25">
      <c r="A140">
        <v>1993</v>
      </c>
      <c r="B140" t="s">
        <v>22</v>
      </c>
      <c r="C140" t="s">
        <v>64</v>
      </c>
      <c r="D140" t="s">
        <v>64</v>
      </c>
      <c r="E140" t="s">
        <v>65</v>
      </c>
      <c r="F140" t="s">
        <v>76</v>
      </c>
      <c r="G140" t="s">
        <v>23</v>
      </c>
      <c r="H140">
        <v>33</v>
      </c>
      <c r="I140">
        <v>41</v>
      </c>
      <c r="J140">
        <v>8</v>
      </c>
      <c r="K140">
        <v>4</v>
      </c>
      <c r="L140">
        <v>14</v>
      </c>
      <c r="M140" t="s">
        <v>67</v>
      </c>
      <c r="N140" t="s">
        <v>67</v>
      </c>
      <c r="O140" t="s">
        <v>67</v>
      </c>
      <c r="P140" t="s">
        <v>67</v>
      </c>
      <c r="Q140" t="s">
        <v>67</v>
      </c>
      <c r="R140" t="s">
        <v>67</v>
      </c>
      <c r="S140" t="s">
        <v>67</v>
      </c>
      <c r="T140" t="s">
        <v>67</v>
      </c>
      <c r="U140" t="s">
        <v>67</v>
      </c>
      <c r="V140" t="s">
        <v>67</v>
      </c>
    </row>
    <row r="141" spans="1:22" hidden="1" x14ac:dyDescent="0.25">
      <c r="A141">
        <v>1993</v>
      </c>
      <c r="B141" t="s">
        <v>22</v>
      </c>
      <c r="C141" t="s">
        <v>64</v>
      </c>
      <c r="D141" t="s">
        <v>64</v>
      </c>
      <c r="E141" t="s">
        <v>65</v>
      </c>
      <c r="F141" t="s">
        <v>77</v>
      </c>
      <c r="G141" t="s">
        <v>23</v>
      </c>
      <c r="H141">
        <v>35</v>
      </c>
      <c r="I141">
        <v>41</v>
      </c>
      <c r="J141">
        <v>8</v>
      </c>
      <c r="K141">
        <v>4</v>
      </c>
      <c r="L141">
        <v>12</v>
      </c>
      <c r="M141" t="s">
        <v>67</v>
      </c>
      <c r="N141" t="s">
        <v>67</v>
      </c>
      <c r="O141" t="s">
        <v>67</v>
      </c>
      <c r="P141" t="s">
        <v>67</v>
      </c>
      <c r="Q141" t="s">
        <v>67</v>
      </c>
      <c r="R141" t="s">
        <v>67</v>
      </c>
      <c r="S141" t="s">
        <v>67</v>
      </c>
      <c r="T141" t="s">
        <v>67</v>
      </c>
      <c r="U141" t="s">
        <v>67</v>
      </c>
      <c r="V141" t="s">
        <v>67</v>
      </c>
    </row>
    <row r="142" spans="1:22" hidden="1" x14ac:dyDescent="0.25">
      <c r="A142">
        <v>1993</v>
      </c>
      <c r="B142" t="s">
        <v>22</v>
      </c>
      <c r="C142" t="s">
        <v>64</v>
      </c>
      <c r="D142" t="s">
        <v>64</v>
      </c>
      <c r="E142" t="s">
        <v>65</v>
      </c>
      <c r="F142" t="s">
        <v>78</v>
      </c>
      <c r="G142" t="s">
        <v>23</v>
      </c>
      <c r="H142">
        <v>36</v>
      </c>
      <c r="I142">
        <v>43</v>
      </c>
      <c r="J142">
        <v>8</v>
      </c>
      <c r="K142">
        <v>3</v>
      </c>
      <c r="L142">
        <v>10</v>
      </c>
      <c r="M142" t="s">
        <v>67</v>
      </c>
      <c r="N142" t="s">
        <v>67</v>
      </c>
      <c r="O142" t="s">
        <v>67</v>
      </c>
      <c r="P142" t="s">
        <v>67</v>
      </c>
      <c r="Q142" t="s">
        <v>67</v>
      </c>
      <c r="R142" t="s">
        <v>67</v>
      </c>
      <c r="S142" t="s">
        <v>67</v>
      </c>
      <c r="T142" t="s">
        <v>67</v>
      </c>
      <c r="U142" t="s">
        <v>67</v>
      </c>
      <c r="V142" t="s">
        <v>67</v>
      </c>
    </row>
    <row r="143" spans="1:22" hidden="1" x14ac:dyDescent="0.25">
      <c r="A143">
        <v>1993</v>
      </c>
      <c r="B143" t="s">
        <v>22</v>
      </c>
      <c r="C143" t="s">
        <v>64</v>
      </c>
      <c r="D143" t="s">
        <v>64</v>
      </c>
      <c r="E143" t="s">
        <v>65</v>
      </c>
      <c r="F143" t="s">
        <v>79</v>
      </c>
      <c r="G143" t="s">
        <v>23</v>
      </c>
      <c r="H143">
        <v>35</v>
      </c>
      <c r="I143">
        <v>46</v>
      </c>
      <c r="J143">
        <v>8</v>
      </c>
      <c r="K143">
        <v>2</v>
      </c>
      <c r="L143">
        <v>9</v>
      </c>
      <c r="M143" t="s">
        <v>67</v>
      </c>
      <c r="N143" t="s">
        <v>67</v>
      </c>
      <c r="O143" t="s">
        <v>67</v>
      </c>
      <c r="P143" t="s">
        <v>67</v>
      </c>
      <c r="Q143" t="s">
        <v>67</v>
      </c>
      <c r="R143" t="s">
        <v>67</v>
      </c>
      <c r="S143" t="s">
        <v>67</v>
      </c>
      <c r="T143" t="s">
        <v>67</v>
      </c>
      <c r="U143" t="s">
        <v>67</v>
      </c>
      <c r="V143" t="s">
        <v>67</v>
      </c>
    </row>
    <row r="144" spans="1:22" hidden="1" x14ac:dyDescent="0.25">
      <c r="A144">
        <v>1993</v>
      </c>
      <c r="B144" t="s">
        <v>22</v>
      </c>
      <c r="C144" t="s">
        <v>64</v>
      </c>
      <c r="D144" t="s">
        <v>64</v>
      </c>
      <c r="E144" t="s">
        <v>65</v>
      </c>
      <c r="F144" t="s">
        <v>80</v>
      </c>
      <c r="G144" t="s">
        <v>23</v>
      </c>
      <c r="H144">
        <v>36</v>
      </c>
      <c r="I144">
        <v>51</v>
      </c>
      <c r="J144">
        <v>6</v>
      </c>
      <c r="K144">
        <v>1</v>
      </c>
      <c r="L144">
        <v>6</v>
      </c>
      <c r="M144" t="s">
        <v>67</v>
      </c>
      <c r="N144" t="s">
        <v>67</v>
      </c>
      <c r="O144" t="s">
        <v>67</v>
      </c>
      <c r="P144" t="s">
        <v>67</v>
      </c>
      <c r="Q144" t="s">
        <v>67</v>
      </c>
      <c r="R144" t="s">
        <v>67</v>
      </c>
      <c r="S144" t="s">
        <v>67</v>
      </c>
      <c r="T144" t="s">
        <v>67</v>
      </c>
      <c r="U144" t="s">
        <v>67</v>
      </c>
      <c r="V144" t="s">
        <v>67</v>
      </c>
    </row>
    <row r="145" spans="1:22" hidden="1" x14ac:dyDescent="0.25">
      <c r="A145">
        <v>1993</v>
      </c>
      <c r="B145" t="s">
        <v>22</v>
      </c>
      <c r="C145" t="s">
        <v>64</v>
      </c>
      <c r="D145" t="s">
        <v>64</v>
      </c>
      <c r="E145" t="s">
        <v>65</v>
      </c>
      <c r="F145" t="s">
        <v>81</v>
      </c>
      <c r="G145" t="s">
        <v>23</v>
      </c>
      <c r="H145">
        <v>35</v>
      </c>
      <c r="I145">
        <v>52</v>
      </c>
      <c r="J145">
        <v>5</v>
      </c>
      <c r="K145">
        <v>1</v>
      </c>
      <c r="L145">
        <v>7</v>
      </c>
      <c r="M145" t="s">
        <v>67</v>
      </c>
      <c r="N145" t="s">
        <v>67</v>
      </c>
      <c r="O145" t="s">
        <v>67</v>
      </c>
      <c r="P145" t="s">
        <v>67</v>
      </c>
      <c r="Q145" t="s">
        <v>67</v>
      </c>
      <c r="R145" t="s">
        <v>67</v>
      </c>
      <c r="S145" t="s">
        <v>67</v>
      </c>
      <c r="T145" t="s">
        <v>67</v>
      </c>
      <c r="U145" t="s">
        <v>67</v>
      </c>
      <c r="V145" t="s">
        <v>67</v>
      </c>
    </row>
    <row r="146" spans="1:22" hidden="1" x14ac:dyDescent="0.25">
      <c r="A146">
        <v>1993</v>
      </c>
      <c r="B146" t="s">
        <v>22</v>
      </c>
      <c r="C146" t="s">
        <v>64</v>
      </c>
      <c r="D146" t="s">
        <v>64</v>
      </c>
      <c r="E146" t="s">
        <v>65</v>
      </c>
      <c r="F146" t="s">
        <v>82</v>
      </c>
      <c r="G146" t="s">
        <v>23</v>
      </c>
      <c r="H146">
        <v>36</v>
      </c>
      <c r="I146">
        <v>53</v>
      </c>
      <c r="J146">
        <v>4</v>
      </c>
      <c r="K146">
        <v>1</v>
      </c>
      <c r="L146">
        <v>6</v>
      </c>
      <c r="M146" t="s">
        <v>67</v>
      </c>
      <c r="N146" t="s">
        <v>67</v>
      </c>
      <c r="O146" t="s">
        <v>67</v>
      </c>
      <c r="P146" t="s">
        <v>67</v>
      </c>
      <c r="Q146" t="s">
        <v>67</v>
      </c>
      <c r="R146" t="s">
        <v>67</v>
      </c>
      <c r="S146" t="s">
        <v>67</v>
      </c>
      <c r="T146" t="s">
        <v>67</v>
      </c>
      <c r="U146" t="s">
        <v>67</v>
      </c>
      <c r="V146" t="s">
        <v>67</v>
      </c>
    </row>
    <row r="147" spans="1:22" hidden="1" x14ac:dyDescent="0.25">
      <c r="A147">
        <v>1993</v>
      </c>
      <c r="B147" t="s">
        <v>22</v>
      </c>
      <c r="C147" t="s">
        <v>64</v>
      </c>
      <c r="D147" t="s">
        <v>64</v>
      </c>
      <c r="E147" t="s">
        <v>65</v>
      </c>
      <c r="F147" t="s">
        <v>83</v>
      </c>
      <c r="G147" t="s">
        <v>23</v>
      </c>
      <c r="H147">
        <v>40</v>
      </c>
      <c r="I147">
        <v>47</v>
      </c>
      <c r="J147">
        <v>4</v>
      </c>
      <c r="K147">
        <v>2</v>
      </c>
      <c r="L147">
        <v>7</v>
      </c>
      <c r="M147" t="s">
        <v>67</v>
      </c>
      <c r="N147" t="s">
        <v>67</v>
      </c>
      <c r="O147" t="s">
        <v>67</v>
      </c>
      <c r="P147" t="s">
        <v>67</v>
      </c>
      <c r="Q147" t="s">
        <v>67</v>
      </c>
      <c r="R147" t="s">
        <v>67</v>
      </c>
      <c r="S147" t="s">
        <v>67</v>
      </c>
      <c r="T147" t="s">
        <v>67</v>
      </c>
      <c r="U147" t="s">
        <v>67</v>
      </c>
      <c r="V147" t="s">
        <v>67</v>
      </c>
    </row>
    <row r="148" spans="1:22" x14ac:dyDescent="0.25">
      <c r="A148">
        <v>1994</v>
      </c>
      <c r="B148" t="s">
        <v>22</v>
      </c>
      <c r="C148" t="s">
        <v>64</v>
      </c>
      <c r="D148" t="s">
        <v>64</v>
      </c>
      <c r="E148" t="s">
        <v>65</v>
      </c>
      <c r="F148" t="s">
        <v>66</v>
      </c>
      <c r="G148" t="s">
        <v>23</v>
      </c>
      <c r="H148">
        <v>12</v>
      </c>
      <c r="I148">
        <v>60</v>
      </c>
      <c r="J148">
        <v>26</v>
      </c>
      <c r="K148">
        <v>1</v>
      </c>
      <c r="L148">
        <v>1</v>
      </c>
      <c r="M148">
        <f>J148+I148</f>
        <v>86</v>
      </c>
      <c r="N148">
        <v>0.11409665688938286</v>
      </c>
      <c r="O148" t="s">
        <v>67</v>
      </c>
      <c r="P148" t="s">
        <v>67</v>
      </c>
      <c r="Q148" t="s">
        <v>67</v>
      </c>
      <c r="R148" t="s">
        <v>67</v>
      </c>
      <c r="S148" t="s">
        <v>67</v>
      </c>
      <c r="T148" t="s">
        <v>67</v>
      </c>
      <c r="U148" t="s">
        <v>67</v>
      </c>
      <c r="V148" t="s">
        <v>67</v>
      </c>
    </row>
    <row r="149" spans="1:22" hidden="1" x14ac:dyDescent="0.25">
      <c r="A149">
        <v>1994</v>
      </c>
      <c r="B149" t="s">
        <v>22</v>
      </c>
      <c r="C149" t="s">
        <v>64</v>
      </c>
      <c r="D149" t="s">
        <v>64</v>
      </c>
      <c r="E149" t="s">
        <v>65</v>
      </c>
      <c r="F149" t="s">
        <v>68</v>
      </c>
      <c r="G149" t="s">
        <v>23</v>
      </c>
      <c r="H149">
        <v>13</v>
      </c>
      <c r="I149">
        <v>60</v>
      </c>
      <c r="J149">
        <v>25</v>
      </c>
      <c r="K149" t="s">
        <v>67</v>
      </c>
      <c r="L149">
        <v>2</v>
      </c>
      <c r="M149" t="s">
        <v>67</v>
      </c>
      <c r="N149" t="s">
        <v>67</v>
      </c>
      <c r="O149" t="s">
        <v>67</v>
      </c>
      <c r="P149" t="s">
        <v>67</v>
      </c>
      <c r="Q149" t="s">
        <v>67</v>
      </c>
      <c r="R149" t="s">
        <v>67</v>
      </c>
      <c r="S149" t="s">
        <v>67</v>
      </c>
      <c r="T149" t="s">
        <v>67</v>
      </c>
      <c r="U149" t="s">
        <v>67</v>
      </c>
      <c r="V149" t="s">
        <v>67</v>
      </c>
    </row>
    <row r="150" spans="1:22" hidden="1" x14ac:dyDescent="0.25">
      <c r="A150">
        <v>1994</v>
      </c>
      <c r="B150" t="s">
        <v>22</v>
      </c>
      <c r="C150" t="s">
        <v>64</v>
      </c>
      <c r="D150" t="s">
        <v>64</v>
      </c>
      <c r="E150" t="s">
        <v>65</v>
      </c>
      <c r="F150" t="s">
        <v>69</v>
      </c>
      <c r="G150" t="s">
        <v>23</v>
      </c>
      <c r="H150">
        <v>14</v>
      </c>
      <c r="I150">
        <v>63</v>
      </c>
      <c r="J150">
        <v>21</v>
      </c>
      <c r="K150" t="s">
        <v>67</v>
      </c>
      <c r="L150">
        <v>2</v>
      </c>
      <c r="M150" t="s">
        <v>67</v>
      </c>
      <c r="N150" t="s">
        <v>67</v>
      </c>
      <c r="O150" t="s">
        <v>67</v>
      </c>
      <c r="P150" t="s">
        <v>67</v>
      </c>
      <c r="Q150" t="s">
        <v>67</v>
      </c>
      <c r="R150" t="s">
        <v>67</v>
      </c>
      <c r="S150" t="s">
        <v>67</v>
      </c>
      <c r="T150" t="s">
        <v>67</v>
      </c>
      <c r="U150" t="s">
        <v>67</v>
      </c>
      <c r="V150" t="s">
        <v>67</v>
      </c>
    </row>
    <row r="151" spans="1:22" hidden="1" x14ac:dyDescent="0.25">
      <c r="A151">
        <v>1994</v>
      </c>
      <c r="B151" t="s">
        <v>22</v>
      </c>
      <c r="C151" t="s">
        <v>64</v>
      </c>
      <c r="D151" t="s">
        <v>64</v>
      </c>
      <c r="E151" t="s">
        <v>65</v>
      </c>
      <c r="F151" t="s">
        <v>70</v>
      </c>
      <c r="G151" t="s">
        <v>23</v>
      </c>
      <c r="H151">
        <v>18</v>
      </c>
      <c r="I151">
        <v>61</v>
      </c>
      <c r="J151">
        <v>19</v>
      </c>
      <c r="K151" t="s">
        <v>67</v>
      </c>
      <c r="L151">
        <v>2</v>
      </c>
      <c r="M151" t="s">
        <v>67</v>
      </c>
      <c r="N151" t="s">
        <v>67</v>
      </c>
      <c r="O151" t="s">
        <v>67</v>
      </c>
      <c r="P151" t="s">
        <v>67</v>
      </c>
      <c r="Q151" t="s">
        <v>67</v>
      </c>
      <c r="R151" t="s">
        <v>67</v>
      </c>
      <c r="S151" t="s">
        <v>67</v>
      </c>
      <c r="T151" t="s">
        <v>67</v>
      </c>
      <c r="U151" t="s">
        <v>67</v>
      </c>
      <c r="V151" t="s">
        <v>67</v>
      </c>
    </row>
    <row r="152" spans="1:22" hidden="1" x14ac:dyDescent="0.25">
      <c r="A152">
        <v>1994</v>
      </c>
      <c r="B152" t="s">
        <v>22</v>
      </c>
      <c r="C152" t="s">
        <v>64</v>
      </c>
      <c r="D152" t="s">
        <v>64</v>
      </c>
      <c r="E152" t="s">
        <v>65</v>
      </c>
      <c r="F152" t="s">
        <v>71</v>
      </c>
      <c r="G152" t="s">
        <v>23</v>
      </c>
      <c r="H152">
        <v>20</v>
      </c>
      <c r="I152">
        <v>58</v>
      </c>
      <c r="J152">
        <v>19</v>
      </c>
      <c r="K152">
        <v>1</v>
      </c>
      <c r="L152">
        <v>2</v>
      </c>
      <c r="M152" t="s">
        <v>67</v>
      </c>
      <c r="N152" t="s">
        <v>67</v>
      </c>
      <c r="O152" t="s">
        <v>67</v>
      </c>
      <c r="P152" t="s">
        <v>67</v>
      </c>
      <c r="Q152" t="s">
        <v>67</v>
      </c>
      <c r="R152" t="s">
        <v>67</v>
      </c>
      <c r="S152" t="s">
        <v>67</v>
      </c>
      <c r="T152" t="s">
        <v>67</v>
      </c>
      <c r="U152" t="s">
        <v>67</v>
      </c>
      <c r="V152" t="s">
        <v>67</v>
      </c>
    </row>
    <row r="153" spans="1:22" hidden="1" x14ac:dyDescent="0.25">
      <c r="A153">
        <v>1994</v>
      </c>
      <c r="B153" t="s">
        <v>22</v>
      </c>
      <c r="C153" t="s">
        <v>64</v>
      </c>
      <c r="D153" t="s">
        <v>64</v>
      </c>
      <c r="E153" t="s">
        <v>65</v>
      </c>
      <c r="F153" t="s">
        <v>72</v>
      </c>
      <c r="G153" t="s">
        <v>23</v>
      </c>
      <c r="H153">
        <v>16</v>
      </c>
      <c r="I153">
        <v>59</v>
      </c>
      <c r="J153">
        <v>22</v>
      </c>
      <c r="K153">
        <v>1</v>
      </c>
      <c r="L153">
        <v>2</v>
      </c>
      <c r="M153" t="s">
        <v>67</v>
      </c>
      <c r="N153" t="s">
        <v>67</v>
      </c>
      <c r="O153" t="s">
        <v>67</v>
      </c>
      <c r="P153" t="s">
        <v>67</v>
      </c>
      <c r="Q153" t="s">
        <v>67</v>
      </c>
      <c r="R153" t="s">
        <v>67</v>
      </c>
      <c r="S153" t="s">
        <v>67</v>
      </c>
      <c r="T153" t="s">
        <v>67</v>
      </c>
      <c r="U153" t="s">
        <v>67</v>
      </c>
      <c r="V153" t="s">
        <v>67</v>
      </c>
    </row>
    <row r="154" spans="1:22" hidden="1" x14ac:dyDescent="0.25">
      <c r="A154">
        <v>1994</v>
      </c>
      <c r="B154" t="s">
        <v>22</v>
      </c>
      <c r="C154" t="s">
        <v>64</v>
      </c>
      <c r="D154" t="s">
        <v>64</v>
      </c>
      <c r="E154" t="s">
        <v>65</v>
      </c>
      <c r="F154" t="s">
        <v>73</v>
      </c>
      <c r="G154" t="s">
        <v>23</v>
      </c>
      <c r="H154">
        <v>14</v>
      </c>
      <c r="I154">
        <v>59</v>
      </c>
      <c r="J154">
        <v>24</v>
      </c>
      <c r="K154">
        <v>1</v>
      </c>
      <c r="L154">
        <v>2</v>
      </c>
      <c r="M154" t="s">
        <v>67</v>
      </c>
      <c r="N154" t="s">
        <v>67</v>
      </c>
      <c r="O154" t="s">
        <v>67</v>
      </c>
      <c r="P154" t="s">
        <v>67</v>
      </c>
      <c r="Q154" t="s">
        <v>67</v>
      </c>
      <c r="R154" t="s">
        <v>67</v>
      </c>
      <c r="S154" t="s">
        <v>67</v>
      </c>
      <c r="T154" t="s">
        <v>67</v>
      </c>
      <c r="U154" t="s">
        <v>67</v>
      </c>
      <c r="V154" t="s">
        <v>67</v>
      </c>
    </row>
    <row r="155" spans="1:22" hidden="1" x14ac:dyDescent="0.25">
      <c r="A155">
        <v>1994</v>
      </c>
      <c r="B155" t="s">
        <v>22</v>
      </c>
      <c r="C155" t="s">
        <v>64</v>
      </c>
      <c r="D155" t="s">
        <v>64</v>
      </c>
      <c r="E155" t="s">
        <v>65</v>
      </c>
      <c r="F155" t="s">
        <v>74</v>
      </c>
      <c r="G155" t="s">
        <v>23</v>
      </c>
      <c r="H155">
        <v>14</v>
      </c>
      <c r="I155">
        <v>59</v>
      </c>
      <c r="J155">
        <v>25</v>
      </c>
      <c r="K155" t="s">
        <v>67</v>
      </c>
      <c r="L155">
        <v>2</v>
      </c>
      <c r="M155" t="s">
        <v>67</v>
      </c>
      <c r="N155" t="s">
        <v>67</v>
      </c>
      <c r="O155" t="s">
        <v>67</v>
      </c>
      <c r="P155" t="s">
        <v>67</v>
      </c>
      <c r="Q155" t="s">
        <v>67</v>
      </c>
      <c r="R155" t="s">
        <v>67</v>
      </c>
      <c r="S155" t="s">
        <v>67</v>
      </c>
      <c r="T155" t="s">
        <v>67</v>
      </c>
      <c r="U155" t="s">
        <v>67</v>
      </c>
      <c r="V155" t="s">
        <v>67</v>
      </c>
    </row>
    <row r="156" spans="1:22" hidden="1" x14ac:dyDescent="0.25">
      <c r="A156">
        <v>1994</v>
      </c>
      <c r="B156" t="s">
        <v>22</v>
      </c>
      <c r="C156" t="s">
        <v>64</v>
      </c>
      <c r="D156" t="s">
        <v>64</v>
      </c>
      <c r="E156" t="s">
        <v>65</v>
      </c>
      <c r="F156" t="s">
        <v>75</v>
      </c>
      <c r="G156" t="s">
        <v>23</v>
      </c>
      <c r="H156">
        <v>12</v>
      </c>
      <c r="I156">
        <v>56</v>
      </c>
      <c r="J156">
        <v>29</v>
      </c>
      <c r="K156">
        <v>1</v>
      </c>
      <c r="L156">
        <v>2</v>
      </c>
      <c r="M156" t="s">
        <v>67</v>
      </c>
      <c r="N156" t="s">
        <v>67</v>
      </c>
      <c r="O156" t="s">
        <v>67</v>
      </c>
      <c r="P156" t="s">
        <v>67</v>
      </c>
      <c r="Q156" t="s">
        <v>67</v>
      </c>
      <c r="R156" t="s">
        <v>67</v>
      </c>
      <c r="S156" t="s">
        <v>67</v>
      </c>
      <c r="T156" t="s">
        <v>67</v>
      </c>
      <c r="U156" t="s">
        <v>67</v>
      </c>
      <c r="V156" t="s">
        <v>67</v>
      </c>
    </row>
    <row r="157" spans="1:22" hidden="1" x14ac:dyDescent="0.25">
      <c r="A157">
        <v>1994</v>
      </c>
      <c r="B157" t="s">
        <v>22</v>
      </c>
      <c r="C157" t="s">
        <v>64</v>
      </c>
      <c r="D157" t="s">
        <v>64</v>
      </c>
      <c r="E157" t="s">
        <v>65</v>
      </c>
      <c r="F157" t="s">
        <v>76</v>
      </c>
      <c r="G157" t="s">
        <v>23</v>
      </c>
      <c r="H157">
        <v>12</v>
      </c>
      <c r="I157">
        <v>55</v>
      </c>
      <c r="J157">
        <v>31</v>
      </c>
      <c r="K157" t="s">
        <v>67</v>
      </c>
      <c r="L157">
        <v>2</v>
      </c>
      <c r="M157" t="s">
        <v>67</v>
      </c>
      <c r="N157" t="s">
        <v>67</v>
      </c>
      <c r="O157" t="s">
        <v>67</v>
      </c>
      <c r="P157" t="s">
        <v>67</v>
      </c>
      <c r="Q157" t="s">
        <v>67</v>
      </c>
      <c r="R157" t="s">
        <v>67</v>
      </c>
      <c r="S157" t="s">
        <v>67</v>
      </c>
      <c r="T157" t="s">
        <v>67</v>
      </c>
      <c r="U157" t="s">
        <v>67</v>
      </c>
      <c r="V157" t="s">
        <v>67</v>
      </c>
    </row>
    <row r="158" spans="1:22" hidden="1" x14ac:dyDescent="0.25">
      <c r="A158">
        <v>1994</v>
      </c>
      <c r="B158" t="s">
        <v>22</v>
      </c>
      <c r="C158" t="s">
        <v>64</v>
      </c>
      <c r="D158" t="s">
        <v>64</v>
      </c>
      <c r="E158" t="s">
        <v>65</v>
      </c>
      <c r="F158" t="s">
        <v>77</v>
      </c>
      <c r="G158" t="s">
        <v>23</v>
      </c>
      <c r="H158">
        <v>13</v>
      </c>
      <c r="I158">
        <v>57</v>
      </c>
      <c r="J158">
        <v>29</v>
      </c>
      <c r="K158" t="s">
        <v>67</v>
      </c>
      <c r="L158">
        <v>1</v>
      </c>
      <c r="M158" t="s">
        <v>67</v>
      </c>
      <c r="N158" t="s">
        <v>67</v>
      </c>
      <c r="O158" t="s">
        <v>67</v>
      </c>
      <c r="P158" t="s">
        <v>67</v>
      </c>
      <c r="Q158" t="s">
        <v>67</v>
      </c>
      <c r="R158" t="s">
        <v>67</v>
      </c>
      <c r="S158" t="s">
        <v>67</v>
      </c>
      <c r="T158" t="s">
        <v>67</v>
      </c>
      <c r="U158" t="s">
        <v>67</v>
      </c>
      <c r="V158" t="s">
        <v>67</v>
      </c>
    </row>
    <row r="159" spans="1:22" hidden="1" x14ac:dyDescent="0.25">
      <c r="A159">
        <v>1994</v>
      </c>
      <c r="B159" t="s">
        <v>22</v>
      </c>
      <c r="C159" t="s">
        <v>64</v>
      </c>
      <c r="D159" t="s">
        <v>64</v>
      </c>
      <c r="E159" t="s">
        <v>65</v>
      </c>
      <c r="F159" t="s">
        <v>78</v>
      </c>
      <c r="G159" t="s">
        <v>23</v>
      </c>
      <c r="H159">
        <v>14</v>
      </c>
      <c r="I159">
        <v>57</v>
      </c>
      <c r="J159">
        <v>28</v>
      </c>
      <c r="K159" t="s">
        <v>67</v>
      </c>
      <c r="L159">
        <v>1</v>
      </c>
      <c r="M159" t="s">
        <v>67</v>
      </c>
      <c r="N159" t="s">
        <v>67</v>
      </c>
      <c r="O159" t="s">
        <v>67</v>
      </c>
      <c r="P159" t="s">
        <v>67</v>
      </c>
      <c r="Q159" t="s">
        <v>67</v>
      </c>
      <c r="R159" t="s">
        <v>67</v>
      </c>
      <c r="S159" t="s">
        <v>67</v>
      </c>
      <c r="T159" t="s">
        <v>67</v>
      </c>
      <c r="U159" t="s">
        <v>67</v>
      </c>
      <c r="V159" t="s">
        <v>67</v>
      </c>
    </row>
    <row r="160" spans="1:22" hidden="1" x14ac:dyDescent="0.25">
      <c r="A160">
        <v>1994</v>
      </c>
      <c r="B160" t="s">
        <v>22</v>
      </c>
      <c r="C160" t="s">
        <v>64</v>
      </c>
      <c r="D160" t="s">
        <v>64</v>
      </c>
      <c r="E160" t="s">
        <v>65</v>
      </c>
      <c r="F160" t="s">
        <v>79</v>
      </c>
      <c r="G160" t="s">
        <v>23</v>
      </c>
      <c r="H160">
        <v>16</v>
      </c>
      <c r="I160">
        <v>61</v>
      </c>
      <c r="J160">
        <v>22</v>
      </c>
      <c r="K160" t="s">
        <v>67</v>
      </c>
      <c r="L160">
        <v>1</v>
      </c>
      <c r="M160" t="s">
        <v>67</v>
      </c>
      <c r="N160" t="s">
        <v>67</v>
      </c>
      <c r="O160" t="s">
        <v>67</v>
      </c>
      <c r="P160" t="s">
        <v>67</v>
      </c>
      <c r="Q160" t="s">
        <v>67</v>
      </c>
      <c r="R160" t="s">
        <v>67</v>
      </c>
      <c r="S160" t="s">
        <v>67</v>
      </c>
      <c r="T160" t="s">
        <v>67</v>
      </c>
      <c r="U160" t="s">
        <v>67</v>
      </c>
      <c r="V160" t="s">
        <v>67</v>
      </c>
    </row>
    <row r="161" spans="1:22" hidden="1" x14ac:dyDescent="0.25">
      <c r="A161">
        <v>1994</v>
      </c>
      <c r="B161" t="s">
        <v>22</v>
      </c>
      <c r="C161" t="s">
        <v>64</v>
      </c>
      <c r="D161" t="s">
        <v>64</v>
      </c>
      <c r="E161" t="s">
        <v>65</v>
      </c>
      <c r="F161" t="s">
        <v>80</v>
      </c>
      <c r="G161" t="s">
        <v>23</v>
      </c>
      <c r="H161">
        <v>18</v>
      </c>
      <c r="I161">
        <v>61</v>
      </c>
      <c r="J161">
        <v>18</v>
      </c>
      <c r="K161" t="s">
        <v>67</v>
      </c>
      <c r="L161">
        <v>3</v>
      </c>
      <c r="M161" t="s">
        <v>67</v>
      </c>
      <c r="N161" t="s">
        <v>67</v>
      </c>
      <c r="O161" t="s">
        <v>67</v>
      </c>
      <c r="P161" t="s">
        <v>67</v>
      </c>
      <c r="Q161" t="s">
        <v>67</v>
      </c>
      <c r="R161" t="s">
        <v>67</v>
      </c>
      <c r="S161" t="s">
        <v>67</v>
      </c>
      <c r="T161" t="s">
        <v>67</v>
      </c>
      <c r="U161" t="s">
        <v>67</v>
      </c>
      <c r="V161" t="s">
        <v>67</v>
      </c>
    </row>
    <row r="162" spans="1:22" hidden="1" x14ac:dyDescent="0.25">
      <c r="A162">
        <v>1994</v>
      </c>
      <c r="B162" t="s">
        <v>22</v>
      </c>
      <c r="C162" t="s">
        <v>64</v>
      </c>
      <c r="D162" t="s">
        <v>64</v>
      </c>
      <c r="E162" t="s">
        <v>65</v>
      </c>
      <c r="F162" t="s">
        <v>81</v>
      </c>
      <c r="G162" t="s">
        <v>23</v>
      </c>
      <c r="H162">
        <v>21</v>
      </c>
      <c r="I162">
        <v>67</v>
      </c>
      <c r="J162">
        <v>10</v>
      </c>
      <c r="K162" t="s">
        <v>67</v>
      </c>
      <c r="L162">
        <v>2</v>
      </c>
      <c r="M162" t="s">
        <v>67</v>
      </c>
      <c r="N162" t="s">
        <v>67</v>
      </c>
      <c r="O162" t="s">
        <v>67</v>
      </c>
      <c r="P162" t="s">
        <v>67</v>
      </c>
      <c r="Q162" t="s">
        <v>67</v>
      </c>
      <c r="R162" t="s">
        <v>67</v>
      </c>
      <c r="S162" t="s">
        <v>67</v>
      </c>
      <c r="T162" t="s">
        <v>67</v>
      </c>
      <c r="U162" t="s">
        <v>67</v>
      </c>
      <c r="V162" t="s">
        <v>67</v>
      </c>
    </row>
    <row r="163" spans="1:22" hidden="1" x14ac:dyDescent="0.25">
      <c r="A163">
        <v>1994</v>
      </c>
      <c r="B163" t="s">
        <v>22</v>
      </c>
      <c r="C163" t="s">
        <v>64</v>
      </c>
      <c r="D163" t="s">
        <v>64</v>
      </c>
      <c r="E163" t="s">
        <v>65</v>
      </c>
      <c r="F163" t="s">
        <v>82</v>
      </c>
      <c r="G163" t="s">
        <v>23</v>
      </c>
      <c r="H163">
        <v>25</v>
      </c>
      <c r="I163">
        <v>65</v>
      </c>
      <c r="J163">
        <v>8</v>
      </c>
      <c r="K163" t="s">
        <v>67</v>
      </c>
      <c r="L163">
        <v>2</v>
      </c>
      <c r="M163" t="s">
        <v>67</v>
      </c>
      <c r="N163" t="s">
        <v>67</v>
      </c>
      <c r="O163" t="s">
        <v>67</v>
      </c>
      <c r="P163" t="s">
        <v>67</v>
      </c>
      <c r="Q163" t="s">
        <v>67</v>
      </c>
      <c r="R163" t="s">
        <v>67</v>
      </c>
      <c r="S163" t="s">
        <v>67</v>
      </c>
      <c r="T163" t="s">
        <v>67</v>
      </c>
      <c r="U163" t="s">
        <v>67</v>
      </c>
      <c r="V163" t="s">
        <v>67</v>
      </c>
    </row>
    <row r="164" spans="1:22" hidden="1" x14ac:dyDescent="0.25">
      <c r="A164">
        <v>1994</v>
      </c>
      <c r="B164" t="s">
        <v>22</v>
      </c>
      <c r="C164" t="s">
        <v>64</v>
      </c>
      <c r="D164" t="s">
        <v>64</v>
      </c>
      <c r="E164" t="s">
        <v>65</v>
      </c>
      <c r="F164" t="s">
        <v>83</v>
      </c>
      <c r="G164" t="s">
        <v>23</v>
      </c>
      <c r="H164">
        <v>25</v>
      </c>
      <c r="I164">
        <v>66</v>
      </c>
      <c r="J164">
        <v>7</v>
      </c>
      <c r="K164" t="s">
        <v>67</v>
      </c>
      <c r="L164">
        <v>2</v>
      </c>
      <c r="M164" t="s">
        <v>67</v>
      </c>
      <c r="N164" t="s">
        <v>67</v>
      </c>
      <c r="O164" t="s">
        <v>67</v>
      </c>
      <c r="P164" t="s">
        <v>67</v>
      </c>
      <c r="Q164" t="s">
        <v>67</v>
      </c>
      <c r="R164" t="s">
        <v>67</v>
      </c>
      <c r="S164" t="s">
        <v>67</v>
      </c>
      <c r="T164" t="s">
        <v>67</v>
      </c>
      <c r="U164" t="s">
        <v>67</v>
      </c>
      <c r="V164" t="s">
        <v>67</v>
      </c>
    </row>
    <row r="165" spans="1:22" hidden="1" x14ac:dyDescent="0.25">
      <c r="A165">
        <v>1994</v>
      </c>
      <c r="B165" t="s">
        <v>22</v>
      </c>
      <c r="C165" t="s">
        <v>64</v>
      </c>
      <c r="D165" t="s">
        <v>64</v>
      </c>
      <c r="E165" t="s">
        <v>65</v>
      </c>
      <c r="F165" t="s">
        <v>84</v>
      </c>
      <c r="G165" t="s">
        <v>23</v>
      </c>
      <c r="H165">
        <v>20</v>
      </c>
      <c r="I165">
        <v>70</v>
      </c>
      <c r="J165">
        <v>9</v>
      </c>
      <c r="K165" t="s">
        <v>67</v>
      </c>
      <c r="L165">
        <v>1</v>
      </c>
      <c r="M165" t="s">
        <v>67</v>
      </c>
      <c r="N165" t="s">
        <v>67</v>
      </c>
      <c r="O165" t="s">
        <v>67</v>
      </c>
      <c r="P165" t="s">
        <v>67</v>
      </c>
      <c r="Q165" t="s">
        <v>67</v>
      </c>
      <c r="R165" t="s">
        <v>67</v>
      </c>
      <c r="S165" t="s">
        <v>67</v>
      </c>
      <c r="T165" t="s">
        <v>67</v>
      </c>
      <c r="U165" t="s">
        <v>67</v>
      </c>
      <c r="V165" t="s">
        <v>67</v>
      </c>
    </row>
    <row r="166" spans="1:22" hidden="1" x14ac:dyDescent="0.25">
      <c r="A166">
        <v>1994</v>
      </c>
      <c r="B166" t="s">
        <v>22</v>
      </c>
      <c r="C166" t="s">
        <v>64</v>
      </c>
      <c r="D166" t="s">
        <v>64</v>
      </c>
      <c r="E166" t="s">
        <v>65</v>
      </c>
      <c r="F166" t="s">
        <v>85</v>
      </c>
      <c r="G166" t="s">
        <v>23</v>
      </c>
      <c r="H166">
        <v>15</v>
      </c>
      <c r="I166">
        <v>62</v>
      </c>
      <c r="J166">
        <v>21</v>
      </c>
      <c r="K166" t="s">
        <v>67</v>
      </c>
      <c r="L166">
        <v>2</v>
      </c>
      <c r="M166" t="s">
        <v>67</v>
      </c>
      <c r="N166" t="s">
        <v>67</v>
      </c>
      <c r="O166" t="s">
        <v>67</v>
      </c>
      <c r="P166" t="s">
        <v>67</v>
      </c>
      <c r="Q166" t="s">
        <v>67</v>
      </c>
      <c r="R166" t="s">
        <v>67</v>
      </c>
      <c r="S166" t="s">
        <v>67</v>
      </c>
      <c r="T166" t="s">
        <v>67</v>
      </c>
      <c r="U166" t="s">
        <v>67</v>
      </c>
      <c r="V166" t="s">
        <v>67</v>
      </c>
    </row>
    <row r="167" spans="1:22" hidden="1" x14ac:dyDescent="0.25">
      <c r="A167">
        <v>1995</v>
      </c>
      <c r="B167" t="s">
        <v>22</v>
      </c>
      <c r="C167" t="s">
        <v>64</v>
      </c>
      <c r="D167" t="s">
        <v>64</v>
      </c>
      <c r="E167" t="s">
        <v>65</v>
      </c>
      <c r="F167" t="s">
        <v>75</v>
      </c>
      <c r="G167" t="s">
        <v>23</v>
      </c>
      <c r="H167">
        <v>30</v>
      </c>
      <c r="I167">
        <v>48</v>
      </c>
      <c r="J167">
        <v>13</v>
      </c>
      <c r="K167">
        <v>2</v>
      </c>
      <c r="L167">
        <v>7</v>
      </c>
      <c r="M167" t="s">
        <v>67</v>
      </c>
      <c r="N167" t="s">
        <v>67</v>
      </c>
      <c r="O167" t="s">
        <v>67</v>
      </c>
      <c r="P167" t="s">
        <v>67</v>
      </c>
      <c r="Q167" t="s">
        <v>67</v>
      </c>
      <c r="R167" t="s">
        <v>67</v>
      </c>
      <c r="S167" t="s">
        <v>67</v>
      </c>
      <c r="T167" t="s">
        <v>67</v>
      </c>
      <c r="U167" t="s">
        <v>67</v>
      </c>
      <c r="V167" t="s">
        <v>67</v>
      </c>
    </row>
    <row r="168" spans="1:22" hidden="1" x14ac:dyDescent="0.25">
      <c r="A168">
        <v>1995</v>
      </c>
      <c r="B168" t="s">
        <v>22</v>
      </c>
      <c r="C168" t="s">
        <v>64</v>
      </c>
      <c r="D168" t="s">
        <v>64</v>
      </c>
      <c r="E168" t="s">
        <v>65</v>
      </c>
      <c r="F168" t="s">
        <v>85</v>
      </c>
      <c r="G168" t="s">
        <v>23</v>
      </c>
      <c r="H168">
        <v>34</v>
      </c>
      <c r="I168">
        <v>46</v>
      </c>
      <c r="J168">
        <v>9</v>
      </c>
      <c r="K168">
        <v>2</v>
      </c>
      <c r="L168">
        <v>9</v>
      </c>
      <c r="M168" t="s">
        <v>67</v>
      </c>
      <c r="N168" t="s">
        <v>67</v>
      </c>
      <c r="O168" t="s">
        <v>67</v>
      </c>
      <c r="P168" t="s">
        <v>67</v>
      </c>
      <c r="Q168" t="s">
        <v>67</v>
      </c>
      <c r="R168" t="s">
        <v>67</v>
      </c>
      <c r="S168" t="s">
        <v>67</v>
      </c>
      <c r="T168" t="s">
        <v>67</v>
      </c>
      <c r="U168" t="s">
        <v>67</v>
      </c>
      <c r="V168" t="s">
        <v>67</v>
      </c>
    </row>
    <row r="169" spans="1:22" hidden="1" x14ac:dyDescent="0.25">
      <c r="A169">
        <v>1995</v>
      </c>
      <c r="B169" t="s">
        <v>22</v>
      </c>
      <c r="C169" t="s">
        <v>64</v>
      </c>
      <c r="D169" t="s">
        <v>64</v>
      </c>
      <c r="E169" t="s">
        <v>65</v>
      </c>
      <c r="F169" t="s">
        <v>69</v>
      </c>
      <c r="G169" t="s">
        <v>23</v>
      </c>
      <c r="H169">
        <v>31</v>
      </c>
      <c r="I169">
        <v>49</v>
      </c>
      <c r="J169">
        <v>9</v>
      </c>
      <c r="K169">
        <v>2</v>
      </c>
      <c r="L169">
        <v>9</v>
      </c>
      <c r="M169" t="s">
        <v>67</v>
      </c>
      <c r="N169" t="s">
        <v>67</v>
      </c>
      <c r="O169" t="s">
        <v>67</v>
      </c>
      <c r="P169" t="s">
        <v>67</v>
      </c>
      <c r="Q169" t="s">
        <v>67</v>
      </c>
      <c r="R169" t="s">
        <v>67</v>
      </c>
      <c r="S169" t="s">
        <v>67</v>
      </c>
      <c r="T169" t="s">
        <v>67</v>
      </c>
      <c r="U169" t="s">
        <v>67</v>
      </c>
      <c r="V169" t="s">
        <v>67</v>
      </c>
    </row>
    <row r="170" spans="1:22" hidden="1" x14ac:dyDescent="0.25">
      <c r="A170">
        <v>1995</v>
      </c>
      <c r="B170" t="s">
        <v>22</v>
      </c>
      <c r="C170" t="s">
        <v>64</v>
      </c>
      <c r="D170" t="s">
        <v>64</v>
      </c>
      <c r="E170" t="s">
        <v>65</v>
      </c>
      <c r="F170" t="s">
        <v>70</v>
      </c>
      <c r="G170" t="s">
        <v>23</v>
      </c>
      <c r="H170">
        <v>30</v>
      </c>
      <c r="I170">
        <v>48</v>
      </c>
      <c r="J170">
        <v>12</v>
      </c>
      <c r="K170">
        <v>1</v>
      </c>
      <c r="L170">
        <v>9</v>
      </c>
      <c r="M170" t="s">
        <v>67</v>
      </c>
      <c r="N170" t="s">
        <v>67</v>
      </c>
      <c r="O170" t="s">
        <v>67</v>
      </c>
      <c r="P170" t="s">
        <v>67</v>
      </c>
      <c r="Q170" t="s">
        <v>67</v>
      </c>
      <c r="R170" t="s">
        <v>67</v>
      </c>
      <c r="S170" t="s">
        <v>67</v>
      </c>
      <c r="T170" t="s">
        <v>67</v>
      </c>
      <c r="U170" t="s">
        <v>67</v>
      </c>
      <c r="V170" t="s">
        <v>67</v>
      </c>
    </row>
    <row r="171" spans="1:22" hidden="1" x14ac:dyDescent="0.25">
      <c r="A171">
        <v>1995</v>
      </c>
      <c r="B171" t="s">
        <v>22</v>
      </c>
      <c r="C171" t="s">
        <v>64</v>
      </c>
      <c r="D171" t="s">
        <v>64</v>
      </c>
      <c r="E171" t="s">
        <v>65</v>
      </c>
      <c r="F171" t="s">
        <v>71</v>
      </c>
      <c r="G171" t="s">
        <v>23</v>
      </c>
      <c r="H171">
        <v>28</v>
      </c>
      <c r="I171">
        <v>50</v>
      </c>
      <c r="J171">
        <v>13</v>
      </c>
      <c r="K171">
        <v>2</v>
      </c>
      <c r="L171">
        <v>7</v>
      </c>
      <c r="M171" t="s">
        <v>67</v>
      </c>
      <c r="N171" t="s">
        <v>67</v>
      </c>
      <c r="O171" t="s">
        <v>67</v>
      </c>
      <c r="P171" t="s">
        <v>67</v>
      </c>
      <c r="Q171" t="s">
        <v>67</v>
      </c>
      <c r="R171" t="s">
        <v>67</v>
      </c>
      <c r="S171" t="s">
        <v>67</v>
      </c>
      <c r="T171" t="s">
        <v>67</v>
      </c>
      <c r="U171" t="s">
        <v>67</v>
      </c>
      <c r="V171" t="s">
        <v>67</v>
      </c>
    </row>
    <row r="172" spans="1:22" hidden="1" x14ac:dyDescent="0.25">
      <c r="A172">
        <v>1995</v>
      </c>
      <c r="B172" t="s">
        <v>22</v>
      </c>
      <c r="C172" t="s">
        <v>64</v>
      </c>
      <c r="D172" t="s">
        <v>64</v>
      </c>
      <c r="E172" t="s">
        <v>65</v>
      </c>
      <c r="F172" t="s">
        <v>72</v>
      </c>
      <c r="G172" t="s">
        <v>23</v>
      </c>
      <c r="H172">
        <v>26</v>
      </c>
      <c r="I172">
        <v>52</v>
      </c>
      <c r="J172">
        <v>15</v>
      </c>
      <c r="K172">
        <v>1</v>
      </c>
      <c r="L172">
        <v>6</v>
      </c>
      <c r="M172" t="s">
        <v>67</v>
      </c>
      <c r="N172" t="s">
        <v>67</v>
      </c>
      <c r="O172" t="s">
        <v>67</v>
      </c>
      <c r="P172" t="s">
        <v>67</v>
      </c>
      <c r="Q172" t="s">
        <v>67</v>
      </c>
      <c r="R172" t="s">
        <v>67</v>
      </c>
      <c r="S172" t="s">
        <v>67</v>
      </c>
      <c r="T172" t="s">
        <v>67</v>
      </c>
      <c r="U172" t="s">
        <v>67</v>
      </c>
      <c r="V172" t="s">
        <v>67</v>
      </c>
    </row>
    <row r="173" spans="1:22" hidden="1" x14ac:dyDescent="0.25">
      <c r="A173">
        <v>1995</v>
      </c>
      <c r="B173" t="s">
        <v>22</v>
      </c>
      <c r="C173" t="s">
        <v>64</v>
      </c>
      <c r="D173" t="s">
        <v>64</v>
      </c>
      <c r="E173" t="s">
        <v>65</v>
      </c>
      <c r="F173" t="s">
        <v>73</v>
      </c>
      <c r="G173" t="s">
        <v>23</v>
      </c>
      <c r="H173">
        <v>27</v>
      </c>
      <c r="I173">
        <v>52</v>
      </c>
      <c r="J173">
        <v>14</v>
      </c>
      <c r="K173">
        <v>1</v>
      </c>
      <c r="L173">
        <v>6</v>
      </c>
      <c r="M173" t="s">
        <v>67</v>
      </c>
      <c r="N173" t="s">
        <v>67</v>
      </c>
      <c r="O173" t="s">
        <v>67</v>
      </c>
      <c r="P173" t="s">
        <v>67</v>
      </c>
      <c r="Q173" t="s">
        <v>67</v>
      </c>
      <c r="R173" t="s">
        <v>67</v>
      </c>
      <c r="S173" t="s">
        <v>67</v>
      </c>
      <c r="T173" t="s">
        <v>67</v>
      </c>
      <c r="U173" t="s">
        <v>67</v>
      </c>
      <c r="V173" t="s">
        <v>67</v>
      </c>
    </row>
    <row r="174" spans="1:22" hidden="1" x14ac:dyDescent="0.25">
      <c r="A174">
        <v>1995</v>
      </c>
      <c r="B174" t="s">
        <v>22</v>
      </c>
      <c r="C174" t="s">
        <v>64</v>
      </c>
      <c r="D174" t="s">
        <v>64</v>
      </c>
      <c r="E174" t="s">
        <v>65</v>
      </c>
      <c r="F174" t="s">
        <v>74</v>
      </c>
      <c r="G174" t="s">
        <v>23</v>
      </c>
      <c r="H174">
        <v>28</v>
      </c>
      <c r="I174">
        <v>51</v>
      </c>
      <c r="J174">
        <v>13</v>
      </c>
      <c r="K174">
        <v>1</v>
      </c>
      <c r="L174">
        <v>7</v>
      </c>
      <c r="M174" t="s">
        <v>67</v>
      </c>
      <c r="N174" t="s">
        <v>67</v>
      </c>
      <c r="O174" t="s">
        <v>67</v>
      </c>
      <c r="P174" t="s">
        <v>67</v>
      </c>
      <c r="Q174" t="s">
        <v>67</v>
      </c>
      <c r="R174" t="s">
        <v>67</v>
      </c>
      <c r="S174" t="s">
        <v>67</v>
      </c>
      <c r="T174" t="s">
        <v>67</v>
      </c>
      <c r="U174" t="s">
        <v>67</v>
      </c>
      <c r="V174" t="s">
        <v>67</v>
      </c>
    </row>
    <row r="175" spans="1:22" x14ac:dyDescent="0.25">
      <c r="A175">
        <v>1995</v>
      </c>
      <c r="B175" t="s">
        <v>22</v>
      </c>
      <c r="C175" t="s">
        <v>64</v>
      </c>
      <c r="D175" t="s">
        <v>64</v>
      </c>
      <c r="E175" t="s">
        <v>65</v>
      </c>
      <c r="F175" t="s">
        <v>86</v>
      </c>
      <c r="G175" t="s">
        <v>23</v>
      </c>
      <c r="H175">
        <v>36</v>
      </c>
      <c r="I175">
        <v>46</v>
      </c>
      <c r="J175">
        <v>6</v>
      </c>
      <c r="K175">
        <v>2</v>
      </c>
      <c r="L175">
        <v>10</v>
      </c>
      <c r="M175">
        <f>J175+I175</f>
        <v>52</v>
      </c>
      <c r="N175">
        <v>-0.10100080565369574</v>
      </c>
      <c r="O175" t="s">
        <v>67</v>
      </c>
      <c r="P175" t="s">
        <v>67</v>
      </c>
      <c r="Q175" t="s">
        <v>67</v>
      </c>
      <c r="R175" t="s">
        <v>67</v>
      </c>
      <c r="S175" t="s">
        <v>67</v>
      </c>
      <c r="T175" t="s">
        <v>67</v>
      </c>
      <c r="U175" t="s">
        <v>67</v>
      </c>
      <c r="V175" t="s">
        <v>67</v>
      </c>
    </row>
    <row r="176" spans="1:22" hidden="1" x14ac:dyDescent="0.25">
      <c r="A176">
        <v>1995</v>
      </c>
      <c r="B176" t="s">
        <v>22</v>
      </c>
      <c r="C176" t="s">
        <v>64</v>
      </c>
      <c r="D176" t="s">
        <v>64</v>
      </c>
      <c r="E176" t="s">
        <v>65</v>
      </c>
      <c r="F176" t="s">
        <v>76</v>
      </c>
      <c r="G176" t="s">
        <v>23</v>
      </c>
      <c r="H176">
        <v>31</v>
      </c>
      <c r="I176">
        <v>48</v>
      </c>
      <c r="J176">
        <v>12</v>
      </c>
      <c r="K176">
        <v>1</v>
      </c>
      <c r="L176">
        <v>8</v>
      </c>
      <c r="M176" t="s">
        <v>67</v>
      </c>
      <c r="N176" t="s">
        <v>67</v>
      </c>
      <c r="O176" t="s">
        <v>67</v>
      </c>
      <c r="P176" t="s">
        <v>67</v>
      </c>
      <c r="Q176" t="s">
        <v>67</v>
      </c>
      <c r="R176" t="s">
        <v>67</v>
      </c>
      <c r="S176" t="s">
        <v>67</v>
      </c>
      <c r="T176" t="s">
        <v>67</v>
      </c>
      <c r="U176" t="s">
        <v>67</v>
      </c>
      <c r="V176" t="s">
        <v>67</v>
      </c>
    </row>
    <row r="177" spans="1:22" hidden="1" x14ac:dyDescent="0.25">
      <c r="A177">
        <v>1995</v>
      </c>
      <c r="B177" t="s">
        <v>22</v>
      </c>
      <c r="C177" t="s">
        <v>64</v>
      </c>
      <c r="D177" t="s">
        <v>64</v>
      </c>
      <c r="E177" t="s">
        <v>65</v>
      </c>
      <c r="F177" t="s">
        <v>77</v>
      </c>
      <c r="G177" t="s">
        <v>23</v>
      </c>
      <c r="H177">
        <v>30</v>
      </c>
      <c r="I177">
        <v>50</v>
      </c>
      <c r="J177">
        <v>12</v>
      </c>
      <c r="K177">
        <v>1</v>
      </c>
      <c r="L177">
        <v>7</v>
      </c>
      <c r="M177" t="s">
        <v>67</v>
      </c>
      <c r="N177" t="s">
        <v>67</v>
      </c>
      <c r="O177" t="s">
        <v>67</v>
      </c>
      <c r="P177" t="s">
        <v>67</v>
      </c>
      <c r="Q177" t="s">
        <v>67</v>
      </c>
      <c r="R177" t="s">
        <v>67</v>
      </c>
      <c r="S177" t="s">
        <v>67</v>
      </c>
      <c r="T177" t="s">
        <v>67</v>
      </c>
      <c r="U177" t="s">
        <v>67</v>
      </c>
      <c r="V177" t="s">
        <v>67</v>
      </c>
    </row>
    <row r="178" spans="1:22" hidden="1" x14ac:dyDescent="0.25">
      <c r="A178">
        <v>1995</v>
      </c>
      <c r="B178" t="s">
        <v>22</v>
      </c>
      <c r="C178" t="s">
        <v>64</v>
      </c>
      <c r="D178" t="s">
        <v>64</v>
      </c>
      <c r="E178" t="s">
        <v>65</v>
      </c>
      <c r="F178" t="s">
        <v>78</v>
      </c>
      <c r="G178" t="s">
        <v>23</v>
      </c>
      <c r="H178">
        <v>27</v>
      </c>
      <c r="I178">
        <v>53</v>
      </c>
      <c r="J178">
        <v>13</v>
      </c>
      <c r="K178">
        <v>1</v>
      </c>
      <c r="L178">
        <v>6</v>
      </c>
      <c r="M178" t="s">
        <v>67</v>
      </c>
      <c r="N178" t="s">
        <v>67</v>
      </c>
      <c r="O178" t="s">
        <v>67</v>
      </c>
      <c r="P178" t="s">
        <v>67</v>
      </c>
      <c r="Q178" t="s">
        <v>67</v>
      </c>
      <c r="R178" t="s">
        <v>67</v>
      </c>
      <c r="S178" t="s">
        <v>67</v>
      </c>
      <c r="T178" t="s">
        <v>67</v>
      </c>
      <c r="U178" t="s">
        <v>67</v>
      </c>
      <c r="V178" t="s">
        <v>67</v>
      </c>
    </row>
    <row r="179" spans="1:22" hidden="1" x14ac:dyDescent="0.25">
      <c r="A179">
        <v>1995</v>
      </c>
      <c r="B179" t="s">
        <v>22</v>
      </c>
      <c r="C179" t="s">
        <v>64</v>
      </c>
      <c r="D179" t="s">
        <v>64</v>
      </c>
      <c r="E179" t="s">
        <v>65</v>
      </c>
      <c r="F179" t="s">
        <v>79</v>
      </c>
      <c r="G179" t="s">
        <v>23</v>
      </c>
      <c r="H179">
        <v>30</v>
      </c>
      <c r="I179">
        <v>50</v>
      </c>
      <c r="J179">
        <v>13</v>
      </c>
      <c r="K179">
        <v>1</v>
      </c>
      <c r="L179">
        <v>6</v>
      </c>
      <c r="M179" t="s">
        <v>67</v>
      </c>
      <c r="N179" t="s">
        <v>67</v>
      </c>
      <c r="O179" t="s">
        <v>67</v>
      </c>
      <c r="P179" t="s">
        <v>67</v>
      </c>
      <c r="Q179" t="s">
        <v>67</v>
      </c>
      <c r="R179" t="s">
        <v>67</v>
      </c>
      <c r="S179" t="s">
        <v>67</v>
      </c>
      <c r="T179" t="s">
        <v>67</v>
      </c>
      <c r="U179" t="s">
        <v>67</v>
      </c>
      <c r="V179" t="s">
        <v>67</v>
      </c>
    </row>
    <row r="180" spans="1:22" hidden="1" x14ac:dyDescent="0.25">
      <c r="A180">
        <v>1995</v>
      </c>
      <c r="B180" t="s">
        <v>22</v>
      </c>
      <c r="C180" t="s">
        <v>64</v>
      </c>
      <c r="D180" t="s">
        <v>64</v>
      </c>
      <c r="E180" t="s">
        <v>65</v>
      </c>
      <c r="F180" t="s">
        <v>80</v>
      </c>
      <c r="G180" t="s">
        <v>23</v>
      </c>
      <c r="H180">
        <v>32</v>
      </c>
      <c r="I180">
        <v>51</v>
      </c>
      <c r="J180">
        <v>9</v>
      </c>
      <c r="K180">
        <v>1</v>
      </c>
      <c r="L180">
        <v>7</v>
      </c>
      <c r="M180" t="s">
        <v>67</v>
      </c>
      <c r="N180" t="s">
        <v>67</v>
      </c>
      <c r="O180" t="s">
        <v>67</v>
      </c>
      <c r="P180" t="s">
        <v>67</v>
      </c>
      <c r="Q180" t="s">
        <v>67</v>
      </c>
      <c r="R180" t="s">
        <v>67</v>
      </c>
      <c r="S180" t="s">
        <v>67</v>
      </c>
      <c r="T180" t="s">
        <v>67</v>
      </c>
      <c r="U180" t="s">
        <v>67</v>
      </c>
      <c r="V180" t="s">
        <v>67</v>
      </c>
    </row>
    <row r="181" spans="1:22" hidden="1" x14ac:dyDescent="0.25">
      <c r="A181">
        <v>1995</v>
      </c>
      <c r="B181" t="s">
        <v>22</v>
      </c>
      <c r="C181" t="s">
        <v>64</v>
      </c>
      <c r="D181" t="s">
        <v>64</v>
      </c>
      <c r="E181" t="s">
        <v>65</v>
      </c>
      <c r="F181" t="s">
        <v>81</v>
      </c>
      <c r="G181" t="s">
        <v>23</v>
      </c>
      <c r="H181">
        <v>32</v>
      </c>
      <c r="I181">
        <v>51</v>
      </c>
      <c r="J181">
        <v>9</v>
      </c>
      <c r="K181">
        <v>1</v>
      </c>
      <c r="L181">
        <v>7</v>
      </c>
      <c r="M181" t="s">
        <v>67</v>
      </c>
      <c r="N181" t="s">
        <v>67</v>
      </c>
      <c r="O181" t="s">
        <v>67</v>
      </c>
      <c r="P181" t="s">
        <v>67</v>
      </c>
      <c r="Q181" t="s">
        <v>67</v>
      </c>
      <c r="R181" t="s">
        <v>67</v>
      </c>
      <c r="S181" t="s">
        <v>67</v>
      </c>
      <c r="T181" t="s">
        <v>67</v>
      </c>
      <c r="U181" t="s">
        <v>67</v>
      </c>
      <c r="V181" t="s">
        <v>67</v>
      </c>
    </row>
    <row r="182" spans="1:22" hidden="1" x14ac:dyDescent="0.25">
      <c r="A182">
        <v>1995</v>
      </c>
      <c r="B182" t="s">
        <v>22</v>
      </c>
      <c r="C182" t="s">
        <v>64</v>
      </c>
      <c r="D182" t="s">
        <v>64</v>
      </c>
      <c r="E182" t="s">
        <v>65</v>
      </c>
      <c r="F182" t="s">
        <v>68</v>
      </c>
      <c r="G182" t="s">
        <v>23</v>
      </c>
      <c r="H182">
        <v>35</v>
      </c>
      <c r="I182">
        <v>46</v>
      </c>
      <c r="J182">
        <v>7</v>
      </c>
      <c r="K182">
        <v>2</v>
      </c>
      <c r="L182">
        <v>10</v>
      </c>
      <c r="M182" t="s">
        <v>67</v>
      </c>
      <c r="N182" t="s">
        <v>67</v>
      </c>
      <c r="O182" t="s">
        <v>67</v>
      </c>
      <c r="P182" t="s">
        <v>67</v>
      </c>
      <c r="Q182" t="s">
        <v>67</v>
      </c>
      <c r="R182" t="s">
        <v>67</v>
      </c>
      <c r="S182" t="s">
        <v>67</v>
      </c>
      <c r="T182" t="s">
        <v>67</v>
      </c>
      <c r="U182" t="s">
        <v>67</v>
      </c>
      <c r="V182" t="s">
        <v>67</v>
      </c>
    </row>
    <row r="183" spans="1:22" hidden="1" x14ac:dyDescent="0.25">
      <c r="A183">
        <v>1996</v>
      </c>
      <c r="B183" t="s">
        <v>22</v>
      </c>
      <c r="C183" t="s">
        <v>64</v>
      </c>
      <c r="D183" t="s">
        <v>64</v>
      </c>
      <c r="E183" t="s">
        <v>65</v>
      </c>
      <c r="F183" t="s">
        <v>75</v>
      </c>
      <c r="G183" t="s">
        <v>23</v>
      </c>
      <c r="H183">
        <v>28</v>
      </c>
      <c r="I183">
        <v>47</v>
      </c>
      <c r="J183">
        <v>14</v>
      </c>
      <c r="K183">
        <v>3</v>
      </c>
      <c r="L183">
        <v>8</v>
      </c>
      <c r="M183" t="s">
        <v>67</v>
      </c>
      <c r="N183" t="s">
        <v>67</v>
      </c>
      <c r="O183" t="s">
        <v>67</v>
      </c>
      <c r="P183" t="s">
        <v>67</v>
      </c>
      <c r="Q183" t="s">
        <v>67</v>
      </c>
      <c r="R183" t="s">
        <v>67</v>
      </c>
      <c r="S183" t="s">
        <v>67</v>
      </c>
      <c r="T183" t="s">
        <v>67</v>
      </c>
      <c r="U183" t="s">
        <v>67</v>
      </c>
      <c r="V183" t="s">
        <v>67</v>
      </c>
    </row>
    <row r="184" spans="1:22" hidden="1" x14ac:dyDescent="0.25">
      <c r="A184">
        <v>1996</v>
      </c>
      <c r="B184" t="s">
        <v>22</v>
      </c>
      <c r="C184" t="s">
        <v>64</v>
      </c>
      <c r="D184" t="s">
        <v>64</v>
      </c>
      <c r="E184" t="s">
        <v>65</v>
      </c>
      <c r="F184" t="s">
        <v>68</v>
      </c>
      <c r="G184" t="s">
        <v>23</v>
      </c>
      <c r="H184">
        <v>27</v>
      </c>
      <c r="I184">
        <v>47</v>
      </c>
      <c r="J184">
        <v>15</v>
      </c>
      <c r="K184">
        <v>3</v>
      </c>
      <c r="L184">
        <v>8</v>
      </c>
      <c r="M184" t="s">
        <v>67</v>
      </c>
      <c r="N184" t="s">
        <v>67</v>
      </c>
      <c r="O184" t="s">
        <v>67</v>
      </c>
      <c r="P184" t="s">
        <v>67</v>
      </c>
      <c r="Q184" t="s">
        <v>67</v>
      </c>
      <c r="R184" t="s">
        <v>67</v>
      </c>
      <c r="S184" t="s">
        <v>67</v>
      </c>
      <c r="T184" t="s">
        <v>67</v>
      </c>
      <c r="U184" t="s">
        <v>67</v>
      </c>
      <c r="V184" t="s">
        <v>67</v>
      </c>
    </row>
    <row r="185" spans="1:22" hidden="1" x14ac:dyDescent="0.25">
      <c r="A185">
        <v>1996</v>
      </c>
      <c r="B185" t="s">
        <v>22</v>
      </c>
      <c r="C185" t="s">
        <v>64</v>
      </c>
      <c r="D185" t="s">
        <v>64</v>
      </c>
      <c r="E185" t="s">
        <v>65</v>
      </c>
      <c r="F185" t="s">
        <v>85</v>
      </c>
      <c r="G185" t="s">
        <v>23</v>
      </c>
      <c r="H185">
        <v>28</v>
      </c>
      <c r="I185">
        <v>46</v>
      </c>
      <c r="J185">
        <v>15</v>
      </c>
      <c r="K185">
        <v>3</v>
      </c>
      <c r="L185">
        <v>8</v>
      </c>
      <c r="M185" t="s">
        <v>67</v>
      </c>
      <c r="N185" t="s">
        <v>67</v>
      </c>
      <c r="O185" t="s">
        <v>67</v>
      </c>
      <c r="P185" t="s">
        <v>67</v>
      </c>
      <c r="Q185" t="s">
        <v>67</v>
      </c>
      <c r="R185" t="s">
        <v>67</v>
      </c>
      <c r="S185" t="s">
        <v>67</v>
      </c>
      <c r="T185" t="s">
        <v>67</v>
      </c>
      <c r="U185" t="s">
        <v>67</v>
      </c>
      <c r="V185" t="s">
        <v>67</v>
      </c>
    </row>
    <row r="186" spans="1:22" hidden="1" x14ac:dyDescent="0.25">
      <c r="A186">
        <v>1996</v>
      </c>
      <c r="B186" t="s">
        <v>22</v>
      </c>
      <c r="C186" t="s">
        <v>64</v>
      </c>
      <c r="D186" t="s">
        <v>64</v>
      </c>
      <c r="E186" t="s">
        <v>65</v>
      </c>
      <c r="F186" t="s">
        <v>69</v>
      </c>
      <c r="G186" t="s">
        <v>23</v>
      </c>
      <c r="H186">
        <v>26</v>
      </c>
      <c r="I186">
        <v>47</v>
      </c>
      <c r="J186">
        <v>15</v>
      </c>
      <c r="K186">
        <v>3</v>
      </c>
      <c r="L186">
        <v>9</v>
      </c>
      <c r="M186" t="s">
        <v>67</v>
      </c>
      <c r="N186" t="s">
        <v>67</v>
      </c>
      <c r="O186" t="s">
        <v>67</v>
      </c>
      <c r="P186" t="s">
        <v>67</v>
      </c>
      <c r="Q186" t="s">
        <v>67</v>
      </c>
      <c r="R186" t="s">
        <v>67</v>
      </c>
      <c r="S186" t="s">
        <v>67</v>
      </c>
      <c r="T186" t="s">
        <v>67</v>
      </c>
      <c r="U186" t="s">
        <v>67</v>
      </c>
      <c r="V186" t="s">
        <v>67</v>
      </c>
    </row>
    <row r="187" spans="1:22" hidden="1" x14ac:dyDescent="0.25">
      <c r="A187">
        <v>1996</v>
      </c>
      <c r="B187" t="s">
        <v>22</v>
      </c>
      <c r="C187" t="s">
        <v>64</v>
      </c>
      <c r="D187" t="s">
        <v>64</v>
      </c>
      <c r="E187" t="s">
        <v>65</v>
      </c>
      <c r="F187" t="s">
        <v>70</v>
      </c>
      <c r="G187" t="s">
        <v>23</v>
      </c>
      <c r="H187">
        <v>26</v>
      </c>
      <c r="I187">
        <v>45</v>
      </c>
      <c r="J187">
        <v>17</v>
      </c>
      <c r="K187">
        <v>3</v>
      </c>
      <c r="L187">
        <v>9</v>
      </c>
      <c r="M187" t="s">
        <v>67</v>
      </c>
      <c r="N187" t="s">
        <v>67</v>
      </c>
      <c r="O187" t="s">
        <v>67</v>
      </c>
      <c r="P187" t="s">
        <v>67</v>
      </c>
      <c r="Q187" t="s">
        <v>67</v>
      </c>
      <c r="R187" t="s">
        <v>67</v>
      </c>
      <c r="S187" t="s">
        <v>67</v>
      </c>
      <c r="T187" t="s">
        <v>67</v>
      </c>
      <c r="U187" t="s">
        <v>67</v>
      </c>
      <c r="V187" t="s">
        <v>67</v>
      </c>
    </row>
    <row r="188" spans="1:22" hidden="1" x14ac:dyDescent="0.25">
      <c r="A188">
        <v>1996</v>
      </c>
      <c r="B188" t="s">
        <v>22</v>
      </c>
      <c r="C188" t="s">
        <v>64</v>
      </c>
      <c r="D188" t="s">
        <v>64</v>
      </c>
      <c r="E188" t="s">
        <v>65</v>
      </c>
      <c r="F188" t="s">
        <v>71</v>
      </c>
      <c r="G188" t="s">
        <v>23</v>
      </c>
      <c r="H188">
        <v>26</v>
      </c>
      <c r="I188">
        <v>47</v>
      </c>
      <c r="J188">
        <v>15</v>
      </c>
      <c r="K188">
        <v>3</v>
      </c>
      <c r="L188">
        <v>9</v>
      </c>
      <c r="M188" t="s">
        <v>67</v>
      </c>
      <c r="N188" t="s">
        <v>67</v>
      </c>
      <c r="O188" t="s">
        <v>67</v>
      </c>
      <c r="P188" t="s">
        <v>67</v>
      </c>
      <c r="Q188" t="s">
        <v>67</v>
      </c>
      <c r="R188" t="s">
        <v>67</v>
      </c>
      <c r="S188" t="s">
        <v>67</v>
      </c>
      <c r="T188" t="s">
        <v>67</v>
      </c>
      <c r="U188" t="s">
        <v>67</v>
      </c>
      <c r="V188" t="s">
        <v>67</v>
      </c>
    </row>
    <row r="189" spans="1:22" hidden="1" x14ac:dyDescent="0.25">
      <c r="A189">
        <v>1996</v>
      </c>
      <c r="B189" t="s">
        <v>22</v>
      </c>
      <c r="C189" t="s">
        <v>64</v>
      </c>
      <c r="D189" t="s">
        <v>64</v>
      </c>
      <c r="E189" t="s">
        <v>65</v>
      </c>
      <c r="F189" t="s">
        <v>72</v>
      </c>
      <c r="G189" t="s">
        <v>23</v>
      </c>
      <c r="H189">
        <v>26</v>
      </c>
      <c r="I189">
        <v>46</v>
      </c>
      <c r="J189">
        <v>16</v>
      </c>
      <c r="K189">
        <v>3</v>
      </c>
      <c r="L189">
        <v>9</v>
      </c>
      <c r="M189" t="s">
        <v>67</v>
      </c>
      <c r="N189" t="s">
        <v>67</v>
      </c>
      <c r="O189" t="s">
        <v>67</v>
      </c>
      <c r="P189" t="s">
        <v>67</v>
      </c>
      <c r="Q189" t="s">
        <v>67</v>
      </c>
      <c r="R189" t="s">
        <v>67</v>
      </c>
      <c r="S189" t="s">
        <v>67</v>
      </c>
      <c r="T189" t="s">
        <v>67</v>
      </c>
      <c r="U189" t="s">
        <v>67</v>
      </c>
      <c r="V189" t="s">
        <v>67</v>
      </c>
    </row>
    <row r="190" spans="1:22" hidden="1" x14ac:dyDescent="0.25">
      <c r="A190">
        <v>1996</v>
      </c>
      <c r="B190" t="s">
        <v>22</v>
      </c>
      <c r="C190" t="s">
        <v>64</v>
      </c>
      <c r="D190" t="s">
        <v>64</v>
      </c>
      <c r="E190" t="s">
        <v>65</v>
      </c>
      <c r="F190" t="s">
        <v>73</v>
      </c>
      <c r="G190" t="s">
        <v>23</v>
      </c>
      <c r="H190">
        <v>25</v>
      </c>
      <c r="I190">
        <v>48</v>
      </c>
      <c r="J190">
        <v>16</v>
      </c>
      <c r="K190">
        <v>3</v>
      </c>
      <c r="L190">
        <v>8</v>
      </c>
      <c r="M190" t="s">
        <v>67</v>
      </c>
      <c r="N190" t="s">
        <v>67</v>
      </c>
      <c r="O190" t="s">
        <v>67</v>
      </c>
      <c r="P190" t="s">
        <v>67</v>
      </c>
      <c r="Q190" t="s">
        <v>67</v>
      </c>
      <c r="R190" t="s">
        <v>67</v>
      </c>
      <c r="S190" t="s">
        <v>67</v>
      </c>
      <c r="T190" t="s">
        <v>67</v>
      </c>
      <c r="U190" t="s">
        <v>67</v>
      </c>
      <c r="V190" t="s">
        <v>67</v>
      </c>
    </row>
    <row r="191" spans="1:22" hidden="1" x14ac:dyDescent="0.25">
      <c r="A191">
        <v>1996</v>
      </c>
      <c r="B191" t="s">
        <v>22</v>
      </c>
      <c r="C191" t="s">
        <v>64</v>
      </c>
      <c r="D191" t="s">
        <v>64</v>
      </c>
      <c r="E191" t="s">
        <v>65</v>
      </c>
      <c r="F191" t="s">
        <v>74</v>
      </c>
      <c r="G191" t="s">
        <v>23</v>
      </c>
      <c r="H191">
        <v>27</v>
      </c>
      <c r="I191">
        <v>47</v>
      </c>
      <c r="J191">
        <v>15</v>
      </c>
      <c r="K191">
        <v>3</v>
      </c>
      <c r="L191">
        <v>8</v>
      </c>
      <c r="M191" t="s">
        <v>67</v>
      </c>
      <c r="N191" t="s">
        <v>67</v>
      </c>
      <c r="O191" t="s">
        <v>67</v>
      </c>
      <c r="P191" t="s">
        <v>67</v>
      </c>
      <c r="Q191" t="s">
        <v>67</v>
      </c>
      <c r="R191" t="s">
        <v>67</v>
      </c>
      <c r="S191" t="s">
        <v>67</v>
      </c>
      <c r="T191" t="s">
        <v>67</v>
      </c>
      <c r="U191" t="s">
        <v>67</v>
      </c>
      <c r="V191" t="s">
        <v>67</v>
      </c>
    </row>
    <row r="192" spans="1:22" x14ac:dyDescent="0.25">
      <c r="A192">
        <v>1996</v>
      </c>
      <c r="B192" t="s">
        <v>22</v>
      </c>
      <c r="C192" t="s">
        <v>64</v>
      </c>
      <c r="D192" t="s">
        <v>64</v>
      </c>
      <c r="E192" t="s">
        <v>65</v>
      </c>
      <c r="F192" t="s">
        <v>87</v>
      </c>
      <c r="G192" t="s">
        <v>23</v>
      </c>
      <c r="H192">
        <v>25</v>
      </c>
      <c r="I192">
        <v>48</v>
      </c>
      <c r="J192">
        <v>18</v>
      </c>
      <c r="K192">
        <v>2</v>
      </c>
      <c r="L192">
        <v>7</v>
      </c>
      <c r="M192">
        <f>J192+I192</f>
        <v>66</v>
      </c>
      <c r="N192">
        <v>-2.9068645994199116E-3</v>
      </c>
      <c r="O192" t="s">
        <v>67</v>
      </c>
      <c r="P192" t="s">
        <v>67</v>
      </c>
      <c r="Q192" t="s">
        <v>67</v>
      </c>
      <c r="R192" t="s">
        <v>67</v>
      </c>
      <c r="S192" t="s">
        <v>67</v>
      </c>
      <c r="T192" t="s">
        <v>67</v>
      </c>
      <c r="U192" t="s">
        <v>67</v>
      </c>
      <c r="V192" t="s">
        <v>67</v>
      </c>
    </row>
    <row r="193" spans="1:22" hidden="1" x14ac:dyDescent="0.25">
      <c r="A193">
        <v>1996</v>
      </c>
      <c r="B193" t="s">
        <v>22</v>
      </c>
      <c r="C193" t="s">
        <v>64</v>
      </c>
      <c r="D193" t="s">
        <v>64</v>
      </c>
      <c r="E193" t="s">
        <v>65</v>
      </c>
      <c r="F193" t="s">
        <v>76</v>
      </c>
      <c r="G193" t="s">
        <v>23</v>
      </c>
      <c r="H193">
        <v>28</v>
      </c>
      <c r="I193">
        <v>47</v>
      </c>
      <c r="J193">
        <v>14</v>
      </c>
      <c r="K193">
        <v>3</v>
      </c>
      <c r="L193">
        <v>8</v>
      </c>
      <c r="M193" t="s">
        <v>67</v>
      </c>
      <c r="N193" t="s">
        <v>67</v>
      </c>
      <c r="O193" t="s">
        <v>67</v>
      </c>
      <c r="P193" t="s">
        <v>67</v>
      </c>
      <c r="Q193" t="s">
        <v>67</v>
      </c>
      <c r="R193" t="s">
        <v>67</v>
      </c>
      <c r="S193" t="s">
        <v>67</v>
      </c>
      <c r="T193" t="s">
        <v>67</v>
      </c>
      <c r="U193" t="s">
        <v>67</v>
      </c>
      <c r="V193" t="s">
        <v>67</v>
      </c>
    </row>
    <row r="194" spans="1:22" hidden="1" x14ac:dyDescent="0.25">
      <c r="A194">
        <v>1996</v>
      </c>
      <c r="B194" t="s">
        <v>22</v>
      </c>
      <c r="C194" t="s">
        <v>64</v>
      </c>
      <c r="D194" t="s">
        <v>64</v>
      </c>
      <c r="E194" t="s">
        <v>65</v>
      </c>
      <c r="F194" t="s">
        <v>77</v>
      </c>
      <c r="G194" t="s">
        <v>23</v>
      </c>
      <c r="H194">
        <v>28</v>
      </c>
      <c r="I194">
        <v>48</v>
      </c>
      <c r="J194">
        <v>13</v>
      </c>
      <c r="K194">
        <v>3</v>
      </c>
      <c r="L194">
        <v>8</v>
      </c>
      <c r="M194" t="s">
        <v>67</v>
      </c>
      <c r="N194" t="s">
        <v>67</v>
      </c>
      <c r="O194" t="s">
        <v>67</v>
      </c>
      <c r="P194" t="s">
        <v>67</v>
      </c>
      <c r="Q194" t="s">
        <v>67</v>
      </c>
      <c r="R194" t="s">
        <v>67</v>
      </c>
      <c r="S194" t="s">
        <v>67</v>
      </c>
      <c r="T194" t="s">
        <v>67</v>
      </c>
      <c r="U194" t="s">
        <v>67</v>
      </c>
      <c r="V194" t="s">
        <v>67</v>
      </c>
    </row>
    <row r="195" spans="1:22" hidden="1" x14ac:dyDescent="0.25">
      <c r="A195">
        <v>1996</v>
      </c>
      <c r="B195" t="s">
        <v>22</v>
      </c>
      <c r="C195" t="s">
        <v>64</v>
      </c>
      <c r="D195" t="s">
        <v>64</v>
      </c>
      <c r="E195" t="s">
        <v>65</v>
      </c>
      <c r="F195" t="s">
        <v>78</v>
      </c>
      <c r="G195" t="s">
        <v>23</v>
      </c>
      <c r="H195">
        <v>29</v>
      </c>
      <c r="I195">
        <v>48</v>
      </c>
      <c r="J195">
        <v>13</v>
      </c>
      <c r="K195">
        <v>2</v>
      </c>
      <c r="L195">
        <v>8</v>
      </c>
      <c r="M195" t="s">
        <v>67</v>
      </c>
      <c r="N195" t="s">
        <v>67</v>
      </c>
      <c r="O195" t="s">
        <v>67</v>
      </c>
      <c r="P195" t="s">
        <v>67</v>
      </c>
      <c r="Q195" t="s">
        <v>67</v>
      </c>
      <c r="R195" t="s">
        <v>67</v>
      </c>
      <c r="S195" t="s">
        <v>67</v>
      </c>
      <c r="T195" t="s">
        <v>67</v>
      </c>
      <c r="U195" t="s">
        <v>67</v>
      </c>
      <c r="V195" t="s">
        <v>67</v>
      </c>
    </row>
    <row r="196" spans="1:22" hidden="1" x14ac:dyDescent="0.25">
      <c r="A196">
        <v>1996</v>
      </c>
      <c r="B196" t="s">
        <v>22</v>
      </c>
      <c r="C196" t="s">
        <v>64</v>
      </c>
      <c r="D196" t="s">
        <v>64</v>
      </c>
      <c r="E196" t="s">
        <v>65</v>
      </c>
      <c r="F196" t="s">
        <v>79</v>
      </c>
      <c r="G196" t="s">
        <v>23</v>
      </c>
      <c r="H196">
        <v>30</v>
      </c>
      <c r="I196">
        <v>50</v>
      </c>
      <c r="J196">
        <v>11</v>
      </c>
      <c r="K196">
        <v>2</v>
      </c>
      <c r="L196">
        <v>7</v>
      </c>
      <c r="M196" t="s">
        <v>67</v>
      </c>
      <c r="N196" t="s">
        <v>67</v>
      </c>
      <c r="O196" t="s">
        <v>67</v>
      </c>
      <c r="P196" t="s">
        <v>67</v>
      </c>
      <c r="Q196" t="s">
        <v>67</v>
      </c>
      <c r="R196" t="s">
        <v>67</v>
      </c>
      <c r="S196" t="s">
        <v>67</v>
      </c>
      <c r="T196" t="s">
        <v>67</v>
      </c>
      <c r="U196" t="s">
        <v>67</v>
      </c>
      <c r="V196" t="s">
        <v>67</v>
      </c>
    </row>
    <row r="197" spans="1:22" hidden="1" x14ac:dyDescent="0.25">
      <c r="A197">
        <v>1996</v>
      </c>
      <c r="B197" t="s">
        <v>22</v>
      </c>
      <c r="C197" t="s">
        <v>64</v>
      </c>
      <c r="D197" t="s">
        <v>64</v>
      </c>
      <c r="E197" t="s">
        <v>65</v>
      </c>
      <c r="F197" t="s">
        <v>80</v>
      </c>
      <c r="G197" t="s">
        <v>23</v>
      </c>
      <c r="H197">
        <v>30</v>
      </c>
      <c r="I197">
        <v>50</v>
      </c>
      <c r="J197">
        <v>10</v>
      </c>
      <c r="K197">
        <v>2</v>
      </c>
      <c r="L197">
        <v>8</v>
      </c>
      <c r="M197" t="s">
        <v>67</v>
      </c>
      <c r="N197" t="s">
        <v>67</v>
      </c>
      <c r="O197" t="s">
        <v>67</v>
      </c>
      <c r="P197" t="s">
        <v>67</v>
      </c>
      <c r="Q197" t="s">
        <v>67</v>
      </c>
      <c r="R197" t="s">
        <v>67</v>
      </c>
      <c r="S197" t="s">
        <v>67</v>
      </c>
      <c r="T197" t="s">
        <v>67</v>
      </c>
      <c r="U197" t="s">
        <v>67</v>
      </c>
      <c r="V197" t="s">
        <v>67</v>
      </c>
    </row>
    <row r="198" spans="1:22" hidden="1" x14ac:dyDescent="0.25">
      <c r="A198">
        <v>1996</v>
      </c>
      <c r="B198" t="s">
        <v>22</v>
      </c>
      <c r="C198" t="s">
        <v>64</v>
      </c>
      <c r="D198" t="s">
        <v>64</v>
      </c>
      <c r="E198" t="s">
        <v>65</v>
      </c>
      <c r="F198" t="s">
        <v>81</v>
      </c>
      <c r="G198" t="s">
        <v>23</v>
      </c>
      <c r="H198">
        <v>33</v>
      </c>
      <c r="I198">
        <v>48</v>
      </c>
      <c r="J198">
        <v>8</v>
      </c>
      <c r="K198">
        <v>2</v>
      </c>
      <c r="L198">
        <v>9</v>
      </c>
      <c r="M198" t="s">
        <v>67</v>
      </c>
      <c r="N198" t="s">
        <v>67</v>
      </c>
      <c r="O198" t="s">
        <v>67</v>
      </c>
      <c r="P198" t="s">
        <v>67</v>
      </c>
      <c r="Q198" t="s">
        <v>67</v>
      </c>
      <c r="R198" t="s">
        <v>67</v>
      </c>
      <c r="S198" t="s">
        <v>67</v>
      </c>
      <c r="T198" t="s">
        <v>67</v>
      </c>
      <c r="U198" t="s">
        <v>67</v>
      </c>
      <c r="V198" t="s">
        <v>67</v>
      </c>
    </row>
    <row r="199" spans="1:22" hidden="1" x14ac:dyDescent="0.25">
      <c r="A199">
        <v>1996</v>
      </c>
      <c r="B199" t="s">
        <v>22</v>
      </c>
      <c r="C199" t="s">
        <v>64</v>
      </c>
      <c r="D199" t="s">
        <v>64</v>
      </c>
      <c r="E199" t="s">
        <v>65</v>
      </c>
      <c r="F199" t="s">
        <v>82</v>
      </c>
      <c r="G199" t="s">
        <v>23</v>
      </c>
      <c r="H199">
        <v>39</v>
      </c>
      <c r="I199">
        <v>44</v>
      </c>
      <c r="J199">
        <v>6</v>
      </c>
      <c r="K199">
        <v>2</v>
      </c>
      <c r="L199">
        <v>9</v>
      </c>
      <c r="M199" t="s">
        <v>67</v>
      </c>
      <c r="N199" t="s">
        <v>67</v>
      </c>
      <c r="O199" t="s">
        <v>67</v>
      </c>
      <c r="P199" t="s">
        <v>67</v>
      </c>
      <c r="Q199" t="s">
        <v>67</v>
      </c>
      <c r="R199" t="s">
        <v>67</v>
      </c>
      <c r="S199" t="s">
        <v>67</v>
      </c>
      <c r="T199" t="s">
        <v>67</v>
      </c>
      <c r="U199" t="s">
        <v>67</v>
      </c>
      <c r="V199" t="s">
        <v>67</v>
      </c>
    </row>
    <row r="200" spans="1:22" hidden="1" x14ac:dyDescent="0.25">
      <c r="A200">
        <v>1996</v>
      </c>
      <c r="B200" t="s">
        <v>22</v>
      </c>
      <c r="C200" t="s">
        <v>64</v>
      </c>
      <c r="D200" t="s">
        <v>64</v>
      </c>
      <c r="E200" t="s">
        <v>65</v>
      </c>
      <c r="F200" t="s">
        <v>83</v>
      </c>
      <c r="G200" t="s">
        <v>23</v>
      </c>
      <c r="H200">
        <v>38</v>
      </c>
      <c r="I200">
        <v>45</v>
      </c>
      <c r="J200">
        <v>6</v>
      </c>
      <c r="K200">
        <v>2</v>
      </c>
      <c r="L200">
        <v>9</v>
      </c>
      <c r="M200" t="s">
        <v>67</v>
      </c>
      <c r="N200" t="s">
        <v>67</v>
      </c>
      <c r="O200" t="s">
        <v>67</v>
      </c>
      <c r="P200" t="s">
        <v>67</v>
      </c>
      <c r="Q200" t="s">
        <v>67</v>
      </c>
      <c r="R200" t="s">
        <v>67</v>
      </c>
      <c r="S200" t="s">
        <v>67</v>
      </c>
      <c r="T200" t="s">
        <v>67</v>
      </c>
      <c r="U200" t="s">
        <v>67</v>
      </c>
      <c r="V200" t="s">
        <v>67</v>
      </c>
    </row>
    <row r="201" spans="1:22" x14ac:dyDescent="0.25">
      <c r="A201">
        <v>1997</v>
      </c>
      <c r="B201" t="s">
        <v>22</v>
      </c>
      <c r="C201" t="s">
        <v>64</v>
      </c>
      <c r="D201" t="s">
        <v>64</v>
      </c>
      <c r="E201" t="s">
        <v>65</v>
      </c>
      <c r="F201" t="s">
        <v>86</v>
      </c>
      <c r="G201" t="s">
        <v>23</v>
      </c>
      <c r="H201">
        <v>27</v>
      </c>
      <c r="I201">
        <v>50</v>
      </c>
      <c r="J201">
        <v>14</v>
      </c>
      <c r="K201">
        <v>2</v>
      </c>
      <c r="L201">
        <v>7</v>
      </c>
      <c r="M201">
        <f>J201+I201</f>
        <v>64</v>
      </c>
      <c r="N201">
        <v>-2.0912400177338419E-2</v>
      </c>
      <c r="O201" t="s">
        <v>67</v>
      </c>
      <c r="P201" t="s">
        <v>67</v>
      </c>
      <c r="Q201" t="s">
        <v>67</v>
      </c>
      <c r="R201" t="s">
        <v>67</v>
      </c>
      <c r="S201" t="s">
        <v>67</v>
      </c>
      <c r="T201" t="s">
        <v>67</v>
      </c>
      <c r="U201" t="s">
        <v>67</v>
      </c>
      <c r="V201" t="s">
        <v>67</v>
      </c>
    </row>
    <row r="202" spans="1:22" hidden="1" x14ac:dyDescent="0.25">
      <c r="A202">
        <v>1997</v>
      </c>
      <c r="B202" t="s">
        <v>22</v>
      </c>
      <c r="C202" t="s">
        <v>64</v>
      </c>
      <c r="D202" t="s">
        <v>64</v>
      </c>
      <c r="E202" t="s">
        <v>65</v>
      </c>
      <c r="F202" t="s">
        <v>68</v>
      </c>
      <c r="G202" t="s">
        <v>23</v>
      </c>
      <c r="H202">
        <v>27</v>
      </c>
      <c r="I202">
        <v>48</v>
      </c>
      <c r="J202">
        <v>14</v>
      </c>
      <c r="K202">
        <v>3</v>
      </c>
      <c r="L202">
        <v>8</v>
      </c>
      <c r="M202" t="s">
        <v>67</v>
      </c>
      <c r="N202" t="s">
        <v>67</v>
      </c>
      <c r="O202" t="s">
        <v>67</v>
      </c>
      <c r="P202" t="s">
        <v>67</v>
      </c>
      <c r="Q202" t="s">
        <v>67</v>
      </c>
      <c r="R202" t="s">
        <v>67</v>
      </c>
      <c r="S202" t="s">
        <v>67</v>
      </c>
      <c r="T202" t="s">
        <v>67</v>
      </c>
      <c r="U202" t="s">
        <v>67</v>
      </c>
      <c r="V202" t="s">
        <v>67</v>
      </c>
    </row>
    <row r="203" spans="1:22" hidden="1" x14ac:dyDescent="0.25">
      <c r="A203">
        <v>1997</v>
      </c>
      <c r="B203" t="s">
        <v>22</v>
      </c>
      <c r="C203" t="s">
        <v>64</v>
      </c>
      <c r="D203" t="s">
        <v>64</v>
      </c>
      <c r="E203" t="s">
        <v>65</v>
      </c>
      <c r="F203" t="s">
        <v>85</v>
      </c>
      <c r="G203" t="s">
        <v>23</v>
      </c>
      <c r="H203">
        <v>28</v>
      </c>
      <c r="I203">
        <v>47</v>
      </c>
      <c r="J203">
        <v>14</v>
      </c>
      <c r="K203">
        <v>3</v>
      </c>
      <c r="L203">
        <v>8</v>
      </c>
      <c r="M203" t="s">
        <v>67</v>
      </c>
      <c r="N203" t="s">
        <v>67</v>
      </c>
      <c r="O203" t="s">
        <v>67</v>
      </c>
      <c r="P203" t="s">
        <v>67</v>
      </c>
      <c r="Q203" t="s">
        <v>67</v>
      </c>
      <c r="R203" t="s">
        <v>67</v>
      </c>
      <c r="S203" t="s">
        <v>67</v>
      </c>
      <c r="T203" t="s">
        <v>67</v>
      </c>
      <c r="U203" t="s">
        <v>67</v>
      </c>
      <c r="V203" t="s">
        <v>67</v>
      </c>
    </row>
    <row r="204" spans="1:22" hidden="1" x14ac:dyDescent="0.25">
      <c r="A204">
        <v>1997</v>
      </c>
      <c r="B204" t="s">
        <v>22</v>
      </c>
      <c r="C204" t="s">
        <v>64</v>
      </c>
      <c r="D204" t="s">
        <v>64</v>
      </c>
      <c r="E204" t="s">
        <v>65</v>
      </c>
      <c r="F204" t="s">
        <v>69</v>
      </c>
      <c r="G204" t="s">
        <v>23</v>
      </c>
      <c r="H204">
        <v>27</v>
      </c>
      <c r="I204">
        <v>49</v>
      </c>
      <c r="J204">
        <v>14</v>
      </c>
      <c r="K204">
        <v>2</v>
      </c>
      <c r="L204">
        <v>8</v>
      </c>
      <c r="M204" t="s">
        <v>67</v>
      </c>
      <c r="N204" t="s">
        <v>67</v>
      </c>
      <c r="O204" t="s">
        <v>67</v>
      </c>
      <c r="P204" t="s">
        <v>67</v>
      </c>
      <c r="Q204" t="s">
        <v>67</v>
      </c>
      <c r="R204" t="s">
        <v>67</v>
      </c>
      <c r="S204" t="s">
        <v>67</v>
      </c>
      <c r="T204" t="s">
        <v>67</v>
      </c>
      <c r="U204" t="s">
        <v>67</v>
      </c>
      <c r="V204" t="s">
        <v>67</v>
      </c>
    </row>
    <row r="205" spans="1:22" hidden="1" x14ac:dyDescent="0.25">
      <c r="A205">
        <v>1997</v>
      </c>
      <c r="B205" t="s">
        <v>22</v>
      </c>
      <c r="C205" t="s">
        <v>64</v>
      </c>
      <c r="D205" t="s">
        <v>64</v>
      </c>
      <c r="E205" t="s">
        <v>65</v>
      </c>
      <c r="F205" t="s">
        <v>70</v>
      </c>
      <c r="G205" t="s">
        <v>23</v>
      </c>
      <c r="H205">
        <v>27</v>
      </c>
      <c r="I205">
        <v>48</v>
      </c>
      <c r="J205">
        <v>14</v>
      </c>
      <c r="K205">
        <v>3</v>
      </c>
      <c r="L205">
        <v>8</v>
      </c>
      <c r="M205" t="s">
        <v>67</v>
      </c>
      <c r="N205" t="s">
        <v>67</v>
      </c>
      <c r="O205" t="s">
        <v>67</v>
      </c>
      <c r="P205" t="s">
        <v>67</v>
      </c>
      <c r="Q205" t="s">
        <v>67</v>
      </c>
      <c r="R205" t="s">
        <v>67</v>
      </c>
      <c r="S205" t="s">
        <v>67</v>
      </c>
      <c r="T205" t="s">
        <v>67</v>
      </c>
      <c r="U205" t="s">
        <v>67</v>
      </c>
      <c r="V205" t="s">
        <v>67</v>
      </c>
    </row>
    <row r="206" spans="1:22" hidden="1" x14ac:dyDescent="0.25">
      <c r="A206">
        <v>1997</v>
      </c>
      <c r="B206" t="s">
        <v>22</v>
      </c>
      <c r="C206" t="s">
        <v>64</v>
      </c>
      <c r="D206" t="s">
        <v>64</v>
      </c>
      <c r="E206" t="s">
        <v>65</v>
      </c>
      <c r="F206" t="s">
        <v>71</v>
      </c>
      <c r="G206" t="s">
        <v>23</v>
      </c>
      <c r="H206">
        <v>27</v>
      </c>
      <c r="I206">
        <v>48</v>
      </c>
      <c r="J206">
        <v>15</v>
      </c>
      <c r="K206">
        <v>2</v>
      </c>
      <c r="L206">
        <v>8</v>
      </c>
      <c r="M206" t="s">
        <v>67</v>
      </c>
      <c r="N206" t="s">
        <v>67</v>
      </c>
      <c r="O206" t="s">
        <v>67</v>
      </c>
      <c r="P206" t="s">
        <v>67</v>
      </c>
      <c r="Q206" t="s">
        <v>67</v>
      </c>
      <c r="R206" t="s">
        <v>67</v>
      </c>
      <c r="S206" t="s">
        <v>67</v>
      </c>
      <c r="T206" t="s">
        <v>67</v>
      </c>
      <c r="U206" t="s">
        <v>67</v>
      </c>
      <c r="V206" t="s">
        <v>67</v>
      </c>
    </row>
    <row r="207" spans="1:22" hidden="1" x14ac:dyDescent="0.25">
      <c r="A207">
        <v>1997</v>
      </c>
      <c r="B207" t="s">
        <v>22</v>
      </c>
      <c r="C207" t="s">
        <v>64</v>
      </c>
      <c r="D207" t="s">
        <v>64</v>
      </c>
      <c r="E207" t="s">
        <v>65</v>
      </c>
      <c r="F207" t="s">
        <v>72</v>
      </c>
      <c r="G207" t="s">
        <v>23</v>
      </c>
      <c r="H207">
        <v>28</v>
      </c>
      <c r="I207">
        <v>45</v>
      </c>
      <c r="J207">
        <v>15</v>
      </c>
      <c r="K207">
        <v>3</v>
      </c>
      <c r="L207">
        <v>9</v>
      </c>
      <c r="M207" t="s">
        <v>67</v>
      </c>
      <c r="N207" t="s">
        <v>67</v>
      </c>
      <c r="O207" t="s">
        <v>67</v>
      </c>
      <c r="P207" t="s">
        <v>67</v>
      </c>
      <c r="Q207" t="s">
        <v>67</v>
      </c>
      <c r="R207" t="s">
        <v>67</v>
      </c>
      <c r="S207" t="s">
        <v>67</v>
      </c>
      <c r="T207" t="s">
        <v>67</v>
      </c>
      <c r="U207" t="s">
        <v>67</v>
      </c>
      <c r="V207" t="s">
        <v>67</v>
      </c>
    </row>
    <row r="208" spans="1:22" hidden="1" x14ac:dyDescent="0.25">
      <c r="A208">
        <v>1997</v>
      </c>
      <c r="B208" t="s">
        <v>22</v>
      </c>
      <c r="C208" t="s">
        <v>64</v>
      </c>
      <c r="D208" t="s">
        <v>64</v>
      </c>
      <c r="E208" t="s">
        <v>65</v>
      </c>
      <c r="F208" t="s">
        <v>73</v>
      </c>
      <c r="G208" t="s">
        <v>23</v>
      </c>
      <c r="H208">
        <v>28</v>
      </c>
      <c r="I208">
        <v>43</v>
      </c>
      <c r="J208">
        <v>15</v>
      </c>
      <c r="K208">
        <v>3</v>
      </c>
      <c r="L208">
        <v>11</v>
      </c>
      <c r="M208" t="s">
        <v>67</v>
      </c>
      <c r="N208" t="s">
        <v>67</v>
      </c>
      <c r="O208" t="s">
        <v>67</v>
      </c>
      <c r="P208" t="s">
        <v>67</v>
      </c>
      <c r="Q208" t="s">
        <v>67</v>
      </c>
      <c r="R208" t="s">
        <v>67</v>
      </c>
      <c r="S208" t="s">
        <v>67</v>
      </c>
      <c r="T208" t="s">
        <v>67</v>
      </c>
      <c r="U208" t="s">
        <v>67</v>
      </c>
      <c r="V208" t="s">
        <v>67</v>
      </c>
    </row>
    <row r="209" spans="1:22" hidden="1" x14ac:dyDescent="0.25">
      <c r="A209">
        <v>1997</v>
      </c>
      <c r="B209" t="s">
        <v>22</v>
      </c>
      <c r="C209" t="s">
        <v>64</v>
      </c>
      <c r="D209" t="s">
        <v>64</v>
      </c>
      <c r="E209" t="s">
        <v>65</v>
      </c>
      <c r="F209" t="s">
        <v>74</v>
      </c>
      <c r="G209" t="s">
        <v>23</v>
      </c>
      <c r="H209">
        <v>25</v>
      </c>
      <c r="I209">
        <v>50</v>
      </c>
      <c r="J209">
        <v>16</v>
      </c>
      <c r="K209">
        <v>2</v>
      </c>
      <c r="L209">
        <v>7</v>
      </c>
      <c r="M209" t="s">
        <v>67</v>
      </c>
      <c r="N209" t="s">
        <v>67</v>
      </c>
      <c r="O209" t="s">
        <v>67</v>
      </c>
      <c r="P209" t="s">
        <v>67</v>
      </c>
      <c r="Q209" t="s">
        <v>67</v>
      </c>
      <c r="R209" t="s">
        <v>67</v>
      </c>
      <c r="S209" t="s">
        <v>67</v>
      </c>
      <c r="T209" t="s">
        <v>67</v>
      </c>
      <c r="U209" t="s">
        <v>67</v>
      </c>
      <c r="V209" t="s">
        <v>67</v>
      </c>
    </row>
    <row r="210" spans="1:22" hidden="1" x14ac:dyDescent="0.25">
      <c r="A210">
        <v>1997</v>
      </c>
      <c r="B210" t="s">
        <v>22</v>
      </c>
      <c r="C210" t="s">
        <v>64</v>
      </c>
      <c r="D210" t="s">
        <v>64</v>
      </c>
      <c r="E210" t="s">
        <v>65</v>
      </c>
      <c r="F210" t="s">
        <v>75</v>
      </c>
      <c r="G210" t="s">
        <v>23</v>
      </c>
      <c r="H210">
        <v>24</v>
      </c>
      <c r="I210">
        <v>51</v>
      </c>
      <c r="J210">
        <v>17</v>
      </c>
      <c r="K210">
        <v>2</v>
      </c>
      <c r="L210">
        <v>6</v>
      </c>
      <c r="M210" t="s">
        <v>67</v>
      </c>
      <c r="N210" t="s">
        <v>67</v>
      </c>
      <c r="O210" t="s">
        <v>67</v>
      </c>
      <c r="P210" t="s">
        <v>67</v>
      </c>
      <c r="Q210" t="s">
        <v>67</v>
      </c>
      <c r="R210" t="s">
        <v>67</v>
      </c>
      <c r="S210" t="s">
        <v>67</v>
      </c>
      <c r="T210" t="s">
        <v>67</v>
      </c>
      <c r="U210" t="s">
        <v>67</v>
      </c>
      <c r="V210" t="s">
        <v>67</v>
      </c>
    </row>
    <row r="211" spans="1:22" hidden="1" x14ac:dyDescent="0.25">
      <c r="A211">
        <v>1997</v>
      </c>
      <c r="B211" t="s">
        <v>22</v>
      </c>
      <c r="C211" t="s">
        <v>64</v>
      </c>
      <c r="D211" t="s">
        <v>64</v>
      </c>
      <c r="E211" t="s">
        <v>65</v>
      </c>
      <c r="F211" t="s">
        <v>76</v>
      </c>
      <c r="G211" t="s">
        <v>23</v>
      </c>
      <c r="H211">
        <v>25</v>
      </c>
      <c r="I211">
        <v>50</v>
      </c>
      <c r="J211">
        <v>18</v>
      </c>
      <c r="K211">
        <v>1</v>
      </c>
      <c r="L211">
        <v>6</v>
      </c>
      <c r="M211" t="s">
        <v>67</v>
      </c>
      <c r="N211" t="s">
        <v>67</v>
      </c>
      <c r="O211" t="s">
        <v>67</v>
      </c>
      <c r="P211" t="s">
        <v>67</v>
      </c>
      <c r="Q211" t="s">
        <v>67</v>
      </c>
      <c r="R211" t="s">
        <v>67</v>
      </c>
      <c r="S211" t="s">
        <v>67</v>
      </c>
      <c r="T211" t="s">
        <v>67</v>
      </c>
      <c r="U211" t="s">
        <v>67</v>
      </c>
      <c r="V211" t="s">
        <v>67</v>
      </c>
    </row>
    <row r="212" spans="1:22" hidden="1" x14ac:dyDescent="0.25">
      <c r="A212">
        <v>1997</v>
      </c>
      <c r="B212" t="s">
        <v>22</v>
      </c>
      <c r="C212" t="s">
        <v>64</v>
      </c>
      <c r="D212" t="s">
        <v>64</v>
      </c>
      <c r="E212" t="s">
        <v>65</v>
      </c>
      <c r="F212" t="s">
        <v>77</v>
      </c>
      <c r="G212" t="s">
        <v>23</v>
      </c>
      <c r="H212">
        <v>22</v>
      </c>
      <c r="I212">
        <v>56</v>
      </c>
      <c r="J212">
        <v>17</v>
      </c>
      <c r="K212">
        <v>1</v>
      </c>
      <c r="L212">
        <v>4</v>
      </c>
      <c r="M212" t="s">
        <v>67</v>
      </c>
      <c r="N212" t="s">
        <v>67</v>
      </c>
      <c r="O212" t="s">
        <v>67</v>
      </c>
      <c r="P212" t="s">
        <v>67</v>
      </c>
      <c r="Q212" t="s">
        <v>67</v>
      </c>
      <c r="R212" t="s">
        <v>67</v>
      </c>
      <c r="S212" t="s">
        <v>67</v>
      </c>
      <c r="T212" t="s">
        <v>67</v>
      </c>
      <c r="U212" t="s">
        <v>67</v>
      </c>
      <c r="V212" t="s">
        <v>67</v>
      </c>
    </row>
    <row r="213" spans="1:22" hidden="1" x14ac:dyDescent="0.25">
      <c r="A213">
        <v>1997</v>
      </c>
      <c r="B213" t="s">
        <v>22</v>
      </c>
      <c r="C213" t="s">
        <v>64</v>
      </c>
      <c r="D213" t="s">
        <v>64</v>
      </c>
      <c r="E213" t="s">
        <v>65</v>
      </c>
      <c r="F213" t="s">
        <v>78</v>
      </c>
      <c r="G213" t="s">
        <v>23</v>
      </c>
      <c r="H213">
        <v>20</v>
      </c>
      <c r="I213">
        <v>57</v>
      </c>
      <c r="J213">
        <v>18</v>
      </c>
      <c r="K213">
        <v>1</v>
      </c>
      <c r="L213">
        <v>4</v>
      </c>
      <c r="M213" t="s">
        <v>67</v>
      </c>
      <c r="N213" t="s">
        <v>67</v>
      </c>
      <c r="O213" t="s">
        <v>67</v>
      </c>
      <c r="P213" t="s">
        <v>67</v>
      </c>
      <c r="Q213" t="s">
        <v>67</v>
      </c>
      <c r="R213" t="s">
        <v>67</v>
      </c>
      <c r="S213" t="s">
        <v>67</v>
      </c>
      <c r="T213" t="s">
        <v>67</v>
      </c>
      <c r="U213" t="s">
        <v>67</v>
      </c>
      <c r="V213" t="s">
        <v>67</v>
      </c>
    </row>
    <row r="214" spans="1:22" hidden="1" x14ac:dyDescent="0.25">
      <c r="A214">
        <v>1997</v>
      </c>
      <c r="B214" t="s">
        <v>22</v>
      </c>
      <c r="C214" t="s">
        <v>64</v>
      </c>
      <c r="D214" t="s">
        <v>64</v>
      </c>
      <c r="E214" t="s">
        <v>65</v>
      </c>
      <c r="F214" t="s">
        <v>79</v>
      </c>
      <c r="G214" t="s">
        <v>23</v>
      </c>
      <c r="H214">
        <v>21</v>
      </c>
      <c r="I214">
        <v>57</v>
      </c>
      <c r="J214">
        <v>17</v>
      </c>
      <c r="K214">
        <v>1</v>
      </c>
      <c r="L214">
        <v>4</v>
      </c>
      <c r="M214" t="s">
        <v>67</v>
      </c>
      <c r="N214" t="s">
        <v>67</v>
      </c>
      <c r="O214" t="s">
        <v>67</v>
      </c>
      <c r="P214" t="s">
        <v>67</v>
      </c>
      <c r="Q214" t="s">
        <v>67</v>
      </c>
      <c r="R214" t="s">
        <v>67</v>
      </c>
      <c r="S214" t="s">
        <v>67</v>
      </c>
      <c r="T214" t="s">
        <v>67</v>
      </c>
      <c r="U214" t="s">
        <v>67</v>
      </c>
      <c r="V214" t="s">
        <v>67</v>
      </c>
    </row>
    <row r="215" spans="1:22" hidden="1" x14ac:dyDescent="0.25">
      <c r="A215">
        <v>1997</v>
      </c>
      <c r="B215" t="s">
        <v>22</v>
      </c>
      <c r="C215" t="s">
        <v>64</v>
      </c>
      <c r="D215" t="s">
        <v>64</v>
      </c>
      <c r="E215" t="s">
        <v>65</v>
      </c>
      <c r="F215" t="s">
        <v>80</v>
      </c>
      <c r="G215" t="s">
        <v>23</v>
      </c>
      <c r="H215">
        <v>26</v>
      </c>
      <c r="I215">
        <v>54</v>
      </c>
      <c r="J215">
        <v>13</v>
      </c>
      <c r="K215">
        <v>1</v>
      </c>
      <c r="L215">
        <v>6</v>
      </c>
      <c r="M215" t="s">
        <v>67</v>
      </c>
      <c r="N215" t="s">
        <v>67</v>
      </c>
      <c r="O215" t="s">
        <v>67</v>
      </c>
      <c r="P215" t="s">
        <v>67</v>
      </c>
      <c r="Q215" t="s">
        <v>67</v>
      </c>
      <c r="R215" t="s">
        <v>67</v>
      </c>
      <c r="S215" t="s">
        <v>67</v>
      </c>
      <c r="T215" t="s">
        <v>67</v>
      </c>
      <c r="U215" t="s">
        <v>67</v>
      </c>
      <c r="V215" t="s">
        <v>67</v>
      </c>
    </row>
    <row r="216" spans="1:22" hidden="1" x14ac:dyDescent="0.25">
      <c r="A216">
        <v>1997</v>
      </c>
      <c r="B216" t="s">
        <v>22</v>
      </c>
      <c r="C216" t="s">
        <v>64</v>
      </c>
      <c r="D216" t="s">
        <v>64</v>
      </c>
      <c r="E216" t="s">
        <v>65</v>
      </c>
      <c r="F216" t="s">
        <v>81</v>
      </c>
      <c r="G216" t="s">
        <v>23</v>
      </c>
      <c r="H216">
        <v>28</v>
      </c>
      <c r="I216">
        <v>54</v>
      </c>
      <c r="J216">
        <v>12</v>
      </c>
      <c r="K216">
        <v>1</v>
      </c>
      <c r="L216">
        <v>5</v>
      </c>
      <c r="M216" t="s">
        <v>67</v>
      </c>
      <c r="N216" t="s">
        <v>67</v>
      </c>
      <c r="O216" t="s">
        <v>67</v>
      </c>
      <c r="P216" t="s">
        <v>67</v>
      </c>
      <c r="Q216" t="s">
        <v>67</v>
      </c>
      <c r="R216" t="s">
        <v>67</v>
      </c>
      <c r="S216" t="s">
        <v>67</v>
      </c>
      <c r="T216" t="s">
        <v>67</v>
      </c>
      <c r="U216" t="s">
        <v>67</v>
      </c>
      <c r="V216" t="s">
        <v>67</v>
      </c>
    </row>
    <row r="217" spans="1:22" hidden="1" x14ac:dyDescent="0.25">
      <c r="A217">
        <v>1997</v>
      </c>
      <c r="B217" t="s">
        <v>22</v>
      </c>
      <c r="C217" t="s">
        <v>64</v>
      </c>
      <c r="D217" t="s">
        <v>64</v>
      </c>
      <c r="E217" t="s">
        <v>65</v>
      </c>
      <c r="F217" t="s">
        <v>82</v>
      </c>
      <c r="G217" t="s">
        <v>23</v>
      </c>
      <c r="H217">
        <v>30</v>
      </c>
      <c r="I217">
        <v>55</v>
      </c>
      <c r="J217">
        <v>10</v>
      </c>
      <c r="K217">
        <v>1</v>
      </c>
      <c r="L217">
        <v>4</v>
      </c>
      <c r="M217" t="s">
        <v>67</v>
      </c>
      <c r="N217" t="s">
        <v>67</v>
      </c>
      <c r="O217" t="s">
        <v>67</v>
      </c>
      <c r="P217" t="s">
        <v>67</v>
      </c>
      <c r="Q217" t="s">
        <v>67</v>
      </c>
      <c r="R217" t="s">
        <v>67</v>
      </c>
      <c r="S217" t="s">
        <v>67</v>
      </c>
      <c r="T217" t="s">
        <v>67</v>
      </c>
      <c r="U217" t="s">
        <v>67</v>
      </c>
      <c r="V217" t="s">
        <v>67</v>
      </c>
    </row>
    <row r="218" spans="1:22" hidden="1" x14ac:dyDescent="0.25">
      <c r="A218">
        <v>1997</v>
      </c>
      <c r="B218" t="s">
        <v>22</v>
      </c>
      <c r="C218" t="s">
        <v>64</v>
      </c>
      <c r="D218" t="s">
        <v>64</v>
      </c>
      <c r="E218" t="s">
        <v>65</v>
      </c>
      <c r="F218" t="s">
        <v>83</v>
      </c>
      <c r="G218" t="s">
        <v>23</v>
      </c>
      <c r="H218">
        <v>33</v>
      </c>
      <c r="I218">
        <v>52</v>
      </c>
      <c r="J218">
        <v>8</v>
      </c>
      <c r="K218">
        <v>1</v>
      </c>
      <c r="L218">
        <v>6</v>
      </c>
      <c r="M218" t="s">
        <v>67</v>
      </c>
      <c r="N218" t="s">
        <v>67</v>
      </c>
      <c r="O218" t="s">
        <v>67</v>
      </c>
      <c r="P218" t="s">
        <v>67</v>
      </c>
      <c r="Q218" t="s">
        <v>67</v>
      </c>
      <c r="R218" t="s">
        <v>67</v>
      </c>
      <c r="S218" t="s">
        <v>67</v>
      </c>
      <c r="T218" t="s">
        <v>67</v>
      </c>
      <c r="U218" t="s">
        <v>67</v>
      </c>
      <c r="V218" t="s">
        <v>67</v>
      </c>
    </row>
    <row r="219" spans="1:22" hidden="1" x14ac:dyDescent="0.25">
      <c r="A219">
        <v>1998</v>
      </c>
      <c r="B219" t="s">
        <v>22</v>
      </c>
      <c r="C219" t="s">
        <v>64</v>
      </c>
      <c r="D219" t="s">
        <v>64</v>
      </c>
      <c r="E219" t="s">
        <v>65</v>
      </c>
      <c r="F219" t="s">
        <v>76</v>
      </c>
      <c r="G219" t="s">
        <v>23</v>
      </c>
      <c r="H219">
        <v>23</v>
      </c>
      <c r="I219">
        <v>47</v>
      </c>
      <c r="J219">
        <v>19</v>
      </c>
      <c r="K219">
        <v>4</v>
      </c>
      <c r="L219">
        <v>7</v>
      </c>
      <c r="M219" t="s">
        <v>67</v>
      </c>
      <c r="N219" t="s">
        <v>67</v>
      </c>
      <c r="O219" t="s">
        <v>67</v>
      </c>
      <c r="P219" t="s">
        <v>67</v>
      </c>
      <c r="Q219" t="s">
        <v>67</v>
      </c>
      <c r="R219" t="s">
        <v>67</v>
      </c>
      <c r="S219" t="s">
        <v>67</v>
      </c>
      <c r="T219" t="s">
        <v>67</v>
      </c>
      <c r="U219" t="s">
        <v>67</v>
      </c>
      <c r="V219" t="s">
        <v>67</v>
      </c>
    </row>
    <row r="220" spans="1:22" x14ac:dyDescent="0.25">
      <c r="A220">
        <v>1998</v>
      </c>
      <c r="B220" t="s">
        <v>22</v>
      </c>
      <c r="C220" t="s">
        <v>64</v>
      </c>
      <c r="D220" t="s">
        <v>64</v>
      </c>
      <c r="E220" t="s">
        <v>65</v>
      </c>
      <c r="F220" t="s">
        <v>66</v>
      </c>
      <c r="G220" t="s">
        <v>23</v>
      </c>
      <c r="H220">
        <v>22</v>
      </c>
      <c r="I220">
        <v>49</v>
      </c>
      <c r="J220">
        <v>20</v>
      </c>
      <c r="K220">
        <v>3</v>
      </c>
      <c r="L220">
        <v>6</v>
      </c>
      <c r="M220">
        <f>J220+I220</f>
        <v>69</v>
      </c>
      <c r="N220">
        <v>2.3449895499886075E-2</v>
      </c>
      <c r="O220" t="s">
        <v>67</v>
      </c>
      <c r="P220" t="s">
        <v>67</v>
      </c>
      <c r="Q220" t="s">
        <v>67</v>
      </c>
      <c r="R220" t="s">
        <v>67</v>
      </c>
      <c r="S220" t="s">
        <v>67</v>
      </c>
      <c r="T220" t="s">
        <v>67</v>
      </c>
      <c r="U220" t="s">
        <v>67</v>
      </c>
      <c r="V220" t="s">
        <v>67</v>
      </c>
    </row>
    <row r="221" spans="1:22" hidden="1" x14ac:dyDescent="0.25">
      <c r="A221">
        <v>1998</v>
      </c>
      <c r="B221" t="s">
        <v>22</v>
      </c>
      <c r="C221" t="s">
        <v>64</v>
      </c>
      <c r="D221" t="s">
        <v>64</v>
      </c>
      <c r="E221" t="s">
        <v>65</v>
      </c>
      <c r="F221" t="s">
        <v>69</v>
      </c>
      <c r="G221" t="s">
        <v>23</v>
      </c>
      <c r="H221">
        <v>23</v>
      </c>
      <c r="I221">
        <v>50</v>
      </c>
      <c r="J221">
        <v>17</v>
      </c>
      <c r="K221">
        <v>3</v>
      </c>
      <c r="L221">
        <v>7</v>
      </c>
      <c r="M221" t="s">
        <v>67</v>
      </c>
      <c r="N221" t="s">
        <v>67</v>
      </c>
      <c r="O221" t="s">
        <v>67</v>
      </c>
      <c r="P221" t="s">
        <v>67</v>
      </c>
      <c r="Q221" t="s">
        <v>67</v>
      </c>
      <c r="R221" t="s">
        <v>67</v>
      </c>
      <c r="S221" t="s">
        <v>67</v>
      </c>
      <c r="T221" t="s">
        <v>67</v>
      </c>
      <c r="U221" t="s">
        <v>67</v>
      </c>
      <c r="V221" t="s">
        <v>67</v>
      </c>
    </row>
    <row r="222" spans="1:22" hidden="1" x14ac:dyDescent="0.25">
      <c r="A222">
        <v>1998</v>
      </c>
      <c r="B222" t="s">
        <v>22</v>
      </c>
      <c r="C222" t="s">
        <v>64</v>
      </c>
      <c r="D222" t="s">
        <v>64</v>
      </c>
      <c r="E222" t="s">
        <v>65</v>
      </c>
      <c r="F222" t="s">
        <v>70</v>
      </c>
      <c r="G222" t="s">
        <v>23</v>
      </c>
      <c r="H222">
        <v>22</v>
      </c>
      <c r="I222">
        <v>50</v>
      </c>
      <c r="J222">
        <v>19</v>
      </c>
      <c r="K222">
        <v>2</v>
      </c>
      <c r="L222">
        <v>7</v>
      </c>
      <c r="M222" t="s">
        <v>67</v>
      </c>
      <c r="N222" t="s">
        <v>67</v>
      </c>
      <c r="O222" t="s">
        <v>67</v>
      </c>
      <c r="P222" t="s">
        <v>67</v>
      </c>
      <c r="Q222" t="s">
        <v>67</v>
      </c>
      <c r="R222" t="s">
        <v>67</v>
      </c>
      <c r="S222" t="s">
        <v>67</v>
      </c>
      <c r="T222" t="s">
        <v>67</v>
      </c>
      <c r="U222" t="s">
        <v>67</v>
      </c>
      <c r="V222" t="s">
        <v>67</v>
      </c>
    </row>
    <row r="223" spans="1:22" hidden="1" x14ac:dyDescent="0.25">
      <c r="A223">
        <v>1998</v>
      </c>
      <c r="B223" t="s">
        <v>22</v>
      </c>
      <c r="C223" t="s">
        <v>64</v>
      </c>
      <c r="D223" t="s">
        <v>64</v>
      </c>
      <c r="E223" t="s">
        <v>65</v>
      </c>
      <c r="F223" t="s">
        <v>71</v>
      </c>
      <c r="G223" t="s">
        <v>23</v>
      </c>
      <c r="H223">
        <v>22</v>
      </c>
      <c r="I223">
        <v>48</v>
      </c>
      <c r="J223">
        <v>20</v>
      </c>
      <c r="K223">
        <v>3</v>
      </c>
      <c r="L223">
        <v>7</v>
      </c>
      <c r="M223" t="s">
        <v>67</v>
      </c>
      <c r="N223" t="s">
        <v>67</v>
      </c>
      <c r="O223" t="s">
        <v>67</v>
      </c>
      <c r="P223" t="s">
        <v>67</v>
      </c>
      <c r="Q223" t="s">
        <v>67</v>
      </c>
      <c r="R223" t="s">
        <v>67</v>
      </c>
      <c r="S223" t="s">
        <v>67</v>
      </c>
      <c r="T223" t="s">
        <v>67</v>
      </c>
      <c r="U223" t="s">
        <v>67</v>
      </c>
      <c r="V223" t="s">
        <v>67</v>
      </c>
    </row>
    <row r="224" spans="1:22" hidden="1" x14ac:dyDescent="0.25">
      <c r="A224">
        <v>1998</v>
      </c>
      <c r="B224" t="s">
        <v>22</v>
      </c>
      <c r="C224" t="s">
        <v>64</v>
      </c>
      <c r="D224" t="s">
        <v>64</v>
      </c>
      <c r="E224" t="s">
        <v>65</v>
      </c>
      <c r="F224" t="s">
        <v>72</v>
      </c>
      <c r="G224" t="s">
        <v>23</v>
      </c>
      <c r="H224">
        <v>22</v>
      </c>
      <c r="I224">
        <v>49</v>
      </c>
      <c r="J224">
        <v>19</v>
      </c>
      <c r="K224">
        <v>3</v>
      </c>
      <c r="L224">
        <v>7</v>
      </c>
      <c r="M224" t="s">
        <v>67</v>
      </c>
      <c r="N224" t="s">
        <v>67</v>
      </c>
      <c r="O224" t="s">
        <v>67</v>
      </c>
      <c r="P224" t="s">
        <v>67</v>
      </c>
      <c r="Q224" t="s">
        <v>67</v>
      </c>
      <c r="R224" t="s">
        <v>67</v>
      </c>
      <c r="S224" t="s">
        <v>67</v>
      </c>
      <c r="T224" t="s">
        <v>67</v>
      </c>
      <c r="U224" t="s">
        <v>67</v>
      </c>
      <c r="V224" t="s">
        <v>67</v>
      </c>
    </row>
    <row r="225" spans="1:22" hidden="1" x14ac:dyDescent="0.25">
      <c r="A225">
        <v>1998</v>
      </c>
      <c r="B225" t="s">
        <v>22</v>
      </c>
      <c r="C225" t="s">
        <v>64</v>
      </c>
      <c r="D225" t="s">
        <v>64</v>
      </c>
      <c r="E225" t="s">
        <v>65</v>
      </c>
      <c r="F225" t="s">
        <v>73</v>
      </c>
      <c r="G225" t="s">
        <v>23</v>
      </c>
      <c r="H225">
        <v>21</v>
      </c>
      <c r="I225">
        <v>48</v>
      </c>
      <c r="J225">
        <v>20</v>
      </c>
      <c r="K225">
        <v>4</v>
      </c>
      <c r="L225">
        <v>7</v>
      </c>
      <c r="M225" t="s">
        <v>67</v>
      </c>
      <c r="N225" t="s">
        <v>67</v>
      </c>
      <c r="O225" t="s">
        <v>67</v>
      </c>
      <c r="P225" t="s">
        <v>67</v>
      </c>
      <c r="Q225" t="s">
        <v>67</v>
      </c>
      <c r="R225" t="s">
        <v>67</v>
      </c>
      <c r="S225" t="s">
        <v>67</v>
      </c>
      <c r="T225" t="s">
        <v>67</v>
      </c>
      <c r="U225" t="s">
        <v>67</v>
      </c>
      <c r="V225" t="s">
        <v>67</v>
      </c>
    </row>
    <row r="226" spans="1:22" hidden="1" x14ac:dyDescent="0.25">
      <c r="A226">
        <v>1998</v>
      </c>
      <c r="B226" t="s">
        <v>22</v>
      </c>
      <c r="C226" t="s">
        <v>64</v>
      </c>
      <c r="D226" t="s">
        <v>64</v>
      </c>
      <c r="E226" t="s">
        <v>65</v>
      </c>
      <c r="F226" t="s">
        <v>74</v>
      </c>
      <c r="G226" t="s">
        <v>23</v>
      </c>
      <c r="H226">
        <v>22</v>
      </c>
      <c r="I226">
        <v>49</v>
      </c>
      <c r="J226">
        <v>19</v>
      </c>
      <c r="K226">
        <v>3</v>
      </c>
      <c r="L226">
        <v>7</v>
      </c>
      <c r="M226" t="s">
        <v>67</v>
      </c>
      <c r="N226" t="s">
        <v>67</v>
      </c>
      <c r="O226" t="s">
        <v>67</v>
      </c>
      <c r="P226" t="s">
        <v>67</v>
      </c>
      <c r="Q226" t="s">
        <v>67</v>
      </c>
      <c r="R226" t="s">
        <v>67</v>
      </c>
      <c r="S226" t="s">
        <v>67</v>
      </c>
      <c r="T226" t="s">
        <v>67</v>
      </c>
      <c r="U226" t="s">
        <v>67</v>
      </c>
      <c r="V226" t="s">
        <v>67</v>
      </c>
    </row>
    <row r="227" spans="1:22" hidden="1" x14ac:dyDescent="0.25">
      <c r="A227">
        <v>1998</v>
      </c>
      <c r="B227" t="s">
        <v>22</v>
      </c>
      <c r="C227" t="s">
        <v>64</v>
      </c>
      <c r="D227" t="s">
        <v>64</v>
      </c>
      <c r="E227" t="s">
        <v>65</v>
      </c>
      <c r="F227" t="s">
        <v>75</v>
      </c>
      <c r="G227" t="s">
        <v>23</v>
      </c>
      <c r="H227">
        <v>22</v>
      </c>
      <c r="I227">
        <v>49</v>
      </c>
      <c r="J227">
        <v>19</v>
      </c>
      <c r="K227">
        <v>3</v>
      </c>
      <c r="L227">
        <v>7</v>
      </c>
      <c r="M227" t="s">
        <v>67</v>
      </c>
      <c r="N227" t="s">
        <v>67</v>
      </c>
      <c r="O227" t="s">
        <v>67</v>
      </c>
      <c r="P227" t="s">
        <v>67</v>
      </c>
      <c r="Q227" t="s">
        <v>67</v>
      </c>
      <c r="R227" t="s">
        <v>67</v>
      </c>
      <c r="S227" t="s">
        <v>67</v>
      </c>
      <c r="T227" t="s">
        <v>67</v>
      </c>
      <c r="U227" t="s">
        <v>67</v>
      </c>
      <c r="V227" t="s">
        <v>67</v>
      </c>
    </row>
    <row r="228" spans="1:22" hidden="1" x14ac:dyDescent="0.25">
      <c r="A228">
        <v>1998</v>
      </c>
      <c r="B228" t="s">
        <v>22</v>
      </c>
      <c r="C228" t="s">
        <v>64</v>
      </c>
      <c r="D228" t="s">
        <v>64</v>
      </c>
      <c r="E228" t="s">
        <v>65</v>
      </c>
      <c r="F228" t="s">
        <v>85</v>
      </c>
      <c r="G228" t="s">
        <v>23</v>
      </c>
      <c r="H228">
        <v>24</v>
      </c>
      <c r="I228">
        <v>47</v>
      </c>
      <c r="J228">
        <v>18</v>
      </c>
      <c r="K228">
        <v>3</v>
      </c>
      <c r="L228">
        <v>8</v>
      </c>
      <c r="M228" t="s">
        <v>67</v>
      </c>
      <c r="N228" t="s">
        <v>67</v>
      </c>
      <c r="O228" t="s">
        <v>67</v>
      </c>
      <c r="P228" t="s">
        <v>67</v>
      </c>
      <c r="Q228" t="s">
        <v>67</v>
      </c>
      <c r="R228" t="s">
        <v>67</v>
      </c>
      <c r="S228" t="s">
        <v>67</v>
      </c>
      <c r="T228" t="s">
        <v>67</v>
      </c>
      <c r="U228" t="s">
        <v>67</v>
      </c>
      <c r="V228" t="s">
        <v>67</v>
      </c>
    </row>
    <row r="229" spans="1:22" hidden="1" x14ac:dyDescent="0.25">
      <c r="A229">
        <v>1998</v>
      </c>
      <c r="B229" t="s">
        <v>22</v>
      </c>
      <c r="C229" t="s">
        <v>64</v>
      </c>
      <c r="D229" t="s">
        <v>64</v>
      </c>
      <c r="E229" t="s">
        <v>65</v>
      </c>
      <c r="F229" t="s">
        <v>77</v>
      </c>
      <c r="G229" t="s">
        <v>23</v>
      </c>
      <c r="H229">
        <v>21</v>
      </c>
      <c r="I229">
        <v>49</v>
      </c>
      <c r="J229">
        <v>19</v>
      </c>
      <c r="K229">
        <v>3</v>
      </c>
      <c r="L229">
        <v>8</v>
      </c>
      <c r="M229" t="s">
        <v>67</v>
      </c>
      <c r="N229" t="s">
        <v>67</v>
      </c>
      <c r="O229" t="s">
        <v>67</v>
      </c>
      <c r="P229" t="s">
        <v>67</v>
      </c>
      <c r="Q229" t="s">
        <v>67</v>
      </c>
      <c r="R229" t="s">
        <v>67</v>
      </c>
      <c r="S229" t="s">
        <v>67</v>
      </c>
      <c r="T229" t="s">
        <v>67</v>
      </c>
      <c r="U229" t="s">
        <v>67</v>
      </c>
      <c r="V229" t="s">
        <v>67</v>
      </c>
    </row>
    <row r="230" spans="1:22" hidden="1" x14ac:dyDescent="0.25">
      <c r="A230">
        <v>1998</v>
      </c>
      <c r="B230" t="s">
        <v>22</v>
      </c>
      <c r="C230" t="s">
        <v>64</v>
      </c>
      <c r="D230" t="s">
        <v>64</v>
      </c>
      <c r="E230" t="s">
        <v>65</v>
      </c>
      <c r="F230" t="s">
        <v>78</v>
      </c>
      <c r="G230" t="s">
        <v>23</v>
      </c>
      <c r="H230">
        <v>24</v>
      </c>
      <c r="I230">
        <v>50</v>
      </c>
      <c r="J230">
        <v>16</v>
      </c>
      <c r="K230">
        <v>3</v>
      </c>
      <c r="L230">
        <v>7</v>
      </c>
      <c r="M230" t="s">
        <v>67</v>
      </c>
      <c r="N230" t="s">
        <v>67</v>
      </c>
      <c r="O230" t="s">
        <v>67</v>
      </c>
      <c r="P230" t="s">
        <v>67</v>
      </c>
      <c r="Q230" t="s">
        <v>67</v>
      </c>
      <c r="R230" t="s">
        <v>67</v>
      </c>
      <c r="S230" t="s">
        <v>67</v>
      </c>
      <c r="T230" t="s">
        <v>67</v>
      </c>
      <c r="U230" t="s">
        <v>67</v>
      </c>
      <c r="V230" t="s">
        <v>67</v>
      </c>
    </row>
    <row r="231" spans="1:22" hidden="1" x14ac:dyDescent="0.25">
      <c r="A231">
        <v>1998</v>
      </c>
      <c r="B231" t="s">
        <v>22</v>
      </c>
      <c r="C231" t="s">
        <v>64</v>
      </c>
      <c r="D231" t="s">
        <v>64</v>
      </c>
      <c r="E231" t="s">
        <v>65</v>
      </c>
      <c r="F231" t="s">
        <v>79</v>
      </c>
      <c r="G231" t="s">
        <v>23</v>
      </c>
      <c r="H231">
        <v>23</v>
      </c>
      <c r="I231">
        <v>51</v>
      </c>
      <c r="J231">
        <v>16</v>
      </c>
      <c r="K231">
        <v>3</v>
      </c>
      <c r="L231">
        <v>7</v>
      </c>
      <c r="M231" t="s">
        <v>67</v>
      </c>
      <c r="N231" t="s">
        <v>67</v>
      </c>
      <c r="O231" t="s">
        <v>67</v>
      </c>
      <c r="P231" t="s">
        <v>67</v>
      </c>
      <c r="Q231" t="s">
        <v>67</v>
      </c>
      <c r="R231" t="s">
        <v>67</v>
      </c>
      <c r="S231" t="s">
        <v>67</v>
      </c>
      <c r="T231" t="s">
        <v>67</v>
      </c>
      <c r="U231" t="s">
        <v>67</v>
      </c>
      <c r="V231" t="s">
        <v>67</v>
      </c>
    </row>
    <row r="232" spans="1:22" hidden="1" x14ac:dyDescent="0.25">
      <c r="A232">
        <v>1998</v>
      </c>
      <c r="B232" t="s">
        <v>22</v>
      </c>
      <c r="C232" t="s">
        <v>64</v>
      </c>
      <c r="D232" t="s">
        <v>64</v>
      </c>
      <c r="E232" t="s">
        <v>65</v>
      </c>
      <c r="F232" t="s">
        <v>80</v>
      </c>
      <c r="G232" t="s">
        <v>23</v>
      </c>
      <c r="H232">
        <v>25</v>
      </c>
      <c r="I232">
        <v>51</v>
      </c>
      <c r="J232">
        <v>15</v>
      </c>
      <c r="K232">
        <v>3</v>
      </c>
      <c r="L232">
        <v>6</v>
      </c>
      <c r="M232" t="s">
        <v>67</v>
      </c>
      <c r="N232" t="s">
        <v>67</v>
      </c>
      <c r="O232" t="s">
        <v>67</v>
      </c>
      <c r="P232" t="s">
        <v>67</v>
      </c>
      <c r="Q232" t="s">
        <v>67</v>
      </c>
      <c r="R232" t="s">
        <v>67</v>
      </c>
      <c r="S232" t="s">
        <v>67</v>
      </c>
      <c r="T232" t="s">
        <v>67</v>
      </c>
      <c r="U232" t="s">
        <v>67</v>
      </c>
      <c r="V232" t="s">
        <v>67</v>
      </c>
    </row>
    <row r="233" spans="1:22" hidden="1" x14ac:dyDescent="0.25">
      <c r="A233">
        <v>1998</v>
      </c>
      <c r="B233" t="s">
        <v>22</v>
      </c>
      <c r="C233" t="s">
        <v>64</v>
      </c>
      <c r="D233" t="s">
        <v>64</v>
      </c>
      <c r="E233" t="s">
        <v>65</v>
      </c>
      <c r="F233" t="s">
        <v>81</v>
      </c>
      <c r="G233" t="s">
        <v>23</v>
      </c>
      <c r="H233">
        <v>23</v>
      </c>
      <c r="I233">
        <v>55</v>
      </c>
      <c r="J233">
        <v>15</v>
      </c>
      <c r="K233">
        <v>2</v>
      </c>
      <c r="L233">
        <v>5</v>
      </c>
      <c r="M233" t="s">
        <v>67</v>
      </c>
      <c r="N233" t="s">
        <v>67</v>
      </c>
      <c r="O233" t="s">
        <v>67</v>
      </c>
      <c r="P233" t="s">
        <v>67</v>
      </c>
      <c r="Q233" t="s">
        <v>67</v>
      </c>
      <c r="R233" t="s">
        <v>67</v>
      </c>
      <c r="S233" t="s">
        <v>67</v>
      </c>
      <c r="T233" t="s">
        <v>67</v>
      </c>
      <c r="U233" t="s">
        <v>67</v>
      </c>
      <c r="V233" t="s">
        <v>67</v>
      </c>
    </row>
    <row r="234" spans="1:22" hidden="1" x14ac:dyDescent="0.25">
      <c r="A234">
        <v>1998</v>
      </c>
      <c r="B234" t="s">
        <v>22</v>
      </c>
      <c r="C234" t="s">
        <v>64</v>
      </c>
      <c r="D234" t="s">
        <v>64</v>
      </c>
      <c r="E234" t="s">
        <v>65</v>
      </c>
      <c r="F234" t="s">
        <v>82</v>
      </c>
      <c r="G234" t="s">
        <v>23</v>
      </c>
      <c r="H234">
        <v>21</v>
      </c>
      <c r="I234">
        <v>57</v>
      </c>
      <c r="J234">
        <v>17</v>
      </c>
      <c r="K234">
        <v>1</v>
      </c>
      <c r="L234">
        <v>4</v>
      </c>
      <c r="M234" t="s">
        <v>67</v>
      </c>
      <c r="N234" t="s">
        <v>67</v>
      </c>
      <c r="O234" t="s">
        <v>67</v>
      </c>
      <c r="P234" t="s">
        <v>67</v>
      </c>
      <c r="Q234" t="s">
        <v>67</v>
      </c>
      <c r="R234" t="s">
        <v>67</v>
      </c>
      <c r="S234" t="s">
        <v>67</v>
      </c>
      <c r="T234" t="s">
        <v>67</v>
      </c>
      <c r="U234" t="s">
        <v>67</v>
      </c>
      <c r="V234" t="s">
        <v>67</v>
      </c>
    </row>
    <row r="235" spans="1:22" hidden="1" x14ac:dyDescent="0.25">
      <c r="A235">
        <v>1998</v>
      </c>
      <c r="B235" t="s">
        <v>22</v>
      </c>
      <c r="C235" t="s">
        <v>64</v>
      </c>
      <c r="D235" t="s">
        <v>64</v>
      </c>
      <c r="E235" t="s">
        <v>65</v>
      </c>
      <c r="F235" t="s">
        <v>83</v>
      </c>
      <c r="G235" t="s">
        <v>23</v>
      </c>
      <c r="H235">
        <v>20</v>
      </c>
      <c r="I235">
        <v>57</v>
      </c>
      <c r="J235">
        <v>19</v>
      </c>
      <c r="K235">
        <v>1</v>
      </c>
      <c r="L235">
        <v>3</v>
      </c>
      <c r="M235" t="s">
        <v>67</v>
      </c>
      <c r="N235" t="s">
        <v>67</v>
      </c>
      <c r="O235" t="s">
        <v>67</v>
      </c>
      <c r="P235" t="s">
        <v>67</v>
      </c>
      <c r="Q235" t="s">
        <v>67</v>
      </c>
      <c r="R235" t="s">
        <v>67</v>
      </c>
      <c r="S235" t="s">
        <v>67</v>
      </c>
      <c r="T235" t="s">
        <v>67</v>
      </c>
      <c r="U235" t="s">
        <v>67</v>
      </c>
      <c r="V235" t="s">
        <v>67</v>
      </c>
    </row>
    <row r="236" spans="1:22" hidden="1" x14ac:dyDescent="0.25">
      <c r="A236">
        <v>1998</v>
      </c>
      <c r="B236" t="s">
        <v>22</v>
      </c>
      <c r="C236" t="s">
        <v>64</v>
      </c>
      <c r="D236" t="s">
        <v>64</v>
      </c>
      <c r="E236" t="s">
        <v>65</v>
      </c>
      <c r="F236" t="s">
        <v>68</v>
      </c>
      <c r="G236" t="s">
        <v>23</v>
      </c>
      <c r="H236">
        <v>22</v>
      </c>
      <c r="I236">
        <v>50</v>
      </c>
      <c r="J236">
        <v>18</v>
      </c>
      <c r="K236">
        <v>3</v>
      </c>
      <c r="L236">
        <v>7</v>
      </c>
      <c r="M236" t="s">
        <v>67</v>
      </c>
      <c r="N236" t="s">
        <v>67</v>
      </c>
      <c r="O236" t="s">
        <v>67</v>
      </c>
      <c r="P236" t="s">
        <v>67</v>
      </c>
      <c r="Q236" t="s">
        <v>67</v>
      </c>
      <c r="R236" t="s">
        <v>67</v>
      </c>
      <c r="S236" t="s">
        <v>67</v>
      </c>
      <c r="T236" t="s">
        <v>67</v>
      </c>
      <c r="U236" t="s">
        <v>67</v>
      </c>
      <c r="V236" t="s">
        <v>67</v>
      </c>
    </row>
    <row r="237" spans="1:22" x14ac:dyDescent="0.25">
      <c r="A237">
        <v>1999</v>
      </c>
      <c r="B237" t="s">
        <v>22</v>
      </c>
      <c r="C237" t="s">
        <v>64</v>
      </c>
      <c r="D237" t="s">
        <v>64</v>
      </c>
      <c r="E237" t="s">
        <v>65</v>
      </c>
      <c r="F237" t="s">
        <v>66</v>
      </c>
      <c r="G237" t="s">
        <v>23</v>
      </c>
      <c r="H237">
        <v>27</v>
      </c>
      <c r="I237">
        <v>45</v>
      </c>
      <c r="J237">
        <v>15</v>
      </c>
      <c r="K237">
        <v>4</v>
      </c>
      <c r="L237">
        <v>9</v>
      </c>
      <c r="M237">
        <f>J237+I237</f>
        <v>60</v>
      </c>
      <c r="N237">
        <v>4.5506974794076172E-3</v>
      </c>
      <c r="O237" t="s">
        <v>67</v>
      </c>
      <c r="P237" t="s">
        <v>67</v>
      </c>
      <c r="Q237" t="s">
        <v>67</v>
      </c>
      <c r="R237" t="s">
        <v>67</v>
      </c>
      <c r="S237" t="s">
        <v>67</v>
      </c>
      <c r="T237" t="s">
        <v>67</v>
      </c>
      <c r="U237" t="s">
        <v>67</v>
      </c>
      <c r="V237" t="s">
        <v>67</v>
      </c>
    </row>
    <row r="238" spans="1:22" hidden="1" x14ac:dyDescent="0.25">
      <c r="A238">
        <v>1999</v>
      </c>
      <c r="B238" t="s">
        <v>22</v>
      </c>
      <c r="C238" t="s">
        <v>64</v>
      </c>
      <c r="D238" t="s">
        <v>64</v>
      </c>
      <c r="E238" t="s">
        <v>65</v>
      </c>
      <c r="F238" t="s">
        <v>68</v>
      </c>
      <c r="G238" t="s">
        <v>23</v>
      </c>
      <c r="H238">
        <v>28</v>
      </c>
      <c r="I238">
        <v>44</v>
      </c>
      <c r="J238">
        <v>14</v>
      </c>
      <c r="K238">
        <v>5</v>
      </c>
      <c r="L238">
        <v>9</v>
      </c>
      <c r="M238" t="s">
        <v>67</v>
      </c>
      <c r="N238" t="s">
        <v>67</v>
      </c>
      <c r="O238" t="s">
        <v>67</v>
      </c>
      <c r="P238" t="s">
        <v>67</v>
      </c>
      <c r="Q238" t="s">
        <v>67</v>
      </c>
      <c r="R238" t="s">
        <v>67</v>
      </c>
      <c r="S238" t="s">
        <v>67</v>
      </c>
      <c r="T238" t="s">
        <v>67</v>
      </c>
      <c r="U238" t="s">
        <v>67</v>
      </c>
      <c r="V238" t="s">
        <v>67</v>
      </c>
    </row>
    <row r="239" spans="1:22" hidden="1" x14ac:dyDescent="0.25">
      <c r="A239">
        <v>1999</v>
      </c>
      <c r="B239" t="s">
        <v>22</v>
      </c>
      <c r="C239" t="s">
        <v>64</v>
      </c>
      <c r="D239" t="s">
        <v>64</v>
      </c>
      <c r="E239" t="s">
        <v>65</v>
      </c>
      <c r="F239" t="s">
        <v>85</v>
      </c>
      <c r="G239" t="s">
        <v>23</v>
      </c>
      <c r="H239">
        <v>27</v>
      </c>
      <c r="I239">
        <v>45</v>
      </c>
      <c r="J239">
        <v>13</v>
      </c>
      <c r="K239">
        <v>5</v>
      </c>
      <c r="L239">
        <v>10</v>
      </c>
      <c r="M239" t="s">
        <v>67</v>
      </c>
      <c r="N239" t="s">
        <v>67</v>
      </c>
      <c r="O239" t="s">
        <v>67</v>
      </c>
      <c r="P239" t="s">
        <v>67</v>
      </c>
      <c r="Q239" t="s">
        <v>67</v>
      </c>
      <c r="R239" t="s">
        <v>67</v>
      </c>
      <c r="S239" t="s">
        <v>67</v>
      </c>
      <c r="T239" t="s">
        <v>67</v>
      </c>
      <c r="U239" t="s">
        <v>67</v>
      </c>
      <c r="V239" t="s">
        <v>67</v>
      </c>
    </row>
    <row r="240" spans="1:22" hidden="1" x14ac:dyDescent="0.25">
      <c r="A240">
        <v>1999</v>
      </c>
      <c r="B240" t="s">
        <v>22</v>
      </c>
      <c r="C240" t="s">
        <v>64</v>
      </c>
      <c r="D240" t="s">
        <v>64</v>
      </c>
      <c r="E240" t="s">
        <v>65</v>
      </c>
      <c r="F240" t="s">
        <v>69</v>
      </c>
      <c r="G240" t="s">
        <v>23</v>
      </c>
      <c r="H240">
        <v>27</v>
      </c>
      <c r="I240">
        <v>44</v>
      </c>
      <c r="J240">
        <v>14</v>
      </c>
      <c r="K240">
        <v>5</v>
      </c>
      <c r="L240">
        <v>10</v>
      </c>
      <c r="M240" t="s">
        <v>67</v>
      </c>
      <c r="N240" t="s">
        <v>67</v>
      </c>
      <c r="O240" t="s">
        <v>67</v>
      </c>
      <c r="P240" t="s">
        <v>67</v>
      </c>
      <c r="Q240" t="s">
        <v>67</v>
      </c>
      <c r="R240" t="s">
        <v>67</v>
      </c>
      <c r="S240" t="s">
        <v>67</v>
      </c>
      <c r="T240" t="s">
        <v>67</v>
      </c>
      <c r="U240" t="s">
        <v>67</v>
      </c>
      <c r="V240" t="s">
        <v>67</v>
      </c>
    </row>
    <row r="241" spans="1:22" hidden="1" x14ac:dyDescent="0.25">
      <c r="A241">
        <v>1999</v>
      </c>
      <c r="B241" t="s">
        <v>22</v>
      </c>
      <c r="C241" t="s">
        <v>64</v>
      </c>
      <c r="D241" t="s">
        <v>64</v>
      </c>
      <c r="E241" t="s">
        <v>65</v>
      </c>
      <c r="F241" t="s">
        <v>70</v>
      </c>
      <c r="G241" t="s">
        <v>23</v>
      </c>
      <c r="H241">
        <v>26</v>
      </c>
      <c r="I241">
        <v>43</v>
      </c>
      <c r="J241">
        <v>16</v>
      </c>
      <c r="K241">
        <v>5</v>
      </c>
      <c r="L241">
        <v>10</v>
      </c>
      <c r="M241" t="s">
        <v>67</v>
      </c>
      <c r="N241" t="s">
        <v>67</v>
      </c>
      <c r="O241" t="s">
        <v>67</v>
      </c>
      <c r="P241" t="s">
        <v>67</v>
      </c>
      <c r="Q241" t="s">
        <v>67</v>
      </c>
      <c r="R241" t="s">
        <v>67</v>
      </c>
      <c r="S241" t="s">
        <v>67</v>
      </c>
      <c r="T241" t="s">
        <v>67</v>
      </c>
      <c r="U241" t="s">
        <v>67</v>
      </c>
      <c r="V241" t="s">
        <v>67</v>
      </c>
    </row>
    <row r="242" spans="1:22" hidden="1" x14ac:dyDescent="0.25">
      <c r="A242">
        <v>1999</v>
      </c>
      <c r="B242" t="s">
        <v>22</v>
      </c>
      <c r="C242" t="s">
        <v>64</v>
      </c>
      <c r="D242" t="s">
        <v>64</v>
      </c>
      <c r="E242" t="s">
        <v>65</v>
      </c>
      <c r="F242" t="s">
        <v>71</v>
      </c>
      <c r="G242" t="s">
        <v>23</v>
      </c>
      <c r="H242">
        <v>29</v>
      </c>
      <c r="I242">
        <v>43</v>
      </c>
      <c r="J242">
        <v>14</v>
      </c>
      <c r="K242">
        <v>4</v>
      </c>
      <c r="L242">
        <v>10</v>
      </c>
      <c r="M242" t="s">
        <v>67</v>
      </c>
      <c r="N242" t="s">
        <v>67</v>
      </c>
      <c r="O242" t="s">
        <v>67</v>
      </c>
      <c r="P242" t="s">
        <v>67</v>
      </c>
      <c r="Q242" t="s">
        <v>67</v>
      </c>
      <c r="R242" t="s">
        <v>67</v>
      </c>
      <c r="S242" t="s">
        <v>67</v>
      </c>
      <c r="T242" t="s">
        <v>67</v>
      </c>
      <c r="U242" t="s">
        <v>67</v>
      </c>
      <c r="V242" t="s">
        <v>67</v>
      </c>
    </row>
    <row r="243" spans="1:22" hidden="1" x14ac:dyDescent="0.25">
      <c r="A243">
        <v>1999</v>
      </c>
      <c r="B243" t="s">
        <v>22</v>
      </c>
      <c r="C243" t="s">
        <v>64</v>
      </c>
      <c r="D243" t="s">
        <v>64</v>
      </c>
      <c r="E243" t="s">
        <v>65</v>
      </c>
      <c r="F243" t="s">
        <v>72</v>
      </c>
      <c r="G243" t="s">
        <v>23</v>
      </c>
      <c r="H243">
        <v>28</v>
      </c>
      <c r="I243">
        <v>43</v>
      </c>
      <c r="J243">
        <v>15</v>
      </c>
      <c r="K243">
        <v>4</v>
      </c>
      <c r="L243">
        <v>10</v>
      </c>
      <c r="M243" t="s">
        <v>67</v>
      </c>
      <c r="N243" t="s">
        <v>67</v>
      </c>
      <c r="O243" t="s">
        <v>67</v>
      </c>
      <c r="P243" t="s">
        <v>67</v>
      </c>
      <c r="Q243" t="s">
        <v>67</v>
      </c>
      <c r="R243" t="s">
        <v>67</v>
      </c>
      <c r="S243" t="s">
        <v>67</v>
      </c>
      <c r="T243" t="s">
        <v>67</v>
      </c>
      <c r="U243" t="s">
        <v>67</v>
      </c>
      <c r="V243" t="s">
        <v>67</v>
      </c>
    </row>
    <row r="244" spans="1:22" hidden="1" x14ac:dyDescent="0.25">
      <c r="A244">
        <v>1999</v>
      </c>
      <c r="B244" t="s">
        <v>22</v>
      </c>
      <c r="C244" t="s">
        <v>64</v>
      </c>
      <c r="D244" t="s">
        <v>64</v>
      </c>
      <c r="E244" t="s">
        <v>65</v>
      </c>
      <c r="F244" t="s">
        <v>73</v>
      </c>
      <c r="G244" t="s">
        <v>23</v>
      </c>
      <c r="H244">
        <v>27</v>
      </c>
      <c r="I244">
        <v>43</v>
      </c>
      <c r="J244">
        <v>15</v>
      </c>
      <c r="K244">
        <v>5</v>
      </c>
      <c r="L244">
        <v>10</v>
      </c>
      <c r="M244" t="s">
        <v>67</v>
      </c>
      <c r="N244" t="s">
        <v>67</v>
      </c>
      <c r="O244" t="s">
        <v>67</v>
      </c>
      <c r="P244" t="s">
        <v>67</v>
      </c>
      <c r="Q244" t="s">
        <v>67</v>
      </c>
      <c r="R244" t="s">
        <v>67</v>
      </c>
      <c r="S244" t="s">
        <v>67</v>
      </c>
      <c r="T244" t="s">
        <v>67</v>
      </c>
      <c r="U244" t="s">
        <v>67</v>
      </c>
      <c r="V244" t="s">
        <v>67</v>
      </c>
    </row>
    <row r="245" spans="1:22" hidden="1" x14ac:dyDescent="0.25">
      <c r="A245">
        <v>1999</v>
      </c>
      <c r="B245" t="s">
        <v>22</v>
      </c>
      <c r="C245" t="s">
        <v>64</v>
      </c>
      <c r="D245" t="s">
        <v>64</v>
      </c>
      <c r="E245" t="s">
        <v>65</v>
      </c>
      <c r="F245" t="s">
        <v>74</v>
      </c>
      <c r="G245" t="s">
        <v>23</v>
      </c>
      <c r="H245">
        <v>26</v>
      </c>
      <c r="I245">
        <v>44</v>
      </c>
      <c r="J245">
        <v>16</v>
      </c>
      <c r="K245">
        <v>4</v>
      </c>
      <c r="L245">
        <v>10</v>
      </c>
      <c r="M245" t="s">
        <v>67</v>
      </c>
      <c r="N245" t="s">
        <v>67</v>
      </c>
      <c r="O245" t="s">
        <v>67</v>
      </c>
      <c r="P245" t="s">
        <v>67</v>
      </c>
      <c r="Q245" t="s">
        <v>67</v>
      </c>
      <c r="R245" t="s">
        <v>67</v>
      </c>
      <c r="S245" t="s">
        <v>67</v>
      </c>
      <c r="T245" t="s">
        <v>67</v>
      </c>
      <c r="U245" t="s">
        <v>67</v>
      </c>
      <c r="V245" t="s">
        <v>67</v>
      </c>
    </row>
    <row r="246" spans="1:22" hidden="1" x14ac:dyDescent="0.25">
      <c r="A246">
        <v>1999</v>
      </c>
      <c r="B246" t="s">
        <v>22</v>
      </c>
      <c r="C246" t="s">
        <v>64</v>
      </c>
      <c r="D246" t="s">
        <v>64</v>
      </c>
      <c r="E246" t="s">
        <v>65</v>
      </c>
      <c r="F246" t="s">
        <v>75</v>
      </c>
      <c r="G246" t="s">
        <v>23</v>
      </c>
      <c r="H246">
        <v>25</v>
      </c>
      <c r="I246">
        <v>46</v>
      </c>
      <c r="J246">
        <v>17</v>
      </c>
      <c r="K246">
        <v>3</v>
      </c>
      <c r="L246">
        <v>9</v>
      </c>
      <c r="M246" t="s">
        <v>67</v>
      </c>
      <c r="N246" t="s">
        <v>67</v>
      </c>
      <c r="O246" t="s">
        <v>67</v>
      </c>
      <c r="P246" t="s">
        <v>67</v>
      </c>
      <c r="Q246" t="s">
        <v>67</v>
      </c>
      <c r="R246" t="s">
        <v>67</v>
      </c>
      <c r="S246" t="s">
        <v>67</v>
      </c>
      <c r="T246" t="s">
        <v>67</v>
      </c>
      <c r="U246" t="s">
        <v>67</v>
      </c>
      <c r="V246" t="s">
        <v>67</v>
      </c>
    </row>
    <row r="247" spans="1:22" hidden="1" x14ac:dyDescent="0.25">
      <c r="A247">
        <v>1999</v>
      </c>
      <c r="B247" t="s">
        <v>22</v>
      </c>
      <c r="C247" t="s">
        <v>64</v>
      </c>
      <c r="D247" t="s">
        <v>64</v>
      </c>
      <c r="E247" t="s">
        <v>65</v>
      </c>
      <c r="F247" t="s">
        <v>76</v>
      </c>
      <c r="G247" t="s">
        <v>23</v>
      </c>
      <c r="H247">
        <v>21</v>
      </c>
      <c r="I247">
        <v>50</v>
      </c>
      <c r="J247">
        <v>20</v>
      </c>
      <c r="K247">
        <v>2</v>
      </c>
      <c r="L247">
        <v>7</v>
      </c>
      <c r="M247" t="s">
        <v>67</v>
      </c>
      <c r="N247" t="s">
        <v>67</v>
      </c>
      <c r="O247" t="s">
        <v>67</v>
      </c>
      <c r="P247" t="s">
        <v>67</v>
      </c>
      <c r="Q247" t="s">
        <v>67</v>
      </c>
      <c r="R247" t="s">
        <v>67</v>
      </c>
      <c r="S247" t="s">
        <v>67</v>
      </c>
      <c r="T247" t="s">
        <v>67</v>
      </c>
      <c r="U247" t="s">
        <v>67</v>
      </c>
      <c r="V247" t="s">
        <v>67</v>
      </c>
    </row>
    <row r="248" spans="1:22" hidden="1" x14ac:dyDescent="0.25">
      <c r="A248">
        <v>1999</v>
      </c>
      <c r="B248" t="s">
        <v>22</v>
      </c>
      <c r="C248" t="s">
        <v>64</v>
      </c>
      <c r="D248" t="s">
        <v>64</v>
      </c>
      <c r="E248" t="s">
        <v>65</v>
      </c>
      <c r="F248" t="s">
        <v>77</v>
      </c>
      <c r="G248" t="s">
        <v>23</v>
      </c>
      <c r="H248">
        <v>20</v>
      </c>
      <c r="I248">
        <v>51</v>
      </c>
      <c r="J248">
        <v>21</v>
      </c>
      <c r="K248">
        <v>2</v>
      </c>
      <c r="L248">
        <v>6</v>
      </c>
      <c r="M248" t="s">
        <v>67</v>
      </c>
      <c r="N248" t="s">
        <v>67</v>
      </c>
      <c r="O248" t="s">
        <v>67</v>
      </c>
      <c r="P248" t="s">
        <v>67</v>
      </c>
      <c r="Q248" t="s">
        <v>67</v>
      </c>
      <c r="R248" t="s">
        <v>67</v>
      </c>
      <c r="S248" t="s">
        <v>67</v>
      </c>
      <c r="T248" t="s">
        <v>67</v>
      </c>
      <c r="U248" t="s">
        <v>67</v>
      </c>
      <c r="V248" t="s">
        <v>67</v>
      </c>
    </row>
    <row r="249" spans="1:22" hidden="1" x14ac:dyDescent="0.25">
      <c r="A249">
        <v>1999</v>
      </c>
      <c r="B249" t="s">
        <v>22</v>
      </c>
      <c r="C249" t="s">
        <v>64</v>
      </c>
      <c r="D249" t="s">
        <v>64</v>
      </c>
      <c r="E249" t="s">
        <v>65</v>
      </c>
      <c r="F249" t="s">
        <v>78</v>
      </c>
      <c r="G249" t="s">
        <v>23</v>
      </c>
      <c r="H249">
        <v>17</v>
      </c>
      <c r="I249">
        <v>54</v>
      </c>
      <c r="J249">
        <v>24</v>
      </c>
      <c r="K249">
        <v>1</v>
      </c>
      <c r="L249">
        <v>4</v>
      </c>
      <c r="M249" t="s">
        <v>67</v>
      </c>
      <c r="N249" t="s">
        <v>67</v>
      </c>
      <c r="O249" t="s">
        <v>67</v>
      </c>
      <c r="P249" t="s">
        <v>67</v>
      </c>
      <c r="Q249" t="s">
        <v>67</v>
      </c>
      <c r="R249" t="s">
        <v>67</v>
      </c>
      <c r="S249" t="s">
        <v>67</v>
      </c>
      <c r="T249" t="s">
        <v>67</v>
      </c>
      <c r="U249" t="s">
        <v>67</v>
      </c>
      <c r="V249" t="s">
        <v>67</v>
      </c>
    </row>
    <row r="250" spans="1:22" hidden="1" x14ac:dyDescent="0.25">
      <c r="A250">
        <v>1999</v>
      </c>
      <c r="B250" t="s">
        <v>22</v>
      </c>
      <c r="C250" t="s">
        <v>64</v>
      </c>
      <c r="D250" t="s">
        <v>64</v>
      </c>
      <c r="E250" t="s">
        <v>65</v>
      </c>
      <c r="F250" t="s">
        <v>79</v>
      </c>
      <c r="G250" t="s">
        <v>23</v>
      </c>
      <c r="H250">
        <v>18</v>
      </c>
      <c r="I250">
        <v>53</v>
      </c>
      <c r="J250">
        <v>24</v>
      </c>
      <c r="K250">
        <v>1</v>
      </c>
      <c r="L250">
        <v>4</v>
      </c>
      <c r="M250" t="s">
        <v>67</v>
      </c>
      <c r="N250" t="s">
        <v>67</v>
      </c>
      <c r="O250" t="s">
        <v>67</v>
      </c>
      <c r="P250" t="s">
        <v>67</v>
      </c>
      <c r="Q250" t="s">
        <v>67</v>
      </c>
      <c r="R250" t="s">
        <v>67</v>
      </c>
      <c r="S250" t="s">
        <v>67</v>
      </c>
      <c r="T250" t="s">
        <v>67</v>
      </c>
      <c r="U250" t="s">
        <v>67</v>
      </c>
      <c r="V250" t="s">
        <v>67</v>
      </c>
    </row>
    <row r="251" spans="1:22" hidden="1" x14ac:dyDescent="0.25">
      <c r="A251">
        <v>1999</v>
      </c>
      <c r="B251" t="s">
        <v>22</v>
      </c>
      <c r="C251" t="s">
        <v>64</v>
      </c>
      <c r="D251" t="s">
        <v>64</v>
      </c>
      <c r="E251" t="s">
        <v>65</v>
      </c>
      <c r="F251" t="s">
        <v>80</v>
      </c>
      <c r="G251" t="s">
        <v>23</v>
      </c>
      <c r="H251">
        <v>19</v>
      </c>
      <c r="I251">
        <v>55</v>
      </c>
      <c r="J251">
        <v>22</v>
      </c>
      <c r="K251">
        <v>1</v>
      </c>
      <c r="L251">
        <v>3</v>
      </c>
      <c r="M251" t="s">
        <v>67</v>
      </c>
      <c r="N251" t="s">
        <v>67</v>
      </c>
      <c r="O251" t="s">
        <v>67</v>
      </c>
      <c r="P251" t="s">
        <v>67</v>
      </c>
      <c r="Q251" t="s">
        <v>67</v>
      </c>
      <c r="R251" t="s">
        <v>67</v>
      </c>
      <c r="S251" t="s">
        <v>67</v>
      </c>
      <c r="T251" t="s">
        <v>67</v>
      </c>
      <c r="U251" t="s">
        <v>67</v>
      </c>
      <c r="V251" t="s">
        <v>67</v>
      </c>
    </row>
    <row r="252" spans="1:22" hidden="1" x14ac:dyDescent="0.25">
      <c r="A252">
        <v>1999</v>
      </c>
      <c r="B252" t="s">
        <v>22</v>
      </c>
      <c r="C252" t="s">
        <v>64</v>
      </c>
      <c r="D252" t="s">
        <v>64</v>
      </c>
      <c r="E252" t="s">
        <v>65</v>
      </c>
      <c r="F252" t="s">
        <v>81</v>
      </c>
      <c r="G252" t="s">
        <v>23</v>
      </c>
      <c r="H252">
        <v>20</v>
      </c>
      <c r="I252">
        <v>55</v>
      </c>
      <c r="J252">
        <v>20</v>
      </c>
      <c r="K252">
        <v>1</v>
      </c>
      <c r="L252">
        <v>4</v>
      </c>
      <c r="M252" t="s">
        <v>67</v>
      </c>
      <c r="N252" t="s">
        <v>67</v>
      </c>
      <c r="O252" t="s">
        <v>67</v>
      </c>
      <c r="P252" t="s">
        <v>67</v>
      </c>
      <c r="Q252" t="s">
        <v>67</v>
      </c>
      <c r="R252" t="s">
        <v>67</v>
      </c>
      <c r="S252" t="s">
        <v>67</v>
      </c>
      <c r="T252" t="s">
        <v>67</v>
      </c>
      <c r="U252" t="s">
        <v>67</v>
      </c>
      <c r="V252" t="s">
        <v>67</v>
      </c>
    </row>
    <row r="253" spans="1:22" hidden="1" x14ac:dyDescent="0.25">
      <c r="A253">
        <v>1999</v>
      </c>
      <c r="B253" t="s">
        <v>22</v>
      </c>
      <c r="C253" t="s">
        <v>64</v>
      </c>
      <c r="D253" t="s">
        <v>64</v>
      </c>
      <c r="E253" t="s">
        <v>65</v>
      </c>
      <c r="F253" t="s">
        <v>82</v>
      </c>
      <c r="G253" t="s">
        <v>23</v>
      </c>
      <c r="H253">
        <v>20</v>
      </c>
      <c r="I253">
        <v>56</v>
      </c>
      <c r="J253">
        <v>19</v>
      </c>
      <c r="K253">
        <v>1</v>
      </c>
      <c r="L253">
        <v>4</v>
      </c>
      <c r="M253" t="s">
        <v>67</v>
      </c>
      <c r="N253" t="s">
        <v>67</v>
      </c>
      <c r="O253" t="s">
        <v>67</v>
      </c>
      <c r="P253" t="s">
        <v>67</v>
      </c>
      <c r="Q253" t="s">
        <v>67</v>
      </c>
      <c r="R253" t="s">
        <v>67</v>
      </c>
      <c r="S253" t="s">
        <v>67</v>
      </c>
      <c r="T253" t="s">
        <v>67</v>
      </c>
      <c r="U253" t="s">
        <v>67</v>
      </c>
      <c r="V253" t="s">
        <v>67</v>
      </c>
    </row>
    <row r="254" spans="1:22" hidden="1" x14ac:dyDescent="0.25">
      <c r="A254">
        <v>1999</v>
      </c>
      <c r="B254" t="s">
        <v>22</v>
      </c>
      <c r="C254" t="s">
        <v>64</v>
      </c>
      <c r="D254" t="s">
        <v>64</v>
      </c>
      <c r="E254" t="s">
        <v>65</v>
      </c>
      <c r="F254" t="s">
        <v>83</v>
      </c>
      <c r="G254" t="s">
        <v>23</v>
      </c>
      <c r="H254">
        <v>20</v>
      </c>
      <c r="I254">
        <v>57</v>
      </c>
      <c r="J254">
        <v>19</v>
      </c>
      <c r="K254">
        <v>1</v>
      </c>
      <c r="L254">
        <v>3</v>
      </c>
      <c r="M254" t="s">
        <v>67</v>
      </c>
      <c r="N254" t="s">
        <v>67</v>
      </c>
      <c r="O254" t="s">
        <v>67</v>
      </c>
      <c r="P254" t="s">
        <v>67</v>
      </c>
      <c r="Q254" t="s">
        <v>67</v>
      </c>
      <c r="R254" t="s">
        <v>67</v>
      </c>
      <c r="S254" t="s">
        <v>67</v>
      </c>
      <c r="T254" t="s">
        <v>67</v>
      </c>
      <c r="U254" t="s">
        <v>67</v>
      </c>
      <c r="V254" t="s">
        <v>67</v>
      </c>
    </row>
    <row r="255" spans="1:22" hidden="1" x14ac:dyDescent="0.25">
      <c r="A255">
        <v>1999</v>
      </c>
      <c r="B255" t="s">
        <v>22</v>
      </c>
      <c r="C255" t="s">
        <v>64</v>
      </c>
      <c r="D255" t="s">
        <v>64</v>
      </c>
      <c r="E255" t="s">
        <v>65</v>
      </c>
      <c r="F255" t="s">
        <v>84</v>
      </c>
      <c r="G255" t="s">
        <v>23</v>
      </c>
      <c r="H255">
        <v>21</v>
      </c>
      <c r="I255">
        <v>58</v>
      </c>
      <c r="J255">
        <v>17</v>
      </c>
      <c r="K255">
        <v>1</v>
      </c>
      <c r="L255">
        <v>3</v>
      </c>
      <c r="M255" t="s">
        <v>67</v>
      </c>
      <c r="N255" t="s">
        <v>67</v>
      </c>
      <c r="O255" t="s">
        <v>67</v>
      </c>
      <c r="P255" t="s">
        <v>67</v>
      </c>
      <c r="Q255" t="s">
        <v>67</v>
      </c>
      <c r="R255" t="s">
        <v>67</v>
      </c>
      <c r="S255" t="s">
        <v>67</v>
      </c>
      <c r="T255" t="s">
        <v>67</v>
      </c>
      <c r="U255" t="s">
        <v>67</v>
      </c>
      <c r="V255" t="s">
        <v>67</v>
      </c>
    </row>
    <row r="256" spans="1:22" hidden="1" x14ac:dyDescent="0.25">
      <c r="A256">
        <v>2000</v>
      </c>
      <c r="B256" t="s">
        <v>22</v>
      </c>
      <c r="C256" t="s">
        <v>64</v>
      </c>
      <c r="D256" t="s">
        <v>64</v>
      </c>
      <c r="E256" t="s">
        <v>65</v>
      </c>
      <c r="F256" t="s">
        <v>76</v>
      </c>
      <c r="G256" t="s">
        <v>23</v>
      </c>
      <c r="H256">
        <v>18</v>
      </c>
      <c r="I256">
        <v>50</v>
      </c>
      <c r="J256">
        <v>25</v>
      </c>
      <c r="K256">
        <v>2</v>
      </c>
      <c r="L256">
        <v>5</v>
      </c>
      <c r="M256" t="s">
        <v>67</v>
      </c>
      <c r="N256" t="s">
        <v>67</v>
      </c>
      <c r="O256" t="s">
        <v>67</v>
      </c>
      <c r="P256" t="s">
        <v>67</v>
      </c>
      <c r="Q256" t="s">
        <v>67</v>
      </c>
      <c r="R256" t="s">
        <v>67</v>
      </c>
      <c r="S256" t="s">
        <v>67</v>
      </c>
      <c r="T256" t="s">
        <v>67</v>
      </c>
      <c r="U256" t="s">
        <v>67</v>
      </c>
      <c r="V256" t="s">
        <v>67</v>
      </c>
    </row>
    <row r="257" spans="1:22" x14ac:dyDescent="0.25">
      <c r="A257">
        <v>2000</v>
      </c>
      <c r="B257" t="s">
        <v>22</v>
      </c>
      <c r="C257" t="s">
        <v>64</v>
      </c>
      <c r="D257" t="s">
        <v>64</v>
      </c>
      <c r="E257" t="s">
        <v>65</v>
      </c>
      <c r="F257" t="s">
        <v>66</v>
      </c>
      <c r="G257" t="s">
        <v>23</v>
      </c>
      <c r="H257">
        <v>25</v>
      </c>
      <c r="I257">
        <v>46</v>
      </c>
      <c r="J257">
        <v>17</v>
      </c>
      <c r="K257">
        <v>4</v>
      </c>
      <c r="L257">
        <v>8</v>
      </c>
      <c r="M257">
        <f>J257+I257</f>
        <v>63</v>
      </c>
      <c r="N257">
        <v>1.3235487328251416E-2</v>
      </c>
      <c r="O257" t="s">
        <v>67</v>
      </c>
      <c r="P257" t="s">
        <v>67</v>
      </c>
      <c r="Q257" t="s">
        <v>67</v>
      </c>
      <c r="R257" t="s">
        <v>67</v>
      </c>
      <c r="S257" t="s">
        <v>67</v>
      </c>
      <c r="T257" t="s">
        <v>67</v>
      </c>
      <c r="U257" t="s">
        <v>67</v>
      </c>
      <c r="V257" t="s">
        <v>67</v>
      </c>
    </row>
    <row r="258" spans="1:22" hidden="1" x14ac:dyDescent="0.25">
      <c r="A258">
        <v>2000</v>
      </c>
      <c r="B258" t="s">
        <v>22</v>
      </c>
      <c r="C258" t="s">
        <v>64</v>
      </c>
      <c r="D258" t="s">
        <v>64</v>
      </c>
      <c r="E258" t="s">
        <v>65</v>
      </c>
      <c r="F258" t="s">
        <v>85</v>
      </c>
      <c r="G258" t="s">
        <v>23</v>
      </c>
      <c r="H258">
        <v>24</v>
      </c>
      <c r="I258">
        <v>47</v>
      </c>
      <c r="J258">
        <v>17</v>
      </c>
      <c r="K258">
        <v>4</v>
      </c>
      <c r="L258">
        <v>8</v>
      </c>
      <c r="M258" t="s">
        <v>67</v>
      </c>
      <c r="N258" t="s">
        <v>67</v>
      </c>
      <c r="O258" t="s">
        <v>67</v>
      </c>
      <c r="P258" t="s">
        <v>67</v>
      </c>
      <c r="Q258" t="s">
        <v>67</v>
      </c>
      <c r="R258" t="s">
        <v>67</v>
      </c>
      <c r="S258" t="s">
        <v>67</v>
      </c>
      <c r="T258" t="s">
        <v>67</v>
      </c>
      <c r="U258" t="s">
        <v>67</v>
      </c>
      <c r="V258" t="s">
        <v>67</v>
      </c>
    </row>
    <row r="259" spans="1:22" hidden="1" x14ac:dyDescent="0.25">
      <c r="A259">
        <v>2000</v>
      </c>
      <c r="B259" t="s">
        <v>22</v>
      </c>
      <c r="C259" t="s">
        <v>64</v>
      </c>
      <c r="D259" t="s">
        <v>64</v>
      </c>
      <c r="E259" t="s">
        <v>65</v>
      </c>
      <c r="F259" t="s">
        <v>69</v>
      </c>
      <c r="G259" t="s">
        <v>23</v>
      </c>
      <c r="H259">
        <v>25</v>
      </c>
      <c r="I259">
        <v>44</v>
      </c>
      <c r="J259">
        <v>18</v>
      </c>
      <c r="K259">
        <v>5</v>
      </c>
      <c r="L259">
        <v>8</v>
      </c>
      <c r="M259" t="s">
        <v>67</v>
      </c>
      <c r="N259" t="s">
        <v>67</v>
      </c>
      <c r="O259" t="s">
        <v>67</v>
      </c>
      <c r="P259" t="s">
        <v>67</v>
      </c>
      <c r="Q259" t="s">
        <v>67</v>
      </c>
      <c r="R259" t="s">
        <v>67</v>
      </c>
      <c r="S259" t="s">
        <v>67</v>
      </c>
      <c r="T259" t="s">
        <v>67</v>
      </c>
      <c r="U259" t="s">
        <v>67</v>
      </c>
      <c r="V259" t="s">
        <v>67</v>
      </c>
    </row>
    <row r="260" spans="1:22" hidden="1" x14ac:dyDescent="0.25">
      <c r="A260">
        <v>2000</v>
      </c>
      <c r="B260" t="s">
        <v>22</v>
      </c>
      <c r="C260" t="s">
        <v>64</v>
      </c>
      <c r="D260" t="s">
        <v>64</v>
      </c>
      <c r="E260" t="s">
        <v>65</v>
      </c>
      <c r="F260" t="s">
        <v>70</v>
      </c>
      <c r="G260" t="s">
        <v>23</v>
      </c>
      <c r="H260">
        <v>23</v>
      </c>
      <c r="I260">
        <v>46</v>
      </c>
      <c r="J260">
        <v>20</v>
      </c>
      <c r="K260">
        <v>4</v>
      </c>
      <c r="L260">
        <v>7</v>
      </c>
      <c r="M260" t="s">
        <v>67</v>
      </c>
      <c r="N260" t="s">
        <v>67</v>
      </c>
      <c r="O260" t="s">
        <v>67</v>
      </c>
      <c r="P260" t="s">
        <v>67</v>
      </c>
      <c r="Q260" t="s">
        <v>67</v>
      </c>
      <c r="R260" t="s">
        <v>67</v>
      </c>
      <c r="S260" t="s">
        <v>67</v>
      </c>
      <c r="T260" t="s">
        <v>67</v>
      </c>
      <c r="U260" t="s">
        <v>67</v>
      </c>
      <c r="V260" t="s">
        <v>67</v>
      </c>
    </row>
    <row r="261" spans="1:22" hidden="1" x14ac:dyDescent="0.25">
      <c r="A261">
        <v>2000</v>
      </c>
      <c r="B261" t="s">
        <v>22</v>
      </c>
      <c r="C261" t="s">
        <v>64</v>
      </c>
      <c r="D261" t="s">
        <v>64</v>
      </c>
      <c r="E261" t="s">
        <v>65</v>
      </c>
      <c r="F261" t="s">
        <v>71</v>
      </c>
      <c r="G261" t="s">
        <v>23</v>
      </c>
      <c r="H261">
        <v>22</v>
      </c>
      <c r="I261">
        <v>45</v>
      </c>
      <c r="J261">
        <v>22</v>
      </c>
      <c r="K261">
        <v>4</v>
      </c>
      <c r="L261">
        <v>7</v>
      </c>
      <c r="M261" t="s">
        <v>67</v>
      </c>
      <c r="N261" t="s">
        <v>67</v>
      </c>
      <c r="O261" t="s">
        <v>67</v>
      </c>
      <c r="P261" t="s">
        <v>67</v>
      </c>
      <c r="Q261" t="s">
        <v>67</v>
      </c>
      <c r="R261" t="s">
        <v>67</v>
      </c>
      <c r="S261" t="s">
        <v>67</v>
      </c>
      <c r="T261" t="s">
        <v>67</v>
      </c>
      <c r="U261" t="s">
        <v>67</v>
      </c>
      <c r="V261" t="s">
        <v>67</v>
      </c>
    </row>
    <row r="262" spans="1:22" hidden="1" x14ac:dyDescent="0.25">
      <c r="A262">
        <v>2000</v>
      </c>
      <c r="B262" t="s">
        <v>22</v>
      </c>
      <c r="C262" t="s">
        <v>64</v>
      </c>
      <c r="D262" t="s">
        <v>64</v>
      </c>
      <c r="E262" t="s">
        <v>65</v>
      </c>
      <c r="F262" t="s">
        <v>72</v>
      </c>
      <c r="G262" t="s">
        <v>23</v>
      </c>
      <c r="H262">
        <v>20</v>
      </c>
      <c r="I262">
        <v>46</v>
      </c>
      <c r="J262">
        <v>23</v>
      </c>
      <c r="K262">
        <v>4</v>
      </c>
      <c r="L262">
        <v>7</v>
      </c>
      <c r="M262" t="s">
        <v>67</v>
      </c>
      <c r="N262" t="s">
        <v>67</v>
      </c>
      <c r="O262" t="s">
        <v>67</v>
      </c>
      <c r="P262" t="s">
        <v>67</v>
      </c>
      <c r="Q262" t="s">
        <v>67</v>
      </c>
      <c r="R262" t="s">
        <v>67</v>
      </c>
      <c r="S262" t="s">
        <v>67</v>
      </c>
      <c r="T262" t="s">
        <v>67</v>
      </c>
      <c r="U262" t="s">
        <v>67</v>
      </c>
      <c r="V262" t="s">
        <v>67</v>
      </c>
    </row>
    <row r="263" spans="1:22" hidden="1" x14ac:dyDescent="0.25">
      <c r="A263">
        <v>2000</v>
      </c>
      <c r="B263" t="s">
        <v>22</v>
      </c>
      <c r="C263" t="s">
        <v>64</v>
      </c>
      <c r="D263" t="s">
        <v>64</v>
      </c>
      <c r="E263" t="s">
        <v>65</v>
      </c>
      <c r="F263" t="s">
        <v>73</v>
      </c>
      <c r="G263" t="s">
        <v>23</v>
      </c>
      <c r="H263">
        <v>20</v>
      </c>
      <c r="I263">
        <v>47</v>
      </c>
      <c r="J263">
        <v>24</v>
      </c>
      <c r="K263">
        <v>3</v>
      </c>
      <c r="L263">
        <v>6</v>
      </c>
      <c r="M263" t="s">
        <v>67</v>
      </c>
      <c r="N263" t="s">
        <v>67</v>
      </c>
      <c r="O263" t="s">
        <v>67</v>
      </c>
      <c r="P263" t="s">
        <v>67</v>
      </c>
      <c r="Q263" t="s">
        <v>67</v>
      </c>
      <c r="R263" t="s">
        <v>67</v>
      </c>
      <c r="S263" t="s">
        <v>67</v>
      </c>
      <c r="T263" t="s">
        <v>67</v>
      </c>
      <c r="U263" t="s">
        <v>67</v>
      </c>
      <c r="V263" t="s">
        <v>67</v>
      </c>
    </row>
    <row r="264" spans="1:22" hidden="1" x14ac:dyDescent="0.25">
      <c r="A264">
        <v>2000</v>
      </c>
      <c r="B264" t="s">
        <v>22</v>
      </c>
      <c r="C264" t="s">
        <v>64</v>
      </c>
      <c r="D264" t="s">
        <v>64</v>
      </c>
      <c r="E264" t="s">
        <v>65</v>
      </c>
      <c r="F264" t="s">
        <v>74</v>
      </c>
      <c r="G264" t="s">
        <v>23</v>
      </c>
      <c r="H264">
        <v>19</v>
      </c>
      <c r="I264">
        <v>47</v>
      </c>
      <c r="J264">
        <v>25</v>
      </c>
      <c r="K264">
        <v>3</v>
      </c>
      <c r="L264">
        <v>6</v>
      </c>
      <c r="M264" t="s">
        <v>67</v>
      </c>
      <c r="N264" t="s">
        <v>67</v>
      </c>
      <c r="O264" t="s">
        <v>67</v>
      </c>
      <c r="P264" t="s">
        <v>67</v>
      </c>
      <c r="Q264" t="s">
        <v>67</v>
      </c>
      <c r="R264" t="s">
        <v>67</v>
      </c>
      <c r="S264" t="s">
        <v>67</v>
      </c>
      <c r="T264" t="s">
        <v>67</v>
      </c>
      <c r="U264" t="s">
        <v>67</v>
      </c>
      <c r="V264" t="s">
        <v>67</v>
      </c>
    </row>
    <row r="265" spans="1:22" hidden="1" x14ac:dyDescent="0.25">
      <c r="A265">
        <v>2000</v>
      </c>
      <c r="B265" t="s">
        <v>22</v>
      </c>
      <c r="C265" t="s">
        <v>64</v>
      </c>
      <c r="D265" t="s">
        <v>64</v>
      </c>
      <c r="E265" t="s">
        <v>65</v>
      </c>
      <c r="F265" t="s">
        <v>75</v>
      </c>
      <c r="G265" t="s">
        <v>23</v>
      </c>
      <c r="H265">
        <v>19</v>
      </c>
      <c r="I265">
        <v>50</v>
      </c>
      <c r="J265">
        <v>24</v>
      </c>
      <c r="K265">
        <v>2</v>
      </c>
      <c r="L265">
        <v>5</v>
      </c>
      <c r="M265" t="s">
        <v>67</v>
      </c>
      <c r="N265" t="s">
        <v>67</v>
      </c>
      <c r="O265" t="s">
        <v>67</v>
      </c>
      <c r="P265" t="s">
        <v>67</v>
      </c>
      <c r="Q265" t="s">
        <v>67</v>
      </c>
      <c r="R265" t="s">
        <v>67</v>
      </c>
      <c r="S265" t="s">
        <v>67</v>
      </c>
      <c r="T265" t="s">
        <v>67</v>
      </c>
      <c r="U265" t="s">
        <v>67</v>
      </c>
      <c r="V265" t="s">
        <v>67</v>
      </c>
    </row>
    <row r="266" spans="1:22" hidden="1" x14ac:dyDescent="0.25">
      <c r="A266">
        <v>2000</v>
      </c>
      <c r="B266" t="s">
        <v>22</v>
      </c>
      <c r="C266" t="s">
        <v>64</v>
      </c>
      <c r="D266" t="s">
        <v>64</v>
      </c>
      <c r="E266" t="s">
        <v>65</v>
      </c>
      <c r="F266" t="s">
        <v>68</v>
      </c>
      <c r="G266" t="s">
        <v>23</v>
      </c>
      <c r="H266">
        <v>25</v>
      </c>
      <c r="I266">
        <v>46</v>
      </c>
      <c r="J266">
        <v>17</v>
      </c>
      <c r="K266">
        <v>4</v>
      </c>
      <c r="L266">
        <v>8</v>
      </c>
      <c r="M266" t="s">
        <v>67</v>
      </c>
      <c r="N266" t="s">
        <v>67</v>
      </c>
      <c r="O266" t="s">
        <v>67</v>
      </c>
      <c r="P266" t="s">
        <v>67</v>
      </c>
      <c r="Q266" t="s">
        <v>67</v>
      </c>
      <c r="R266" t="s">
        <v>67</v>
      </c>
      <c r="S266" t="s">
        <v>67</v>
      </c>
      <c r="T266" t="s">
        <v>67</v>
      </c>
      <c r="U266" t="s">
        <v>67</v>
      </c>
      <c r="V266" t="s">
        <v>67</v>
      </c>
    </row>
    <row r="267" spans="1:22" hidden="1" x14ac:dyDescent="0.25">
      <c r="A267">
        <v>2000</v>
      </c>
      <c r="B267" t="s">
        <v>22</v>
      </c>
      <c r="C267" t="s">
        <v>64</v>
      </c>
      <c r="D267" t="s">
        <v>64</v>
      </c>
      <c r="E267" t="s">
        <v>65</v>
      </c>
      <c r="F267" t="s">
        <v>77</v>
      </c>
      <c r="G267" t="s">
        <v>23</v>
      </c>
      <c r="H267">
        <v>18</v>
      </c>
      <c r="I267">
        <v>50</v>
      </c>
      <c r="J267">
        <v>25</v>
      </c>
      <c r="K267">
        <v>2</v>
      </c>
      <c r="L267">
        <v>5</v>
      </c>
      <c r="M267" t="s">
        <v>67</v>
      </c>
      <c r="N267" t="s">
        <v>67</v>
      </c>
      <c r="O267" t="s">
        <v>67</v>
      </c>
      <c r="P267" t="s">
        <v>67</v>
      </c>
      <c r="Q267" t="s">
        <v>67</v>
      </c>
      <c r="R267" t="s">
        <v>67</v>
      </c>
      <c r="S267" t="s">
        <v>67</v>
      </c>
      <c r="T267" t="s">
        <v>67</v>
      </c>
      <c r="U267" t="s">
        <v>67</v>
      </c>
      <c r="V267" t="s">
        <v>67</v>
      </c>
    </row>
    <row r="268" spans="1:22" hidden="1" x14ac:dyDescent="0.25">
      <c r="A268">
        <v>2000</v>
      </c>
      <c r="B268" t="s">
        <v>22</v>
      </c>
      <c r="C268" t="s">
        <v>64</v>
      </c>
      <c r="D268" t="s">
        <v>64</v>
      </c>
      <c r="E268" t="s">
        <v>65</v>
      </c>
      <c r="F268" t="s">
        <v>78</v>
      </c>
      <c r="G268" t="s">
        <v>23</v>
      </c>
      <c r="H268">
        <v>19</v>
      </c>
      <c r="I268">
        <v>50</v>
      </c>
      <c r="J268">
        <v>24</v>
      </c>
      <c r="K268">
        <v>2</v>
      </c>
      <c r="L268">
        <v>5</v>
      </c>
      <c r="M268" t="s">
        <v>67</v>
      </c>
      <c r="N268" t="s">
        <v>67</v>
      </c>
      <c r="O268" t="s">
        <v>67</v>
      </c>
      <c r="P268" t="s">
        <v>67</v>
      </c>
      <c r="Q268" t="s">
        <v>67</v>
      </c>
      <c r="R268" t="s">
        <v>67</v>
      </c>
      <c r="S268" t="s">
        <v>67</v>
      </c>
      <c r="T268" t="s">
        <v>67</v>
      </c>
      <c r="U268" t="s">
        <v>67</v>
      </c>
      <c r="V268" t="s">
        <v>67</v>
      </c>
    </row>
    <row r="269" spans="1:22" hidden="1" x14ac:dyDescent="0.25">
      <c r="A269">
        <v>2000</v>
      </c>
      <c r="B269" t="s">
        <v>22</v>
      </c>
      <c r="C269" t="s">
        <v>64</v>
      </c>
      <c r="D269" t="s">
        <v>64</v>
      </c>
      <c r="E269" t="s">
        <v>65</v>
      </c>
      <c r="F269" t="s">
        <v>79</v>
      </c>
      <c r="G269" t="s">
        <v>23</v>
      </c>
      <c r="H269">
        <v>19</v>
      </c>
      <c r="I269">
        <v>51</v>
      </c>
      <c r="J269">
        <v>23</v>
      </c>
      <c r="K269">
        <v>2</v>
      </c>
      <c r="L269">
        <v>5</v>
      </c>
      <c r="M269" t="s">
        <v>67</v>
      </c>
      <c r="N269" t="s">
        <v>67</v>
      </c>
      <c r="O269" t="s">
        <v>67</v>
      </c>
      <c r="P269" t="s">
        <v>67</v>
      </c>
      <c r="Q269" t="s">
        <v>67</v>
      </c>
      <c r="R269" t="s">
        <v>67</v>
      </c>
      <c r="S269" t="s">
        <v>67</v>
      </c>
      <c r="T269" t="s">
        <v>67</v>
      </c>
      <c r="U269" t="s">
        <v>67</v>
      </c>
      <c r="V269" t="s">
        <v>67</v>
      </c>
    </row>
    <row r="270" spans="1:22" hidden="1" x14ac:dyDescent="0.25">
      <c r="A270">
        <v>2000</v>
      </c>
      <c r="B270" t="s">
        <v>22</v>
      </c>
      <c r="C270" t="s">
        <v>64</v>
      </c>
      <c r="D270" t="s">
        <v>64</v>
      </c>
      <c r="E270" t="s">
        <v>65</v>
      </c>
      <c r="F270" t="s">
        <v>80</v>
      </c>
      <c r="G270" t="s">
        <v>23</v>
      </c>
      <c r="H270">
        <v>21</v>
      </c>
      <c r="I270">
        <v>52</v>
      </c>
      <c r="J270">
        <v>21</v>
      </c>
      <c r="K270">
        <v>1</v>
      </c>
      <c r="L270">
        <v>5</v>
      </c>
      <c r="M270" t="s">
        <v>67</v>
      </c>
      <c r="N270" t="s">
        <v>67</v>
      </c>
      <c r="O270" t="s">
        <v>67</v>
      </c>
      <c r="P270" t="s">
        <v>67</v>
      </c>
      <c r="Q270" t="s">
        <v>67</v>
      </c>
      <c r="R270" t="s">
        <v>67</v>
      </c>
      <c r="S270" t="s">
        <v>67</v>
      </c>
      <c r="T270" t="s">
        <v>67</v>
      </c>
      <c r="U270" t="s">
        <v>67</v>
      </c>
      <c r="V270" t="s">
        <v>67</v>
      </c>
    </row>
    <row r="271" spans="1:22" hidden="1" x14ac:dyDescent="0.25">
      <c r="A271">
        <v>2000</v>
      </c>
      <c r="B271" t="s">
        <v>22</v>
      </c>
      <c r="C271" t="s">
        <v>64</v>
      </c>
      <c r="D271" t="s">
        <v>64</v>
      </c>
      <c r="E271" t="s">
        <v>65</v>
      </c>
      <c r="F271" t="s">
        <v>81</v>
      </c>
      <c r="G271" t="s">
        <v>23</v>
      </c>
      <c r="H271">
        <v>21</v>
      </c>
      <c r="I271">
        <v>52</v>
      </c>
      <c r="J271">
        <v>20</v>
      </c>
      <c r="K271">
        <v>2</v>
      </c>
      <c r="L271">
        <v>5</v>
      </c>
      <c r="M271" t="s">
        <v>67</v>
      </c>
      <c r="N271" t="s">
        <v>67</v>
      </c>
      <c r="O271" t="s">
        <v>67</v>
      </c>
      <c r="P271" t="s">
        <v>67</v>
      </c>
      <c r="Q271" t="s">
        <v>67</v>
      </c>
      <c r="R271" t="s">
        <v>67</v>
      </c>
      <c r="S271" t="s">
        <v>67</v>
      </c>
      <c r="T271" t="s">
        <v>67</v>
      </c>
      <c r="U271" t="s">
        <v>67</v>
      </c>
      <c r="V271" t="s">
        <v>67</v>
      </c>
    </row>
    <row r="272" spans="1:22" hidden="1" x14ac:dyDescent="0.25">
      <c r="A272">
        <v>2000</v>
      </c>
      <c r="B272" t="s">
        <v>22</v>
      </c>
      <c r="C272" t="s">
        <v>64</v>
      </c>
      <c r="D272" t="s">
        <v>64</v>
      </c>
      <c r="E272" t="s">
        <v>65</v>
      </c>
      <c r="F272" t="s">
        <v>82</v>
      </c>
      <c r="G272" t="s">
        <v>23</v>
      </c>
      <c r="H272">
        <v>23</v>
      </c>
      <c r="I272">
        <v>53</v>
      </c>
      <c r="J272">
        <v>16</v>
      </c>
      <c r="K272">
        <v>2</v>
      </c>
      <c r="L272">
        <v>6</v>
      </c>
      <c r="M272" t="s">
        <v>67</v>
      </c>
      <c r="N272" t="s">
        <v>67</v>
      </c>
      <c r="O272" t="s">
        <v>67</v>
      </c>
      <c r="P272" t="s">
        <v>67</v>
      </c>
      <c r="Q272" t="s">
        <v>67</v>
      </c>
      <c r="R272" t="s">
        <v>67</v>
      </c>
      <c r="S272" t="s">
        <v>67</v>
      </c>
      <c r="T272" t="s">
        <v>67</v>
      </c>
      <c r="U272" t="s">
        <v>67</v>
      </c>
      <c r="V272" t="s">
        <v>67</v>
      </c>
    </row>
    <row r="273" spans="1:22" hidden="1" x14ac:dyDescent="0.25">
      <c r="A273">
        <v>2000</v>
      </c>
      <c r="B273" t="s">
        <v>22</v>
      </c>
      <c r="C273" t="s">
        <v>64</v>
      </c>
      <c r="D273" t="s">
        <v>64</v>
      </c>
      <c r="E273" t="s">
        <v>65</v>
      </c>
      <c r="F273" t="s">
        <v>83</v>
      </c>
      <c r="G273" t="s">
        <v>23</v>
      </c>
      <c r="H273">
        <v>24</v>
      </c>
      <c r="I273">
        <v>55</v>
      </c>
      <c r="J273">
        <v>16</v>
      </c>
      <c r="K273">
        <v>1</v>
      </c>
      <c r="L273">
        <v>4</v>
      </c>
      <c r="M273" t="s">
        <v>67</v>
      </c>
      <c r="N273" t="s">
        <v>67</v>
      </c>
      <c r="O273" t="s">
        <v>67</v>
      </c>
      <c r="P273" t="s">
        <v>67</v>
      </c>
      <c r="Q273" t="s">
        <v>67</v>
      </c>
      <c r="R273" t="s">
        <v>67</v>
      </c>
      <c r="S273" t="s">
        <v>67</v>
      </c>
      <c r="T273" t="s">
        <v>67</v>
      </c>
      <c r="U273" t="s">
        <v>67</v>
      </c>
      <c r="V273" t="s">
        <v>67</v>
      </c>
    </row>
    <row r="274" spans="1:22" hidden="1" x14ac:dyDescent="0.25">
      <c r="A274">
        <v>2000</v>
      </c>
      <c r="B274" t="s">
        <v>22</v>
      </c>
      <c r="C274" t="s">
        <v>64</v>
      </c>
      <c r="D274" t="s">
        <v>64</v>
      </c>
      <c r="E274" t="s">
        <v>65</v>
      </c>
      <c r="F274" t="s">
        <v>84</v>
      </c>
      <c r="G274" t="s">
        <v>23</v>
      </c>
      <c r="H274">
        <v>24</v>
      </c>
      <c r="I274">
        <v>55</v>
      </c>
      <c r="J274">
        <v>15</v>
      </c>
      <c r="K274">
        <v>1</v>
      </c>
      <c r="L274">
        <v>5</v>
      </c>
      <c r="M274" t="s">
        <v>67</v>
      </c>
      <c r="N274" t="s">
        <v>67</v>
      </c>
      <c r="O274" t="s">
        <v>67</v>
      </c>
      <c r="P274" t="s">
        <v>67</v>
      </c>
      <c r="Q274" t="s">
        <v>67</v>
      </c>
      <c r="R274" t="s">
        <v>67</v>
      </c>
      <c r="S274" t="s">
        <v>67</v>
      </c>
      <c r="T274" t="s">
        <v>67</v>
      </c>
      <c r="U274" t="s">
        <v>67</v>
      </c>
      <c r="V274" t="s">
        <v>67</v>
      </c>
    </row>
    <row r="275" spans="1:22" hidden="1" x14ac:dyDescent="0.25">
      <c r="A275">
        <v>2000</v>
      </c>
      <c r="B275" t="s">
        <v>22</v>
      </c>
      <c r="C275" t="s">
        <v>64</v>
      </c>
      <c r="D275" t="s">
        <v>64</v>
      </c>
      <c r="E275" t="s">
        <v>65</v>
      </c>
      <c r="F275" t="s">
        <v>91</v>
      </c>
      <c r="G275" t="s">
        <v>23</v>
      </c>
      <c r="H275">
        <v>25</v>
      </c>
      <c r="I275">
        <v>57</v>
      </c>
      <c r="J275">
        <v>13</v>
      </c>
      <c r="K275">
        <v>1</v>
      </c>
      <c r="L275">
        <v>4</v>
      </c>
      <c r="M275" t="s">
        <v>67</v>
      </c>
      <c r="N275" t="s">
        <v>67</v>
      </c>
      <c r="O275" t="s">
        <v>67</v>
      </c>
      <c r="P275" t="s">
        <v>67</v>
      </c>
      <c r="Q275" t="s">
        <v>67</v>
      </c>
      <c r="R275" t="s">
        <v>67</v>
      </c>
      <c r="S275" t="s">
        <v>67</v>
      </c>
      <c r="T275" t="s">
        <v>67</v>
      </c>
      <c r="U275" t="s">
        <v>67</v>
      </c>
      <c r="V275" t="s">
        <v>67</v>
      </c>
    </row>
    <row r="276" spans="1:22" hidden="1" x14ac:dyDescent="0.25">
      <c r="A276">
        <v>2001</v>
      </c>
      <c r="B276" t="s">
        <v>22</v>
      </c>
      <c r="C276" t="s">
        <v>64</v>
      </c>
      <c r="D276" t="s">
        <v>64</v>
      </c>
      <c r="E276" t="s">
        <v>65</v>
      </c>
      <c r="F276" t="s">
        <v>80</v>
      </c>
      <c r="G276" t="s">
        <v>23</v>
      </c>
      <c r="H276">
        <v>25</v>
      </c>
      <c r="I276">
        <v>54</v>
      </c>
      <c r="J276">
        <v>15</v>
      </c>
      <c r="K276">
        <v>1</v>
      </c>
      <c r="L276">
        <v>5</v>
      </c>
      <c r="M276" t="s">
        <v>67</v>
      </c>
      <c r="N276" t="s">
        <v>67</v>
      </c>
      <c r="O276" t="s">
        <v>67</v>
      </c>
      <c r="P276" t="s">
        <v>67</v>
      </c>
      <c r="Q276" t="s">
        <v>67</v>
      </c>
      <c r="R276" t="s">
        <v>67</v>
      </c>
      <c r="S276" t="s">
        <v>67</v>
      </c>
      <c r="T276" t="s">
        <v>67</v>
      </c>
      <c r="U276" t="s">
        <v>67</v>
      </c>
      <c r="V276" t="s">
        <v>67</v>
      </c>
    </row>
    <row r="277" spans="1:22" x14ac:dyDescent="0.25">
      <c r="A277">
        <v>2001</v>
      </c>
      <c r="B277" t="s">
        <v>22</v>
      </c>
      <c r="C277" t="s">
        <v>64</v>
      </c>
      <c r="D277" t="s">
        <v>64</v>
      </c>
      <c r="E277" t="s">
        <v>65</v>
      </c>
      <c r="F277" t="s">
        <v>86</v>
      </c>
      <c r="G277" t="s">
        <v>23</v>
      </c>
      <c r="H277">
        <v>30</v>
      </c>
      <c r="I277">
        <v>44</v>
      </c>
      <c r="J277">
        <v>14</v>
      </c>
      <c r="K277">
        <v>3</v>
      </c>
      <c r="L277">
        <v>9</v>
      </c>
      <c r="M277">
        <f>J277+I277</f>
        <v>58</v>
      </c>
      <c r="N277">
        <v>8.6662424783261471E-3</v>
      </c>
      <c r="O277" t="s">
        <v>67</v>
      </c>
      <c r="P277" t="s">
        <v>67</v>
      </c>
      <c r="Q277" t="s">
        <v>67</v>
      </c>
      <c r="R277" t="s">
        <v>67</v>
      </c>
      <c r="S277" t="s">
        <v>67</v>
      </c>
      <c r="T277" t="s">
        <v>67</v>
      </c>
      <c r="U277" t="s">
        <v>67</v>
      </c>
      <c r="V277" t="s">
        <v>67</v>
      </c>
    </row>
    <row r="278" spans="1:22" hidden="1" x14ac:dyDescent="0.25">
      <c r="A278">
        <v>2001</v>
      </c>
      <c r="B278" t="s">
        <v>22</v>
      </c>
      <c r="C278" t="s">
        <v>64</v>
      </c>
      <c r="D278" t="s">
        <v>64</v>
      </c>
      <c r="E278" t="s">
        <v>65</v>
      </c>
      <c r="F278" t="s">
        <v>68</v>
      </c>
      <c r="G278" t="s">
        <v>23</v>
      </c>
      <c r="H278">
        <v>30</v>
      </c>
      <c r="I278">
        <v>43</v>
      </c>
      <c r="J278">
        <v>13</v>
      </c>
      <c r="K278">
        <v>4</v>
      </c>
      <c r="L278">
        <v>10</v>
      </c>
      <c r="M278" t="s">
        <v>67</v>
      </c>
      <c r="N278" t="s">
        <v>67</v>
      </c>
      <c r="O278" t="s">
        <v>67</v>
      </c>
      <c r="P278" t="s">
        <v>67</v>
      </c>
      <c r="Q278" t="s">
        <v>67</v>
      </c>
      <c r="R278" t="s">
        <v>67</v>
      </c>
      <c r="S278" t="s">
        <v>67</v>
      </c>
      <c r="T278" t="s">
        <v>67</v>
      </c>
      <c r="U278" t="s">
        <v>67</v>
      </c>
      <c r="V278" t="s">
        <v>67</v>
      </c>
    </row>
    <row r="279" spans="1:22" hidden="1" x14ac:dyDescent="0.25">
      <c r="A279">
        <v>2001</v>
      </c>
      <c r="B279" t="s">
        <v>22</v>
      </c>
      <c r="C279" t="s">
        <v>64</v>
      </c>
      <c r="D279" t="s">
        <v>64</v>
      </c>
      <c r="E279" t="s">
        <v>65</v>
      </c>
      <c r="F279" t="s">
        <v>85</v>
      </c>
      <c r="G279" t="s">
        <v>23</v>
      </c>
      <c r="H279">
        <v>30</v>
      </c>
      <c r="I279">
        <v>44</v>
      </c>
      <c r="J279">
        <v>12</v>
      </c>
      <c r="K279">
        <v>4</v>
      </c>
      <c r="L279">
        <v>10</v>
      </c>
      <c r="M279" t="s">
        <v>67</v>
      </c>
      <c r="N279" t="s">
        <v>67</v>
      </c>
      <c r="O279" t="s">
        <v>67</v>
      </c>
      <c r="P279" t="s">
        <v>67</v>
      </c>
      <c r="Q279" t="s">
        <v>67</v>
      </c>
      <c r="R279" t="s">
        <v>67</v>
      </c>
      <c r="S279" t="s">
        <v>67</v>
      </c>
      <c r="T279" t="s">
        <v>67</v>
      </c>
      <c r="U279" t="s">
        <v>67</v>
      </c>
      <c r="V279" t="s">
        <v>67</v>
      </c>
    </row>
    <row r="280" spans="1:22" hidden="1" x14ac:dyDescent="0.25">
      <c r="A280">
        <v>2001</v>
      </c>
      <c r="B280" t="s">
        <v>22</v>
      </c>
      <c r="C280" t="s">
        <v>64</v>
      </c>
      <c r="D280" t="s">
        <v>64</v>
      </c>
      <c r="E280" t="s">
        <v>65</v>
      </c>
      <c r="F280" t="s">
        <v>69</v>
      </c>
      <c r="G280" t="s">
        <v>23</v>
      </c>
      <c r="H280">
        <v>31</v>
      </c>
      <c r="I280">
        <v>42</v>
      </c>
      <c r="J280">
        <v>12</v>
      </c>
      <c r="K280">
        <v>4</v>
      </c>
      <c r="L280">
        <v>11</v>
      </c>
      <c r="M280" t="s">
        <v>67</v>
      </c>
      <c r="N280" t="s">
        <v>67</v>
      </c>
      <c r="O280" t="s">
        <v>67</v>
      </c>
      <c r="P280" t="s">
        <v>67</v>
      </c>
      <c r="Q280" t="s">
        <v>67</v>
      </c>
      <c r="R280" t="s">
        <v>67</v>
      </c>
      <c r="S280" t="s">
        <v>67</v>
      </c>
      <c r="T280" t="s">
        <v>67</v>
      </c>
      <c r="U280" t="s">
        <v>67</v>
      </c>
      <c r="V280" t="s">
        <v>67</v>
      </c>
    </row>
    <row r="281" spans="1:22" hidden="1" x14ac:dyDescent="0.25">
      <c r="A281">
        <v>2001</v>
      </c>
      <c r="B281" t="s">
        <v>22</v>
      </c>
      <c r="C281" t="s">
        <v>64</v>
      </c>
      <c r="D281" t="s">
        <v>64</v>
      </c>
      <c r="E281" t="s">
        <v>65</v>
      </c>
      <c r="F281" t="s">
        <v>70</v>
      </c>
      <c r="G281" t="s">
        <v>23</v>
      </c>
      <c r="H281">
        <v>31</v>
      </c>
      <c r="I281">
        <v>42</v>
      </c>
      <c r="J281">
        <v>11</v>
      </c>
      <c r="K281">
        <v>5</v>
      </c>
      <c r="L281">
        <v>11</v>
      </c>
      <c r="M281" t="s">
        <v>67</v>
      </c>
      <c r="N281" t="s">
        <v>67</v>
      </c>
      <c r="O281" t="s">
        <v>67</v>
      </c>
      <c r="P281" t="s">
        <v>67</v>
      </c>
      <c r="Q281" t="s">
        <v>67</v>
      </c>
      <c r="R281" t="s">
        <v>67</v>
      </c>
      <c r="S281" t="s">
        <v>67</v>
      </c>
      <c r="T281" t="s">
        <v>67</v>
      </c>
      <c r="U281" t="s">
        <v>67</v>
      </c>
      <c r="V281" t="s">
        <v>67</v>
      </c>
    </row>
    <row r="282" spans="1:22" hidden="1" x14ac:dyDescent="0.25">
      <c r="A282">
        <v>2001</v>
      </c>
      <c r="B282" t="s">
        <v>22</v>
      </c>
      <c r="C282" t="s">
        <v>64</v>
      </c>
      <c r="D282" t="s">
        <v>64</v>
      </c>
      <c r="E282" t="s">
        <v>65</v>
      </c>
      <c r="F282" t="s">
        <v>71</v>
      </c>
      <c r="G282" t="s">
        <v>23</v>
      </c>
      <c r="H282">
        <v>30</v>
      </c>
      <c r="I282">
        <v>43</v>
      </c>
      <c r="J282">
        <v>12</v>
      </c>
      <c r="K282">
        <v>4</v>
      </c>
      <c r="L282">
        <v>11</v>
      </c>
      <c r="M282" t="s">
        <v>67</v>
      </c>
      <c r="N282" t="s">
        <v>67</v>
      </c>
      <c r="O282" t="s">
        <v>67</v>
      </c>
      <c r="P282" t="s">
        <v>67</v>
      </c>
      <c r="Q282" t="s">
        <v>67</v>
      </c>
      <c r="R282" t="s">
        <v>67</v>
      </c>
      <c r="S282" t="s">
        <v>67</v>
      </c>
      <c r="T282" t="s">
        <v>67</v>
      </c>
      <c r="U282" t="s">
        <v>67</v>
      </c>
      <c r="V282" t="s">
        <v>67</v>
      </c>
    </row>
    <row r="283" spans="1:22" hidden="1" x14ac:dyDescent="0.25">
      <c r="A283">
        <v>2001</v>
      </c>
      <c r="B283" t="s">
        <v>22</v>
      </c>
      <c r="C283" t="s">
        <v>64</v>
      </c>
      <c r="D283" t="s">
        <v>64</v>
      </c>
      <c r="E283" t="s">
        <v>65</v>
      </c>
      <c r="F283" t="s">
        <v>72</v>
      </c>
      <c r="G283" t="s">
        <v>23</v>
      </c>
      <c r="H283">
        <v>31</v>
      </c>
      <c r="I283">
        <v>43</v>
      </c>
      <c r="J283">
        <v>11</v>
      </c>
      <c r="K283">
        <v>4</v>
      </c>
      <c r="L283">
        <v>11</v>
      </c>
      <c r="M283" t="s">
        <v>67</v>
      </c>
      <c r="N283" t="s">
        <v>67</v>
      </c>
      <c r="O283" t="s">
        <v>67</v>
      </c>
      <c r="P283" t="s">
        <v>67</v>
      </c>
      <c r="Q283" t="s">
        <v>67</v>
      </c>
      <c r="R283" t="s">
        <v>67</v>
      </c>
      <c r="S283" t="s">
        <v>67</v>
      </c>
      <c r="T283" t="s">
        <v>67</v>
      </c>
      <c r="U283" t="s">
        <v>67</v>
      </c>
      <c r="V283" t="s">
        <v>67</v>
      </c>
    </row>
    <row r="284" spans="1:22" hidden="1" x14ac:dyDescent="0.25">
      <c r="A284">
        <v>2001</v>
      </c>
      <c r="B284" t="s">
        <v>22</v>
      </c>
      <c r="C284" t="s">
        <v>64</v>
      </c>
      <c r="D284" t="s">
        <v>64</v>
      </c>
      <c r="E284" t="s">
        <v>65</v>
      </c>
      <c r="F284" t="s">
        <v>73</v>
      </c>
      <c r="G284" t="s">
        <v>23</v>
      </c>
      <c r="H284">
        <v>29</v>
      </c>
      <c r="I284">
        <v>45</v>
      </c>
      <c r="J284">
        <v>12</v>
      </c>
      <c r="K284">
        <v>4</v>
      </c>
      <c r="L284">
        <v>10</v>
      </c>
      <c r="M284" t="s">
        <v>67</v>
      </c>
      <c r="N284" t="s">
        <v>67</v>
      </c>
      <c r="O284" t="s">
        <v>67</v>
      </c>
      <c r="P284" t="s">
        <v>67</v>
      </c>
      <c r="Q284" t="s">
        <v>67</v>
      </c>
      <c r="R284" t="s">
        <v>67</v>
      </c>
      <c r="S284" t="s">
        <v>67</v>
      </c>
      <c r="T284" t="s">
        <v>67</v>
      </c>
      <c r="U284" t="s">
        <v>67</v>
      </c>
      <c r="V284" t="s">
        <v>67</v>
      </c>
    </row>
    <row r="285" spans="1:22" hidden="1" x14ac:dyDescent="0.25">
      <c r="A285">
        <v>2001</v>
      </c>
      <c r="B285" t="s">
        <v>22</v>
      </c>
      <c r="C285" t="s">
        <v>64</v>
      </c>
      <c r="D285" t="s">
        <v>64</v>
      </c>
      <c r="E285" t="s">
        <v>65</v>
      </c>
      <c r="F285" t="s">
        <v>74</v>
      </c>
      <c r="G285" t="s">
        <v>23</v>
      </c>
      <c r="H285">
        <v>28</v>
      </c>
      <c r="I285">
        <v>45</v>
      </c>
      <c r="J285">
        <v>15</v>
      </c>
      <c r="K285">
        <v>3</v>
      </c>
      <c r="L285">
        <v>9</v>
      </c>
      <c r="M285" t="s">
        <v>67</v>
      </c>
      <c r="N285" t="s">
        <v>67</v>
      </c>
      <c r="O285" t="s">
        <v>67</v>
      </c>
      <c r="P285" t="s">
        <v>67</v>
      </c>
      <c r="Q285" t="s">
        <v>67</v>
      </c>
      <c r="R285" t="s">
        <v>67</v>
      </c>
      <c r="S285" t="s">
        <v>67</v>
      </c>
      <c r="T285" t="s">
        <v>67</v>
      </c>
      <c r="U285" t="s">
        <v>67</v>
      </c>
      <c r="V285" t="s">
        <v>67</v>
      </c>
    </row>
    <row r="286" spans="1:22" hidden="1" x14ac:dyDescent="0.25">
      <c r="A286">
        <v>2001</v>
      </c>
      <c r="B286" t="s">
        <v>22</v>
      </c>
      <c r="C286" t="s">
        <v>64</v>
      </c>
      <c r="D286" t="s">
        <v>64</v>
      </c>
      <c r="E286" t="s">
        <v>65</v>
      </c>
      <c r="F286" t="s">
        <v>91</v>
      </c>
      <c r="G286" t="s">
        <v>23</v>
      </c>
      <c r="H286">
        <v>23</v>
      </c>
      <c r="I286">
        <v>57</v>
      </c>
      <c r="J286">
        <v>15</v>
      </c>
      <c r="K286">
        <v>1</v>
      </c>
      <c r="L286">
        <v>4</v>
      </c>
      <c r="M286" t="s">
        <v>67</v>
      </c>
      <c r="N286" t="s">
        <v>67</v>
      </c>
      <c r="O286" t="s">
        <v>67</v>
      </c>
      <c r="P286" t="s">
        <v>67</v>
      </c>
      <c r="Q286" t="s">
        <v>67</v>
      </c>
      <c r="R286" t="s">
        <v>67</v>
      </c>
      <c r="S286" t="s">
        <v>67</v>
      </c>
      <c r="T286" t="s">
        <v>67</v>
      </c>
      <c r="U286" t="s">
        <v>67</v>
      </c>
      <c r="V286" t="s">
        <v>67</v>
      </c>
    </row>
    <row r="287" spans="1:22" hidden="1" x14ac:dyDescent="0.25">
      <c r="A287">
        <v>2001</v>
      </c>
      <c r="B287" t="s">
        <v>22</v>
      </c>
      <c r="C287" t="s">
        <v>64</v>
      </c>
      <c r="D287" t="s">
        <v>64</v>
      </c>
      <c r="E287" t="s">
        <v>65</v>
      </c>
      <c r="F287" t="s">
        <v>84</v>
      </c>
      <c r="G287" t="s">
        <v>23</v>
      </c>
      <c r="H287">
        <v>25</v>
      </c>
      <c r="I287">
        <v>58</v>
      </c>
      <c r="J287">
        <v>12</v>
      </c>
      <c r="K287">
        <v>1</v>
      </c>
      <c r="L287">
        <v>4</v>
      </c>
      <c r="M287" t="s">
        <v>67</v>
      </c>
      <c r="N287" t="s">
        <v>67</v>
      </c>
      <c r="O287" t="s">
        <v>67</v>
      </c>
      <c r="P287" t="s">
        <v>67</v>
      </c>
      <c r="Q287" t="s">
        <v>67</v>
      </c>
      <c r="R287" t="s">
        <v>67</v>
      </c>
      <c r="S287" t="s">
        <v>67</v>
      </c>
      <c r="T287" t="s">
        <v>67</v>
      </c>
      <c r="U287" t="s">
        <v>67</v>
      </c>
      <c r="V287" t="s">
        <v>67</v>
      </c>
    </row>
    <row r="288" spans="1:22" hidden="1" x14ac:dyDescent="0.25">
      <c r="A288">
        <v>2001</v>
      </c>
      <c r="B288" t="s">
        <v>22</v>
      </c>
      <c r="C288" t="s">
        <v>64</v>
      </c>
      <c r="D288" t="s">
        <v>64</v>
      </c>
      <c r="E288" t="s">
        <v>65</v>
      </c>
      <c r="F288" t="s">
        <v>83</v>
      </c>
      <c r="G288" t="s">
        <v>23</v>
      </c>
      <c r="H288">
        <v>29</v>
      </c>
      <c r="I288">
        <v>53</v>
      </c>
      <c r="J288">
        <v>11</v>
      </c>
      <c r="K288">
        <v>1</v>
      </c>
      <c r="L288">
        <v>6</v>
      </c>
      <c r="M288" t="s">
        <v>67</v>
      </c>
      <c r="N288" t="s">
        <v>67</v>
      </c>
      <c r="O288" t="s">
        <v>67</v>
      </c>
      <c r="P288" t="s">
        <v>67</v>
      </c>
      <c r="Q288" t="s">
        <v>67</v>
      </c>
      <c r="R288" t="s">
        <v>67</v>
      </c>
      <c r="S288" t="s">
        <v>67</v>
      </c>
      <c r="T288" t="s">
        <v>67</v>
      </c>
      <c r="U288" t="s">
        <v>67</v>
      </c>
      <c r="V288" t="s">
        <v>67</v>
      </c>
    </row>
    <row r="289" spans="1:22" hidden="1" x14ac:dyDescent="0.25">
      <c r="A289">
        <v>2001</v>
      </c>
      <c r="B289" t="s">
        <v>22</v>
      </c>
      <c r="C289" t="s">
        <v>64</v>
      </c>
      <c r="D289" t="s">
        <v>64</v>
      </c>
      <c r="E289" t="s">
        <v>65</v>
      </c>
      <c r="F289" t="s">
        <v>82</v>
      </c>
      <c r="G289" t="s">
        <v>23</v>
      </c>
      <c r="H289">
        <v>30</v>
      </c>
      <c r="I289">
        <v>51</v>
      </c>
      <c r="J289">
        <v>11</v>
      </c>
      <c r="K289">
        <v>1</v>
      </c>
      <c r="L289">
        <v>7</v>
      </c>
      <c r="M289" t="s">
        <v>67</v>
      </c>
      <c r="N289" t="s">
        <v>67</v>
      </c>
      <c r="O289" t="s">
        <v>67</v>
      </c>
      <c r="P289" t="s">
        <v>67</v>
      </c>
      <c r="Q289" t="s">
        <v>67</v>
      </c>
      <c r="R289" t="s">
        <v>67</v>
      </c>
      <c r="S289" t="s">
        <v>67</v>
      </c>
      <c r="T289" t="s">
        <v>67</v>
      </c>
      <c r="U289" t="s">
        <v>67</v>
      </c>
      <c r="V289" t="s">
        <v>67</v>
      </c>
    </row>
    <row r="290" spans="1:22" hidden="1" x14ac:dyDescent="0.25">
      <c r="A290">
        <v>2001</v>
      </c>
      <c r="B290" t="s">
        <v>22</v>
      </c>
      <c r="C290" t="s">
        <v>64</v>
      </c>
      <c r="D290" t="s">
        <v>64</v>
      </c>
      <c r="E290" t="s">
        <v>65</v>
      </c>
      <c r="F290" t="s">
        <v>81</v>
      </c>
      <c r="G290" t="s">
        <v>23</v>
      </c>
      <c r="H290">
        <v>28</v>
      </c>
      <c r="I290">
        <v>50</v>
      </c>
      <c r="J290">
        <v>13</v>
      </c>
      <c r="K290">
        <v>2</v>
      </c>
      <c r="L290">
        <v>7</v>
      </c>
      <c r="M290" t="s">
        <v>67</v>
      </c>
      <c r="N290" t="s">
        <v>67</v>
      </c>
      <c r="O290" t="s">
        <v>67</v>
      </c>
      <c r="P290" t="s">
        <v>67</v>
      </c>
      <c r="Q290" t="s">
        <v>67</v>
      </c>
      <c r="R290" t="s">
        <v>67</v>
      </c>
      <c r="S290" t="s">
        <v>67</v>
      </c>
      <c r="T290" t="s">
        <v>67</v>
      </c>
      <c r="U290" t="s">
        <v>67</v>
      </c>
      <c r="V290" t="s">
        <v>67</v>
      </c>
    </row>
    <row r="291" spans="1:22" hidden="1" x14ac:dyDescent="0.25">
      <c r="A291">
        <v>2001</v>
      </c>
      <c r="B291" t="s">
        <v>22</v>
      </c>
      <c r="C291" t="s">
        <v>64</v>
      </c>
      <c r="D291" t="s">
        <v>64</v>
      </c>
      <c r="E291" t="s">
        <v>65</v>
      </c>
      <c r="F291" t="s">
        <v>75</v>
      </c>
      <c r="G291" t="s">
        <v>23</v>
      </c>
      <c r="H291">
        <v>26</v>
      </c>
      <c r="I291">
        <v>49</v>
      </c>
      <c r="J291">
        <v>15</v>
      </c>
      <c r="K291">
        <v>2</v>
      </c>
      <c r="L291">
        <v>8</v>
      </c>
      <c r="M291" t="s">
        <v>67</v>
      </c>
      <c r="N291" t="s">
        <v>67</v>
      </c>
      <c r="O291" t="s">
        <v>67</v>
      </c>
      <c r="P291" t="s">
        <v>67</v>
      </c>
      <c r="Q291" t="s">
        <v>67</v>
      </c>
      <c r="R291" t="s">
        <v>67</v>
      </c>
      <c r="S291" t="s">
        <v>67</v>
      </c>
      <c r="T291" t="s">
        <v>67</v>
      </c>
      <c r="U291" t="s">
        <v>67</v>
      </c>
      <c r="V291" t="s">
        <v>67</v>
      </c>
    </row>
    <row r="292" spans="1:22" hidden="1" x14ac:dyDescent="0.25">
      <c r="A292">
        <v>2001</v>
      </c>
      <c r="B292" t="s">
        <v>22</v>
      </c>
      <c r="C292" t="s">
        <v>64</v>
      </c>
      <c r="D292" t="s">
        <v>64</v>
      </c>
      <c r="E292" t="s">
        <v>65</v>
      </c>
      <c r="F292" t="s">
        <v>79</v>
      </c>
      <c r="G292" t="s">
        <v>23</v>
      </c>
      <c r="H292">
        <v>24</v>
      </c>
      <c r="I292">
        <v>53</v>
      </c>
      <c r="J292">
        <v>16</v>
      </c>
      <c r="K292">
        <v>1</v>
      </c>
      <c r="L292">
        <v>6</v>
      </c>
      <c r="M292" t="s">
        <v>67</v>
      </c>
      <c r="N292" t="s">
        <v>67</v>
      </c>
      <c r="O292" t="s">
        <v>67</v>
      </c>
      <c r="P292" t="s">
        <v>67</v>
      </c>
      <c r="Q292" t="s">
        <v>67</v>
      </c>
      <c r="R292" t="s">
        <v>67</v>
      </c>
      <c r="S292" t="s">
        <v>67</v>
      </c>
      <c r="T292" t="s">
        <v>67</v>
      </c>
      <c r="U292" t="s">
        <v>67</v>
      </c>
      <c r="V292" t="s">
        <v>67</v>
      </c>
    </row>
    <row r="293" spans="1:22" hidden="1" x14ac:dyDescent="0.25">
      <c r="A293">
        <v>2001</v>
      </c>
      <c r="B293" t="s">
        <v>22</v>
      </c>
      <c r="C293" t="s">
        <v>64</v>
      </c>
      <c r="D293" t="s">
        <v>64</v>
      </c>
      <c r="E293" t="s">
        <v>65</v>
      </c>
      <c r="F293" t="s">
        <v>78</v>
      </c>
      <c r="G293" t="s">
        <v>23</v>
      </c>
      <c r="H293">
        <v>24</v>
      </c>
      <c r="I293">
        <v>53</v>
      </c>
      <c r="J293">
        <v>16</v>
      </c>
      <c r="K293">
        <v>1</v>
      </c>
      <c r="L293">
        <v>6</v>
      </c>
      <c r="M293" t="s">
        <v>67</v>
      </c>
      <c r="N293" t="s">
        <v>67</v>
      </c>
      <c r="O293" t="s">
        <v>67</v>
      </c>
      <c r="P293" t="s">
        <v>67</v>
      </c>
      <c r="Q293" t="s">
        <v>67</v>
      </c>
      <c r="R293" t="s">
        <v>67</v>
      </c>
      <c r="S293" t="s">
        <v>67</v>
      </c>
      <c r="T293" t="s">
        <v>67</v>
      </c>
      <c r="U293" t="s">
        <v>67</v>
      </c>
      <c r="V293" t="s">
        <v>67</v>
      </c>
    </row>
    <row r="294" spans="1:22" hidden="1" x14ac:dyDescent="0.25">
      <c r="A294">
        <v>2001</v>
      </c>
      <c r="B294" t="s">
        <v>22</v>
      </c>
      <c r="C294" t="s">
        <v>64</v>
      </c>
      <c r="D294" t="s">
        <v>64</v>
      </c>
      <c r="E294" t="s">
        <v>65</v>
      </c>
      <c r="F294" t="s">
        <v>77</v>
      </c>
      <c r="G294" t="s">
        <v>23</v>
      </c>
      <c r="H294">
        <v>26</v>
      </c>
      <c r="I294">
        <v>50</v>
      </c>
      <c r="J294">
        <v>15</v>
      </c>
      <c r="K294">
        <v>2</v>
      </c>
      <c r="L294">
        <v>7</v>
      </c>
      <c r="M294" t="s">
        <v>67</v>
      </c>
      <c r="N294" t="s">
        <v>67</v>
      </c>
      <c r="O294" t="s">
        <v>67</v>
      </c>
      <c r="P294" t="s">
        <v>67</v>
      </c>
      <c r="Q294" t="s">
        <v>67</v>
      </c>
      <c r="R294" t="s">
        <v>67</v>
      </c>
      <c r="S294" t="s">
        <v>67</v>
      </c>
      <c r="T294" t="s">
        <v>67</v>
      </c>
      <c r="U294" t="s">
        <v>67</v>
      </c>
      <c r="V294" t="s">
        <v>67</v>
      </c>
    </row>
    <row r="295" spans="1:22" hidden="1" x14ac:dyDescent="0.25">
      <c r="A295">
        <v>2001</v>
      </c>
      <c r="B295" t="s">
        <v>22</v>
      </c>
      <c r="C295" t="s">
        <v>64</v>
      </c>
      <c r="D295" t="s">
        <v>64</v>
      </c>
      <c r="E295" t="s">
        <v>65</v>
      </c>
      <c r="F295" t="s">
        <v>76</v>
      </c>
      <c r="G295" t="s">
        <v>23</v>
      </c>
      <c r="H295">
        <v>29</v>
      </c>
      <c r="I295">
        <v>45</v>
      </c>
      <c r="J295">
        <v>14</v>
      </c>
      <c r="K295">
        <v>3</v>
      </c>
      <c r="L295">
        <v>9</v>
      </c>
      <c r="M295" t="s">
        <v>67</v>
      </c>
      <c r="N295" t="s">
        <v>67</v>
      </c>
      <c r="O295" t="s">
        <v>67</v>
      </c>
      <c r="P295" t="s">
        <v>67</v>
      </c>
      <c r="Q295" t="s">
        <v>67</v>
      </c>
      <c r="R295" t="s">
        <v>67</v>
      </c>
      <c r="S295" t="s">
        <v>67</v>
      </c>
      <c r="T295" t="s">
        <v>67</v>
      </c>
      <c r="U295" t="s">
        <v>67</v>
      </c>
      <c r="V295" t="s">
        <v>67</v>
      </c>
    </row>
    <row r="296" spans="1:22" x14ac:dyDescent="0.25">
      <c r="A296">
        <v>2002</v>
      </c>
      <c r="B296" t="s">
        <v>22</v>
      </c>
      <c r="C296" t="s">
        <v>64</v>
      </c>
      <c r="D296" t="s">
        <v>64</v>
      </c>
      <c r="E296" t="s">
        <v>65</v>
      </c>
      <c r="F296" t="s">
        <v>86</v>
      </c>
      <c r="G296" t="s">
        <v>23</v>
      </c>
      <c r="H296">
        <v>27</v>
      </c>
      <c r="I296">
        <v>34</v>
      </c>
      <c r="J296">
        <v>10</v>
      </c>
      <c r="K296">
        <v>12</v>
      </c>
      <c r="L296">
        <v>17</v>
      </c>
      <c r="M296">
        <f>J296+I296</f>
        <v>44</v>
      </c>
      <c r="N296">
        <v>-7.1726949512529892E-2</v>
      </c>
      <c r="O296" t="s">
        <v>67</v>
      </c>
      <c r="P296" t="s">
        <v>67</v>
      </c>
      <c r="Q296" t="s">
        <v>67</v>
      </c>
      <c r="R296" t="s">
        <v>67</v>
      </c>
      <c r="S296" t="s">
        <v>67</v>
      </c>
      <c r="T296" t="s">
        <v>67</v>
      </c>
      <c r="U296" t="s">
        <v>67</v>
      </c>
      <c r="V296" t="s">
        <v>67</v>
      </c>
    </row>
    <row r="297" spans="1:22" hidden="1" x14ac:dyDescent="0.25">
      <c r="A297">
        <v>2002</v>
      </c>
      <c r="B297" t="s">
        <v>22</v>
      </c>
      <c r="C297" t="s">
        <v>64</v>
      </c>
      <c r="D297" t="s">
        <v>64</v>
      </c>
      <c r="E297" t="s">
        <v>65</v>
      </c>
      <c r="F297" t="s">
        <v>69</v>
      </c>
      <c r="G297" t="s">
        <v>23</v>
      </c>
      <c r="H297">
        <v>28</v>
      </c>
      <c r="I297">
        <v>32</v>
      </c>
      <c r="J297">
        <v>9</v>
      </c>
      <c r="K297">
        <v>14</v>
      </c>
      <c r="L297">
        <v>17</v>
      </c>
      <c r="M297" t="s">
        <v>67</v>
      </c>
      <c r="N297" t="s">
        <v>67</v>
      </c>
      <c r="O297" t="s">
        <v>67</v>
      </c>
      <c r="P297" t="s">
        <v>67</v>
      </c>
      <c r="Q297" t="s">
        <v>67</v>
      </c>
      <c r="R297" t="s">
        <v>67</v>
      </c>
      <c r="S297" t="s">
        <v>67</v>
      </c>
      <c r="T297" t="s">
        <v>67</v>
      </c>
      <c r="U297" t="s">
        <v>67</v>
      </c>
      <c r="V297" t="s">
        <v>67</v>
      </c>
    </row>
    <row r="298" spans="1:22" hidden="1" x14ac:dyDescent="0.25">
      <c r="A298">
        <v>2002</v>
      </c>
      <c r="B298" t="s">
        <v>22</v>
      </c>
      <c r="C298" t="s">
        <v>64</v>
      </c>
      <c r="D298" t="s">
        <v>64</v>
      </c>
      <c r="E298" t="s">
        <v>65</v>
      </c>
      <c r="F298" t="s">
        <v>70</v>
      </c>
      <c r="G298" t="s">
        <v>23</v>
      </c>
      <c r="H298">
        <v>29</v>
      </c>
      <c r="I298">
        <v>33</v>
      </c>
      <c r="J298">
        <v>8</v>
      </c>
      <c r="K298">
        <v>13</v>
      </c>
      <c r="L298">
        <v>17</v>
      </c>
      <c r="M298" t="s">
        <v>67</v>
      </c>
      <c r="N298" t="s">
        <v>67</v>
      </c>
      <c r="O298" t="s">
        <v>67</v>
      </c>
      <c r="P298" t="s">
        <v>67</v>
      </c>
      <c r="Q298" t="s">
        <v>67</v>
      </c>
      <c r="R298" t="s">
        <v>67</v>
      </c>
      <c r="S298" t="s">
        <v>67</v>
      </c>
      <c r="T298" t="s">
        <v>67</v>
      </c>
      <c r="U298" t="s">
        <v>67</v>
      </c>
      <c r="V298" t="s">
        <v>67</v>
      </c>
    </row>
    <row r="299" spans="1:22" hidden="1" x14ac:dyDescent="0.25">
      <c r="A299">
        <v>2002</v>
      </c>
      <c r="B299" t="s">
        <v>22</v>
      </c>
      <c r="C299" t="s">
        <v>64</v>
      </c>
      <c r="D299" t="s">
        <v>64</v>
      </c>
      <c r="E299" t="s">
        <v>65</v>
      </c>
      <c r="F299" t="s">
        <v>71</v>
      </c>
      <c r="G299" t="s">
        <v>23</v>
      </c>
      <c r="H299">
        <v>29</v>
      </c>
      <c r="I299">
        <v>33</v>
      </c>
      <c r="J299">
        <v>9</v>
      </c>
      <c r="K299">
        <v>13</v>
      </c>
      <c r="L299">
        <v>16</v>
      </c>
      <c r="M299" t="s">
        <v>67</v>
      </c>
      <c r="N299" t="s">
        <v>67</v>
      </c>
      <c r="O299" t="s">
        <v>67</v>
      </c>
      <c r="P299" t="s">
        <v>67</v>
      </c>
      <c r="Q299" t="s">
        <v>67</v>
      </c>
      <c r="R299" t="s">
        <v>67</v>
      </c>
      <c r="S299" t="s">
        <v>67</v>
      </c>
      <c r="T299" t="s">
        <v>67</v>
      </c>
      <c r="U299" t="s">
        <v>67</v>
      </c>
      <c r="V299" t="s">
        <v>67</v>
      </c>
    </row>
    <row r="300" spans="1:22" hidden="1" x14ac:dyDescent="0.25">
      <c r="A300">
        <v>2002</v>
      </c>
      <c r="B300" t="s">
        <v>22</v>
      </c>
      <c r="C300" t="s">
        <v>64</v>
      </c>
      <c r="D300" t="s">
        <v>64</v>
      </c>
      <c r="E300" t="s">
        <v>65</v>
      </c>
      <c r="F300" t="s">
        <v>72</v>
      </c>
      <c r="G300" t="s">
        <v>23</v>
      </c>
      <c r="H300">
        <v>30</v>
      </c>
      <c r="I300">
        <v>32</v>
      </c>
      <c r="J300">
        <v>8</v>
      </c>
      <c r="K300">
        <v>13</v>
      </c>
      <c r="L300">
        <v>17</v>
      </c>
      <c r="M300" t="s">
        <v>67</v>
      </c>
      <c r="N300" t="s">
        <v>67</v>
      </c>
      <c r="O300" t="s">
        <v>67</v>
      </c>
      <c r="P300" t="s">
        <v>67</v>
      </c>
      <c r="Q300" t="s">
        <v>67</v>
      </c>
      <c r="R300" t="s">
        <v>67</v>
      </c>
      <c r="S300" t="s">
        <v>67</v>
      </c>
      <c r="T300" t="s">
        <v>67</v>
      </c>
      <c r="U300" t="s">
        <v>67</v>
      </c>
      <c r="V300" t="s">
        <v>67</v>
      </c>
    </row>
    <row r="301" spans="1:22" hidden="1" x14ac:dyDescent="0.25">
      <c r="A301">
        <v>2002</v>
      </c>
      <c r="B301" t="s">
        <v>22</v>
      </c>
      <c r="C301" t="s">
        <v>64</v>
      </c>
      <c r="D301" t="s">
        <v>64</v>
      </c>
      <c r="E301" t="s">
        <v>65</v>
      </c>
      <c r="F301" t="s">
        <v>73</v>
      </c>
      <c r="G301" t="s">
        <v>23</v>
      </c>
      <c r="H301">
        <v>30</v>
      </c>
      <c r="I301">
        <v>31</v>
      </c>
      <c r="J301">
        <v>8</v>
      </c>
      <c r="K301">
        <v>13</v>
      </c>
      <c r="L301">
        <v>18</v>
      </c>
      <c r="M301" t="s">
        <v>67</v>
      </c>
      <c r="N301" t="s">
        <v>67</v>
      </c>
      <c r="O301" t="s">
        <v>67</v>
      </c>
      <c r="P301" t="s">
        <v>67</v>
      </c>
      <c r="Q301" t="s">
        <v>67</v>
      </c>
      <c r="R301" t="s">
        <v>67</v>
      </c>
      <c r="S301" t="s">
        <v>67</v>
      </c>
      <c r="T301" t="s">
        <v>67</v>
      </c>
      <c r="U301" t="s">
        <v>67</v>
      </c>
      <c r="V301" t="s">
        <v>67</v>
      </c>
    </row>
    <row r="302" spans="1:22" hidden="1" x14ac:dyDescent="0.25">
      <c r="A302">
        <v>2002</v>
      </c>
      <c r="B302" t="s">
        <v>22</v>
      </c>
      <c r="C302" t="s">
        <v>64</v>
      </c>
      <c r="D302" t="s">
        <v>64</v>
      </c>
      <c r="E302" t="s">
        <v>65</v>
      </c>
      <c r="F302" t="s">
        <v>74</v>
      </c>
      <c r="G302" t="s">
        <v>23</v>
      </c>
      <c r="H302">
        <v>30</v>
      </c>
      <c r="I302">
        <v>33</v>
      </c>
      <c r="J302">
        <v>8</v>
      </c>
      <c r="K302">
        <v>12</v>
      </c>
      <c r="L302">
        <v>17</v>
      </c>
      <c r="M302" t="s">
        <v>67</v>
      </c>
      <c r="N302" t="s">
        <v>67</v>
      </c>
      <c r="O302" t="s">
        <v>67</v>
      </c>
      <c r="P302" t="s">
        <v>67</v>
      </c>
      <c r="Q302" t="s">
        <v>67</v>
      </c>
      <c r="R302" t="s">
        <v>67</v>
      </c>
      <c r="S302" t="s">
        <v>67</v>
      </c>
      <c r="T302" t="s">
        <v>67</v>
      </c>
      <c r="U302" t="s">
        <v>67</v>
      </c>
      <c r="V302" t="s">
        <v>67</v>
      </c>
    </row>
    <row r="303" spans="1:22" hidden="1" x14ac:dyDescent="0.25">
      <c r="A303">
        <v>2002</v>
      </c>
      <c r="B303" t="s">
        <v>22</v>
      </c>
      <c r="C303" t="s">
        <v>64</v>
      </c>
      <c r="D303" t="s">
        <v>64</v>
      </c>
      <c r="E303" t="s">
        <v>65</v>
      </c>
      <c r="F303" t="s">
        <v>75</v>
      </c>
      <c r="G303" t="s">
        <v>23</v>
      </c>
      <c r="H303">
        <v>31</v>
      </c>
      <c r="I303">
        <v>35</v>
      </c>
      <c r="J303">
        <v>7</v>
      </c>
      <c r="K303">
        <v>10</v>
      </c>
      <c r="L303">
        <v>17</v>
      </c>
      <c r="M303" t="s">
        <v>67</v>
      </c>
      <c r="N303" t="s">
        <v>67</v>
      </c>
      <c r="O303" t="s">
        <v>67</v>
      </c>
      <c r="P303" t="s">
        <v>67</v>
      </c>
      <c r="Q303" t="s">
        <v>67</v>
      </c>
      <c r="R303" t="s">
        <v>67</v>
      </c>
      <c r="S303" t="s">
        <v>67</v>
      </c>
      <c r="T303" t="s">
        <v>67</v>
      </c>
      <c r="U303" t="s">
        <v>67</v>
      </c>
      <c r="V303" t="s">
        <v>67</v>
      </c>
    </row>
    <row r="304" spans="1:22" hidden="1" x14ac:dyDescent="0.25">
      <c r="A304">
        <v>2002</v>
      </c>
      <c r="B304" t="s">
        <v>22</v>
      </c>
      <c r="C304" t="s">
        <v>64</v>
      </c>
      <c r="D304" t="s">
        <v>64</v>
      </c>
      <c r="E304" t="s">
        <v>65</v>
      </c>
      <c r="F304" t="s">
        <v>76</v>
      </c>
      <c r="G304" t="s">
        <v>23</v>
      </c>
      <c r="H304">
        <v>33</v>
      </c>
      <c r="I304">
        <v>35</v>
      </c>
      <c r="J304">
        <v>7</v>
      </c>
      <c r="K304">
        <v>9</v>
      </c>
      <c r="L304">
        <v>16</v>
      </c>
      <c r="M304" t="s">
        <v>67</v>
      </c>
      <c r="N304" t="s">
        <v>67</v>
      </c>
      <c r="O304" t="s">
        <v>67</v>
      </c>
      <c r="P304" t="s">
        <v>67</v>
      </c>
      <c r="Q304" t="s">
        <v>67</v>
      </c>
      <c r="R304" t="s">
        <v>67</v>
      </c>
      <c r="S304" t="s">
        <v>67</v>
      </c>
      <c r="T304" t="s">
        <v>67</v>
      </c>
      <c r="U304" t="s">
        <v>67</v>
      </c>
      <c r="V304" t="s">
        <v>67</v>
      </c>
    </row>
    <row r="305" spans="1:22" hidden="1" x14ac:dyDescent="0.25">
      <c r="A305">
        <v>2002</v>
      </c>
      <c r="B305" t="s">
        <v>22</v>
      </c>
      <c r="C305" t="s">
        <v>64</v>
      </c>
      <c r="D305" t="s">
        <v>64</v>
      </c>
      <c r="E305" t="s">
        <v>65</v>
      </c>
      <c r="F305" t="s">
        <v>77</v>
      </c>
      <c r="G305" t="s">
        <v>23</v>
      </c>
      <c r="H305">
        <v>33</v>
      </c>
      <c r="I305">
        <v>40</v>
      </c>
      <c r="J305">
        <v>9</v>
      </c>
      <c r="K305">
        <v>5</v>
      </c>
      <c r="L305">
        <v>13</v>
      </c>
      <c r="M305" t="s">
        <v>67</v>
      </c>
      <c r="N305" t="s">
        <v>67</v>
      </c>
      <c r="O305" t="s">
        <v>67</v>
      </c>
      <c r="P305" t="s">
        <v>67</v>
      </c>
      <c r="Q305" t="s">
        <v>67</v>
      </c>
      <c r="R305" t="s">
        <v>67</v>
      </c>
      <c r="S305" t="s">
        <v>67</v>
      </c>
      <c r="T305" t="s">
        <v>67</v>
      </c>
      <c r="U305" t="s">
        <v>67</v>
      </c>
      <c r="V305" t="s">
        <v>67</v>
      </c>
    </row>
    <row r="306" spans="1:22" hidden="1" x14ac:dyDescent="0.25">
      <c r="A306">
        <v>2002</v>
      </c>
      <c r="B306" t="s">
        <v>22</v>
      </c>
      <c r="C306" t="s">
        <v>64</v>
      </c>
      <c r="D306" t="s">
        <v>64</v>
      </c>
      <c r="E306" t="s">
        <v>65</v>
      </c>
      <c r="F306" t="s">
        <v>78</v>
      </c>
      <c r="G306" t="s">
        <v>23</v>
      </c>
      <c r="H306">
        <v>32</v>
      </c>
      <c r="I306">
        <v>43</v>
      </c>
      <c r="J306">
        <v>10</v>
      </c>
      <c r="K306">
        <v>4</v>
      </c>
      <c r="L306">
        <v>11</v>
      </c>
      <c r="M306" t="s">
        <v>67</v>
      </c>
      <c r="N306" t="s">
        <v>67</v>
      </c>
      <c r="O306" t="s">
        <v>67</v>
      </c>
      <c r="P306" t="s">
        <v>67</v>
      </c>
      <c r="Q306" t="s">
        <v>67</v>
      </c>
      <c r="R306" t="s">
        <v>67</v>
      </c>
      <c r="S306" t="s">
        <v>67</v>
      </c>
      <c r="T306" t="s">
        <v>67</v>
      </c>
      <c r="U306" t="s">
        <v>67</v>
      </c>
      <c r="V306" t="s">
        <v>67</v>
      </c>
    </row>
    <row r="307" spans="1:22" hidden="1" x14ac:dyDescent="0.25">
      <c r="A307">
        <v>2002</v>
      </c>
      <c r="B307" t="s">
        <v>22</v>
      </c>
      <c r="C307" t="s">
        <v>64</v>
      </c>
      <c r="D307" t="s">
        <v>64</v>
      </c>
      <c r="E307" t="s">
        <v>65</v>
      </c>
      <c r="F307" t="s">
        <v>79</v>
      </c>
      <c r="G307" t="s">
        <v>23</v>
      </c>
      <c r="H307">
        <v>30</v>
      </c>
      <c r="I307">
        <v>46</v>
      </c>
      <c r="J307">
        <v>12</v>
      </c>
      <c r="K307">
        <v>3</v>
      </c>
      <c r="L307">
        <v>9</v>
      </c>
      <c r="M307" t="s">
        <v>67</v>
      </c>
      <c r="N307" t="s">
        <v>67</v>
      </c>
      <c r="O307" t="s">
        <v>67</v>
      </c>
      <c r="P307" t="s">
        <v>67</v>
      </c>
      <c r="Q307" t="s">
        <v>67</v>
      </c>
      <c r="R307" t="s">
        <v>67</v>
      </c>
      <c r="S307" t="s">
        <v>67</v>
      </c>
      <c r="T307" t="s">
        <v>67</v>
      </c>
      <c r="U307" t="s">
        <v>67</v>
      </c>
      <c r="V307" t="s">
        <v>67</v>
      </c>
    </row>
    <row r="308" spans="1:22" hidden="1" x14ac:dyDescent="0.25">
      <c r="A308">
        <v>2002</v>
      </c>
      <c r="B308" t="s">
        <v>22</v>
      </c>
      <c r="C308" t="s">
        <v>64</v>
      </c>
      <c r="D308" t="s">
        <v>64</v>
      </c>
      <c r="E308" t="s">
        <v>65</v>
      </c>
      <c r="F308" t="s">
        <v>80</v>
      </c>
      <c r="G308" t="s">
        <v>23</v>
      </c>
      <c r="H308">
        <v>28</v>
      </c>
      <c r="I308">
        <v>49</v>
      </c>
      <c r="J308">
        <v>13</v>
      </c>
      <c r="K308">
        <v>2</v>
      </c>
      <c r="L308">
        <v>8</v>
      </c>
      <c r="M308" t="s">
        <v>67</v>
      </c>
      <c r="N308" t="s">
        <v>67</v>
      </c>
      <c r="O308" t="s">
        <v>67</v>
      </c>
      <c r="P308" t="s">
        <v>67</v>
      </c>
      <c r="Q308" t="s">
        <v>67</v>
      </c>
      <c r="R308" t="s">
        <v>67</v>
      </c>
      <c r="S308" t="s">
        <v>67</v>
      </c>
      <c r="T308" t="s">
        <v>67</v>
      </c>
      <c r="U308" t="s">
        <v>67</v>
      </c>
      <c r="V308" t="s">
        <v>67</v>
      </c>
    </row>
    <row r="309" spans="1:22" hidden="1" x14ac:dyDescent="0.25">
      <c r="A309">
        <v>2002</v>
      </c>
      <c r="B309" t="s">
        <v>22</v>
      </c>
      <c r="C309" t="s">
        <v>64</v>
      </c>
      <c r="D309" t="s">
        <v>64</v>
      </c>
      <c r="E309" t="s">
        <v>65</v>
      </c>
      <c r="F309" t="s">
        <v>81</v>
      </c>
      <c r="G309" t="s">
        <v>23</v>
      </c>
      <c r="H309">
        <v>29</v>
      </c>
      <c r="I309">
        <v>50</v>
      </c>
      <c r="J309">
        <v>12</v>
      </c>
      <c r="K309">
        <v>2</v>
      </c>
      <c r="L309">
        <v>7</v>
      </c>
      <c r="M309" t="s">
        <v>67</v>
      </c>
      <c r="N309" t="s">
        <v>67</v>
      </c>
      <c r="O309" t="s">
        <v>67</v>
      </c>
      <c r="P309" t="s">
        <v>67</v>
      </c>
      <c r="Q309" t="s">
        <v>67</v>
      </c>
      <c r="R309" t="s">
        <v>67</v>
      </c>
      <c r="S309" t="s">
        <v>67</v>
      </c>
      <c r="T309" t="s">
        <v>67</v>
      </c>
      <c r="U309" t="s">
        <v>67</v>
      </c>
      <c r="V309" t="s">
        <v>67</v>
      </c>
    </row>
    <row r="310" spans="1:22" hidden="1" x14ac:dyDescent="0.25">
      <c r="A310">
        <v>2002</v>
      </c>
      <c r="B310" t="s">
        <v>22</v>
      </c>
      <c r="C310" t="s">
        <v>64</v>
      </c>
      <c r="D310" t="s">
        <v>64</v>
      </c>
      <c r="E310" t="s">
        <v>65</v>
      </c>
      <c r="F310" t="s">
        <v>82</v>
      </c>
      <c r="G310" t="s">
        <v>23</v>
      </c>
      <c r="H310">
        <v>32</v>
      </c>
      <c r="I310">
        <v>49</v>
      </c>
      <c r="J310">
        <v>10</v>
      </c>
      <c r="K310">
        <v>2</v>
      </c>
      <c r="L310">
        <v>7</v>
      </c>
      <c r="M310" t="s">
        <v>67</v>
      </c>
      <c r="N310" t="s">
        <v>67</v>
      </c>
      <c r="O310" t="s">
        <v>67</v>
      </c>
      <c r="P310" t="s">
        <v>67</v>
      </c>
      <c r="Q310" t="s">
        <v>67</v>
      </c>
      <c r="R310" t="s">
        <v>67</v>
      </c>
      <c r="S310" t="s">
        <v>67</v>
      </c>
      <c r="T310" t="s">
        <v>67</v>
      </c>
      <c r="U310" t="s">
        <v>67</v>
      </c>
      <c r="V310" t="s">
        <v>67</v>
      </c>
    </row>
    <row r="311" spans="1:22" hidden="1" x14ac:dyDescent="0.25">
      <c r="A311">
        <v>2002</v>
      </c>
      <c r="B311" t="s">
        <v>22</v>
      </c>
      <c r="C311" t="s">
        <v>64</v>
      </c>
      <c r="D311" t="s">
        <v>64</v>
      </c>
      <c r="E311" t="s">
        <v>65</v>
      </c>
      <c r="F311" t="s">
        <v>83</v>
      </c>
      <c r="G311" t="s">
        <v>23</v>
      </c>
      <c r="H311">
        <v>35</v>
      </c>
      <c r="I311">
        <v>47</v>
      </c>
      <c r="J311">
        <v>7</v>
      </c>
      <c r="K311">
        <v>3</v>
      </c>
      <c r="L311">
        <v>8</v>
      </c>
      <c r="M311" t="s">
        <v>67</v>
      </c>
      <c r="N311" t="s">
        <v>67</v>
      </c>
      <c r="O311" t="s">
        <v>67</v>
      </c>
      <c r="P311" t="s">
        <v>67</v>
      </c>
      <c r="Q311" t="s">
        <v>67</v>
      </c>
      <c r="R311" t="s">
        <v>67</v>
      </c>
      <c r="S311" t="s">
        <v>67</v>
      </c>
      <c r="T311" t="s">
        <v>67</v>
      </c>
      <c r="U311" t="s">
        <v>67</v>
      </c>
      <c r="V311" t="s">
        <v>67</v>
      </c>
    </row>
    <row r="312" spans="1:22" hidden="1" x14ac:dyDescent="0.25">
      <c r="A312">
        <v>2002</v>
      </c>
      <c r="B312" t="s">
        <v>22</v>
      </c>
      <c r="C312" t="s">
        <v>64</v>
      </c>
      <c r="D312" t="s">
        <v>64</v>
      </c>
      <c r="E312" t="s">
        <v>65</v>
      </c>
      <c r="F312" t="s">
        <v>84</v>
      </c>
      <c r="G312" t="s">
        <v>23</v>
      </c>
      <c r="H312">
        <v>40</v>
      </c>
      <c r="I312">
        <v>38</v>
      </c>
      <c r="J312">
        <v>5</v>
      </c>
      <c r="K312">
        <v>4</v>
      </c>
      <c r="L312">
        <v>13</v>
      </c>
      <c r="M312" t="s">
        <v>67</v>
      </c>
      <c r="N312" t="s">
        <v>67</v>
      </c>
      <c r="O312" t="s">
        <v>67</v>
      </c>
      <c r="P312" t="s">
        <v>67</v>
      </c>
      <c r="Q312" t="s">
        <v>67</v>
      </c>
      <c r="R312" t="s">
        <v>67</v>
      </c>
      <c r="S312" t="s">
        <v>67</v>
      </c>
      <c r="T312" t="s">
        <v>67</v>
      </c>
      <c r="U312" t="s">
        <v>67</v>
      </c>
      <c r="V312" t="s">
        <v>67</v>
      </c>
    </row>
    <row r="313" spans="1:22" hidden="1" x14ac:dyDescent="0.25">
      <c r="A313">
        <v>2002</v>
      </c>
      <c r="B313" t="s">
        <v>22</v>
      </c>
      <c r="C313" t="s">
        <v>64</v>
      </c>
      <c r="D313" t="s">
        <v>64</v>
      </c>
      <c r="E313" t="s">
        <v>65</v>
      </c>
      <c r="F313" t="s">
        <v>68</v>
      </c>
      <c r="G313" t="s">
        <v>23</v>
      </c>
      <c r="H313">
        <v>28</v>
      </c>
      <c r="I313">
        <v>33</v>
      </c>
      <c r="J313">
        <v>9</v>
      </c>
      <c r="K313">
        <v>13</v>
      </c>
      <c r="L313">
        <v>17</v>
      </c>
      <c r="M313" t="s">
        <v>67</v>
      </c>
      <c r="N313" t="s">
        <v>67</v>
      </c>
      <c r="O313" t="s">
        <v>67</v>
      </c>
      <c r="P313" t="s">
        <v>67</v>
      </c>
      <c r="Q313" t="s">
        <v>67</v>
      </c>
      <c r="R313" t="s">
        <v>67</v>
      </c>
      <c r="S313" t="s">
        <v>67</v>
      </c>
      <c r="T313" t="s">
        <v>67</v>
      </c>
      <c r="U313" t="s">
        <v>67</v>
      </c>
      <c r="V313" t="s">
        <v>67</v>
      </c>
    </row>
    <row r="314" spans="1:22" hidden="1" x14ac:dyDescent="0.25">
      <c r="A314">
        <v>2002</v>
      </c>
      <c r="B314" t="s">
        <v>22</v>
      </c>
      <c r="C314" t="s">
        <v>64</v>
      </c>
      <c r="D314" t="s">
        <v>64</v>
      </c>
      <c r="E314" t="s">
        <v>65</v>
      </c>
      <c r="F314" t="s">
        <v>85</v>
      </c>
      <c r="G314" t="s">
        <v>23</v>
      </c>
      <c r="H314">
        <v>27</v>
      </c>
      <c r="I314">
        <v>33</v>
      </c>
      <c r="J314">
        <v>9</v>
      </c>
      <c r="K314">
        <v>14</v>
      </c>
      <c r="L314">
        <v>17</v>
      </c>
      <c r="M314" t="s">
        <v>67</v>
      </c>
      <c r="N314" t="s">
        <v>67</v>
      </c>
      <c r="O314" t="s">
        <v>67</v>
      </c>
      <c r="P314" t="s">
        <v>67</v>
      </c>
      <c r="Q314" t="s">
        <v>67</v>
      </c>
      <c r="R314" t="s">
        <v>67</v>
      </c>
      <c r="S314" t="s">
        <v>67</v>
      </c>
      <c r="T314" t="s">
        <v>67</v>
      </c>
      <c r="U314" t="s">
        <v>67</v>
      </c>
      <c r="V314" t="s">
        <v>67</v>
      </c>
    </row>
    <row r="315" spans="1:22" hidden="1" x14ac:dyDescent="0.25">
      <c r="A315">
        <v>2003</v>
      </c>
      <c r="B315" t="s">
        <v>22</v>
      </c>
      <c r="C315" t="s">
        <v>64</v>
      </c>
      <c r="D315" t="s">
        <v>64</v>
      </c>
      <c r="E315" t="s">
        <v>65</v>
      </c>
      <c r="F315" t="s">
        <v>77</v>
      </c>
      <c r="G315" t="s">
        <v>23</v>
      </c>
      <c r="H315">
        <v>19</v>
      </c>
      <c r="I315">
        <v>52</v>
      </c>
      <c r="J315">
        <v>22</v>
      </c>
      <c r="K315">
        <v>2</v>
      </c>
      <c r="L315">
        <v>5</v>
      </c>
      <c r="M315" t="s">
        <v>67</v>
      </c>
      <c r="N315" t="s">
        <v>67</v>
      </c>
      <c r="O315" t="s">
        <v>67</v>
      </c>
      <c r="P315" t="s">
        <v>67</v>
      </c>
      <c r="Q315" t="s">
        <v>67</v>
      </c>
      <c r="R315" t="s">
        <v>67</v>
      </c>
      <c r="S315" t="s">
        <v>67</v>
      </c>
      <c r="T315" t="s">
        <v>67</v>
      </c>
      <c r="U315" t="s">
        <v>67</v>
      </c>
      <c r="V315" t="s">
        <v>67</v>
      </c>
    </row>
    <row r="316" spans="1:22" hidden="1" x14ac:dyDescent="0.25">
      <c r="A316">
        <v>2003</v>
      </c>
      <c r="B316" t="s">
        <v>22</v>
      </c>
      <c r="C316" t="s">
        <v>64</v>
      </c>
      <c r="D316" t="s">
        <v>64</v>
      </c>
      <c r="E316" t="s">
        <v>65</v>
      </c>
      <c r="F316" t="s">
        <v>68</v>
      </c>
      <c r="G316" t="s">
        <v>23</v>
      </c>
      <c r="H316">
        <v>30</v>
      </c>
      <c r="I316">
        <v>36</v>
      </c>
      <c r="J316">
        <v>10</v>
      </c>
      <c r="K316">
        <v>9</v>
      </c>
      <c r="L316">
        <v>15</v>
      </c>
      <c r="M316" t="s">
        <v>67</v>
      </c>
      <c r="N316" t="s">
        <v>67</v>
      </c>
      <c r="O316" t="s">
        <v>67</v>
      </c>
      <c r="P316" t="s">
        <v>67</v>
      </c>
      <c r="Q316" t="s">
        <v>67</v>
      </c>
      <c r="R316" t="s">
        <v>67</v>
      </c>
      <c r="S316" t="s">
        <v>67</v>
      </c>
      <c r="T316" t="s">
        <v>67</v>
      </c>
      <c r="U316" t="s">
        <v>67</v>
      </c>
      <c r="V316" t="s">
        <v>67</v>
      </c>
    </row>
    <row r="317" spans="1:22" hidden="1" x14ac:dyDescent="0.25">
      <c r="A317">
        <v>2003</v>
      </c>
      <c r="B317" t="s">
        <v>22</v>
      </c>
      <c r="C317" t="s">
        <v>64</v>
      </c>
      <c r="D317" t="s">
        <v>64</v>
      </c>
      <c r="E317" t="s">
        <v>65</v>
      </c>
      <c r="F317" t="s">
        <v>85</v>
      </c>
      <c r="G317" t="s">
        <v>23</v>
      </c>
      <c r="H317">
        <v>30</v>
      </c>
      <c r="I317">
        <v>35</v>
      </c>
      <c r="J317">
        <v>9</v>
      </c>
      <c r="K317">
        <v>10</v>
      </c>
      <c r="L317">
        <v>16</v>
      </c>
      <c r="M317" t="s">
        <v>67</v>
      </c>
      <c r="N317" t="s">
        <v>67</v>
      </c>
      <c r="O317" t="s">
        <v>67</v>
      </c>
      <c r="P317" t="s">
        <v>67</v>
      </c>
      <c r="Q317" t="s">
        <v>67</v>
      </c>
      <c r="R317" t="s">
        <v>67</v>
      </c>
      <c r="S317" t="s">
        <v>67</v>
      </c>
      <c r="T317" t="s">
        <v>67</v>
      </c>
      <c r="U317" t="s">
        <v>67</v>
      </c>
      <c r="V317" t="s">
        <v>67</v>
      </c>
    </row>
    <row r="318" spans="1:22" hidden="1" x14ac:dyDescent="0.25">
      <c r="A318">
        <v>2003</v>
      </c>
      <c r="B318" t="s">
        <v>22</v>
      </c>
      <c r="C318" t="s">
        <v>64</v>
      </c>
      <c r="D318" t="s">
        <v>64</v>
      </c>
      <c r="E318" t="s">
        <v>65</v>
      </c>
      <c r="F318" t="s">
        <v>69</v>
      </c>
      <c r="G318" t="s">
        <v>23</v>
      </c>
      <c r="H318">
        <v>29</v>
      </c>
      <c r="I318">
        <v>35</v>
      </c>
      <c r="J318">
        <v>9</v>
      </c>
      <c r="K318">
        <v>11</v>
      </c>
      <c r="L318">
        <v>16</v>
      </c>
      <c r="M318" t="s">
        <v>67</v>
      </c>
      <c r="N318" t="s">
        <v>67</v>
      </c>
      <c r="O318" t="s">
        <v>67</v>
      </c>
      <c r="P318" t="s">
        <v>67</v>
      </c>
      <c r="Q318" t="s">
        <v>67</v>
      </c>
      <c r="R318" t="s">
        <v>67</v>
      </c>
      <c r="S318" t="s">
        <v>67</v>
      </c>
      <c r="T318" t="s">
        <v>67</v>
      </c>
      <c r="U318" t="s">
        <v>67</v>
      </c>
      <c r="V318" t="s">
        <v>67</v>
      </c>
    </row>
    <row r="319" spans="1:22" hidden="1" x14ac:dyDescent="0.25">
      <c r="A319">
        <v>2003</v>
      </c>
      <c r="B319" t="s">
        <v>22</v>
      </c>
      <c r="C319" t="s">
        <v>64</v>
      </c>
      <c r="D319" t="s">
        <v>64</v>
      </c>
      <c r="E319" t="s">
        <v>65</v>
      </c>
      <c r="F319" t="s">
        <v>70</v>
      </c>
      <c r="G319" t="s">
        <v>23</v>
      </c>
      <c r="H319">
        <v>29</v>
      </c>
      <c r="I319">
        <v>36</v>
      </c>
      <c r="J319">
        <v>10</v>
      </c>
      <c r="K319">
        <v>9</v>
      </c>
      <c r="L319">
        <v>16</v>
      </c>
      <c r="M319" t="s">
        <v>67</v>
      </c>
      <c r="N319" t="s">
        <v>67</v>
      </c>
      <c r="O319" t="s">
        <v>67</v>
      </c>
      <c r="P319" t="s">
        <v>67</v>
      </c>
      <c r="Q319" t="s">
        <v>67</v>
      </c>
      <c r="R319" t="s">
        <v>67</v>
      </c>
      <c r="S319" t="s">
        <v>67</v>
      </c>
      <c r="T319" t="s">
        <v>67</v>
      </c>
      <c r="U319" t="s">
        <v>67</v>
      </c>
      <c r="V319" t="s">
        <v>67</v>
      </c>
    </row>
    <row r="320" spans="1:22" hidden="1" x14ac:dyDescent="0.25">
      <c r="A320">
        <v>2003</v>
      </c>
      <c r="B320" t="s">
        <v>22</v>
      </c>
      <c r="C320" t="s">
        <v>64</v>
      </c>
      <c r="D320" t="s">
        <v>64</v>
      </c>
      <c r="E320" t="s">
        <v>65</v>
      </c>
      <c r="F320" t="s">
        <v>71</v>
      </c>
      <c r="G320" t="s">
        <v>23</v>
      </c>
      <c r="H320">
        <v>29</v>
      </c>
      <c r="I320">
        <v>39</v>
      </c>
      <c r="J320">
        <v>11</v>
      </c>
      <c r="K320">
        <v>8</v>
      </c>
      <c r="L320">
        <v>13</v>
      </c>
      <c r="M320" t="s">
        <v>67</v>
      </c>
      <c r="N320" t="s">
        <v>67</v>
      </c>
      <c r="O320" t="s">
        <v>67</v>
      </c>
      <c r="P320" t="s">
        <v>67</v>
      </c>
      <c r="Q320" t="s">
        <v>67</v>
      </c>
      <c r="R320" t="s">
        <v>67</v>
      </c>
      <c r="S320" t="s">
        <v>67</v>
      </c>
      <c r="T320" t="s">
        <v>67</v>
      </c>
      <c r="U320" t="s">
        <v>67</v>
      </c>
      <c r="V320" t="s">
        <v>67</v>
      </c>
    </row>
    <row r="321" spans="1:22" hidden="1" x14ac:dyDescent="0.25">
      <c r="A321">
        <v>2003</v>
      </c>
      <c r="B321" t="s">
        <v>22</v>
      </c>
      <c r="C321" t="s">
        <v>64</v>
      </c>
      <c r="D321" t="s">
        <v>64</v>
      </c>
      <c r="E321" t="s">
        <v>65</v>
      </c>
      <c r="F321" t="s">
        <v>72</v>
      </c>
      <c r="G321" t="s">
        <v>23</v>
      </c>
      <c r="H321">
        <v>24</v>
      </c>
      <c r="I321">
        <v>44</v>
      </c>
      <c r="J321">
        <v>16</v>
      </c>
      <c r="K321">
        <v>6</v>
      </c>
      <c r="L321">
        <v>10</v>
      </c>
      <c r="M321" t="s">
        <v>67</v>
      </c>
      <c r="N321" t="s">
        <v>67</v>
      </c>
      <c r="O321" t="s">
        <v>67</v>
      </c>
      <c r="P321" t="s">
        <v>67</v>
      </c>
      <c r="Q321" t="s">
        <v>67</v>
      </c>
      <c r="R321" t="s">
        <v>67</v>
      </c>
      <c r="S321" t="s">
        <v>67</v>
      </c>
      <c r="T321" t="s">
        <v>67</v>
      </c>
      <c r="U321" t="s">
        <v>67</v>
      </c>
      <c r="V321" t="s">
        <v>67</v>
      </c>
    </row>
    <row r="322" spans="1:22" hidden="1" x14ac:dyDescent="0.25">
      <c r="A322">
        <v>2003</v>
      </c>
      <c r="B322" t="s">
        <v>22</v>
      </c>
      <c r="C322" t="s">
        <v>64</v>
      </c>
      <c r="D322" t="s">
        <v>64</v>
      </c>
      <c r="E322" t="s">
        <v>65</v>
      </c>
      <c r="F322" t="s">
        <v>73</v>
      </c>
      <c r="G322" t="s">
        <v>23</v>
      </c>
      <c r="H322">
        <v>22</v>
      </c>
      <c r="I322">
        <v>45</v>
      </c>
      <c r="J322">
        <v>20</v>
      </c>
      <c r="K322">
        <v>4</v>
      </c>
      <c r="L322">
        <v>9</v>
      </c>
      <c r="M322" t="s">
        <v>67</v>
      </c>
      <c r="N322" t="s">
        <v>67</v>
      </c>
      <c r="O322" t="s">
        <v>67</v>
      </c>
      <c r="P322" t="s">
        <v>67</v>
      </c>
      <c r="Q322" t="s">
        <v>67</v>
      </c>
      <c r="R322" t="s">
        <v>67</v>
      </c>
      <c r="S322" t="s">
        <v>67</v>
      </c>
      <c r="T322" t="s">
        <v>67</v>
      </c>
      <c r="U322" t="s">
        <v>67</v>
      </c>
      <c r="V322" t="s">
        <v>67</v>
      </c>
    </row>
    <row r="323" spans="1:22" hidden="1" x14ac:dyDescent="0.25">
      <c r="A323">
        <v>2003</v>
      </c>
      <c r="B323" t="s">
        <v>22</v>
      </c>
      <c r="C323" t="s">
        <v>64</v>
      </c>
      <c r="D323" t="s">
        <v>64</v>
      </c>
      <c r="E323" t="s">
        <v>65</v>
      </c>
      <c r="F323" t="s">
        <v>74</v>
      </c>
      <c r="G323" t="s">
        <v>23</v>
      </c>
      <c r="H323">
        <v>22</v>
      </c>
      <c r="I323">
        <v>47</v>
      </c>
      <c r="J323">
        <v>20</v>
      </c>
      <c r="K323">
        <v>3</v>
      </c>
      <c r="L323">
        <v>8</v>
      </c>
      <c r="M323" t="s">
        <v>67</v>
      </c>
      <c r="N323" t="s">
        <v>67</v>
      </c>
      <c r="O323" t="s">
        <v>67</v>
      </c>
      <c r="P323" t="s">
        <v>67</v>
      </c>
      <c r="Q323" t="s">
        <v>67</v>
      </c>
      <c r="R323" t="s">
        <v>67</v>
      </c>
      <c r="S323" t="s">
        <v>67</v>
      </c>
      <c r="T323" t="s">
        <v>67</v>
      </c>
      <c r="U323" t="s">
        <v>67</v>
      </c>
      <c r="V323" t="s">
        <v>67</v>
      </c>
    </row>
    <row r="324" spans="1:22" hidden="1" x14ac:dyDescent="0.25">
      <c r="A324">
        <v>2003</v>
      </c>
      <c r="B324" t="s">
        <v>22</v>
      </c>
      <c r="C324" t="s">
        <v>64</v>
      </c>
      <c r="D324" t="s">
        <v>64</v>
      </c>
      <c r="E324" t="s">
        <v>65</v>
      </c>
      <c r="F324" t="s">
        <v>75</v>
      </c>
      <c r="G324" t="s">
        <v>23</v>
      </c>
      <c r="H324">
        <v>21</v>
      </c>
      <c r="I324">
        <v>48</v>
      </c>
      <c r="J324">
        <v>21</v>
      </c>
      <c r="K324">
        <v>3</v>
      </c>
      <c r="L324">
        <v>7</v>
      </c>
      <c r="M324" t="s">
        <v>67</v>
      </c>
      <c r="N324" t="s">
        <v>67</v>
      </c>
      <c r="O324" t="s">
        <v>67</v>
      </c>
      <c r="P324" t="s">
        <v>67</v>
      </c>
      <c r="Q324" t="s">
        <v>67</v>
      </c>
      <c r="R324" t="s">
        <v>67</v>
      </c>
      <c r="S324" t="s">
        <v>67</v>
      </c>
      <c r="T324" t="s">
        <v>67</v>
      </c>
      <c r="U324" t="s">
        <v>67</v>
      </c>
      <c r="V324" t="s">
        <v>67</v>
      </c>
    </row>
    <row r="325" spans="1:22" hidden="1" x14ac:dyDescent="0.25">
      <c r="A325">
        <v>2003</v>
      </c>
      <c r="B325" t="s">
        <v>22</v>
      </c>
      <c r="C325" t="s">
        <v>64</v>
      </c>
      <c r="D325" t="s">
        <v>64</v>
      </c>
      <c r="E325" t="s">
        <v>65</v>
      </c>
      <c r="F325" t="s">
        <v>76</v>
      </c>
      <c r="G325" t="s">
        <v>23</v>
      </c>
      <c r="H325">
        <v>20</v>
      </c>
      <c r="I325">
        <v>50</v>
      </c>
      <c r="J325">
        <v>22</v>
      </c>
      <c r="K325">
        <v>2</v>
      </c>
      <c r="L325">
        <v>6</v>
      </c>
      <c r="M325" t="s">
        <v>67</v>
      </c>
      <c r="N325" t="s">
        <v>67</v>
      </c>
      <c r="O325" t="s">
        <v>67</v>
      </c>
      <c r="P325" t="s">
        <v>67</v>
      </c>
      <c r="Q325" t="s">
        <v>67</v>
      </c>
      <c r="R325" t="s">
        <v>67</v>
      </c>
      <c r="S325" t="s">
        <v>67</v>
      </c>
      <c r="T325" t="s">
        <v>67</v>
      </c>
      <c r="U325" t="s">
        <v>67</v>
      </c>
      <c r="V325" t="s">
        <v>67</v>
      </c>
    </row>
    <row r="326" spans="1:22" hidden="1" x14ac:dyDescent="0.25">
      <c r="A326">
        <v>2003</v>
      </c>
      <c r="B326" t="s">
        <v>22</v>
      </c>
      <c r="C326" t="s">
        <v>64</v>
      </c>
      <c r="D326" t="s">
        <v>64</v>
      </c>
      <c r="E326" t="s">
        <v>65</v>
      </c>
      <c r="F326" t="s">
        <v>78</v>
      </c>
      <c r="G326" t="s">
        <v>23</v>
      </c>
      <c r="H326">
        <v>21</v>
      </c>
      <c r="I326">
        <v>54</v>
      </c>
      <c r="J326">
        <v>19</v>
      </c>
      <c r="K326">
        <v>1</v>
      </c>
      <c r="L326">
        <v>5</v>
      </c>
      <c r="M326" t="s">
        <v>67</v>
      </c>
      <c r="N326" t="s">
        <v>67</v>
      </c>
      <c r="O326" t="s">
        <v>67</v>
      </c>
      <c r="P326" t="s">
        <v>67</v>
      </c>
      <c r="Q326" t="s">
        <v>67</v>
      </c>
      <c r="R326" t="s">
        <v>67</v>
      </c>
      <c r="S326" t="s">
        <v>67</v>
      </c>
      <c r="T326" t="s">
        <v>67</v>
      </c>
      <c r="U326" t="s">
        <v>67</v>
      </c>
      <c r="V326" t="s">
        <v>67</v>
      </c>
    </row>
    <row r="327" spans="1:22" hidden="1" x14ac:dyDescent="0.25">
      <c r="A327">
        <v>2003</v>
      </c>
      <c r="B327" t="s">
        <v>22</v>
      </c>
      <c r="C327" t="s">
        <v>64</v>
      </c>
      <c r="D327" t="s">
        <v>64</v>
      </c>
      <c r="E327" t="s">
        <v>65</v>
      </c>
      <c r="F327" t="s">
        <v>79</v>
      </c>
      <c r="G327" t="s">
        <v>23</v>
      </c>
      <c r="H327">
        <v>20</v>
      </c>
      <c r="I327">
        <v>56</v>
      </c>
      <c r="J327">
        <v>19</v>
      </c>
      <c r="K327">
        <v>1</v>
      </c>
      <c r="L327">
        <v>4</v>
      </c>
      <c r="M327" t="s">
        <v>67</v>
      </c>
      <c r="N327" t="s">
        <v>67</v>
      </c>
      <c r="O327" t="s">
        <v>67</v>
      </c>
      <c r="P327" t="s">
        <v>67</v>
      </c>
      <c r="Q327" t="s">
        <v>67</v>
      </c>
      <c r="R327" t="s">
        <v>67</v>
      </c>
      <c r="S327" t="s">
        <v>67</v>
      </c>
      <c r="T327" t="s">
        <v>67</v>
      </c>
      <c r="U327" t="s">
        <v>67</v>
      </c>
      <c r="V327" t="s">
        <v>67</v>
      </c>
    </row>
    <row r="328" spans="1:22" hidden="1" x14ac:dyDescent="0.25">
      <c r="A328">
        <v>2003</v>
      </c>
      <c r="B328" t="s">
        <v>22</v>
      </c>
      <c r="C328" t="s">
        <v>64</v>
      </c>
      <c r="D328" t="s">
        <v>64</v>
      </c>
      <c r="E328" t="s">
        <v>65</v>
      </c>
      <c r="F328" t="s">
        <v>80</v>
      </c>
      <c r="G328" t="s">
        <v>23</v>
      </c>
      <c r="H328">
        <v>21</v>
      </c>
      <c r="I328">
        <v>56</v>
      </c>
      <c r="J328">
        <v>17</v>
      </c>
      <c r="K328">
        <v>1</v>
      </c>
      <c r="L328">
        <v>5</v>
      </c>
      <c r="M328" t="s">
        <v>67</v>
      </c>
      <c r="N328" t="s">
        <v>67</v>
      </c>
      <c r="O328" t="s">
        <v>67</v>
      </c>
      <c r="P328" t="s">
        <v>67</v>
      </c>
      <c r="Q328" t="s">
        <v>67</v>
      </c>
      <c r="R328" t="s">
        <v>67</v>
      </c>
      <c r="S328" t="s">
        <v>67</v>
      </c>
      <c r="T328" t="s">
        <v>67</v>
      </c>
      <c r="U328" t="s">
        <v>67</v>
      </c>
      <c r="V328" t="s">
        <v>67</v>
      </c>
    </row>
    <row r="329" spans="1:22" hidden="1" x14ac:dyDescent="0.25">
      <c r="A329">
        <v>2003</v>
      </c>
      <c r="B329" t="s">
        <v>22</v>
      </c>
      <c r="C329" t="s">
        <v>64</v>
      </c>
      <c r="D329" t="s">
        <v>64</v>
      </c>
      <c r="E329" t="s">
        <v>65</v>
      </c>
      <c r="F329" t="s">
        <v>81</v>
      </c>
      <c r="G329" t="s">
        <v>23</v>
      </c>
      <c r="H329">
        <v>23</v>
      </c>
      <c r="I329">
        <v>56</v>
      </c>
      <c r="J329">
        <v>15</v>
      </c>
      <c r="K329">
        <v>1</v>
      </c>
      <c r="L329">
        <v>5</v>
      </c>
      <c r="M329" t="s">
        <v>67</v>
      </c>
      <c r="N329" t="s">
        <v>67</v>
      </c>
      <c r="O329" t="s">
        <v>67</v>
      </c>
      <c r="P329" t="s">
        <v>67</v>
      </c>
      <c r="Q329" t="s">
        <v>67</v>
      </c>
      <c r="R329" t="s">
        <v>67</v>
      </c>
      <c r="S329" t="s">
        <v>67</v>
      </c>
      <c r="T329" t="s">
        <v>67</v>
      </c>
      <c r="U329" t="s">
        <v>67</v>
      </c>
      <c r="V329" t="s">
        <v>67</v>
      </c>
    </row>
    <row r="330" spans="1:22" hidden="1" x14ac:dyDescent="0.25">
      <c r="A330">
        <v>2003</v>
      </c>
      <c r="B330" t="s">
        <v>22</v>
      </c>
      <c r="C330" t="s">
        <v>64</v>
      </c>
      <c r="D330" t="s">
        <v>64</v>
      </c>
      <c r="E330" t="s">
        <v>65</v>
      </c>
      <c r="F330" t="s">
        <v>82</v>
      </c>
      <c r="G330" t="s">
        <v>23</v>
      </c>
      <c r="H330">
        <v>25</v>
      </c>
      <c r="I330">
        <v>55</v>
      </c>
      <c r="J330">
        <v>14</v>
      </c>
      <c r="K330">
        <v>1</v>
      </c>
      <c r="L330">
        <v>5</v>
      </c>
      <c r="M330" t="s">
        <v>67</v>
      </c>
      <c r="N330" t="s">
        <v>67</v>
      </c>
      <c r="O330" t="s">
        <v>67</v>
      </c>
      <c r="P330" t="s">
        <v>67</v>
      </c>
      <c r="Q330" t="s">
        <v>67</v>
      </c>
      <c r="R330" t="s">
        <v>67</v>
      </c>
      <c r="S330" t="s">
        <v>67</v>
      </c>
      <c r="T330" t="s">
        <v>67</v>
      </c>
      <c r="U330" t="s">
        <v>67</v>
      </c>
      <c r="V330" t="s">
        <v>67</v>
      </c>
    </row>
    <row r="331" spans="1:22" hidden="1" x14ac:dyDescent="0.25">
      <c r="A331">
        <v>2003</v>
      </c>
      <c r="B331" t="s">
        <v>22</v>
      </c>
      <c r="C331" t="s">
        <v>64</v>
      </c>
      <c r="D331" t="s">
        <v>64</v>
      </c>
      <c r="E331" t="s">
        <v>65</v>
      </c>
      <c r="F331" t="s">
        <v>83</v>
      </c>
      <c r="G331" t="s">
        <v>23</v>
      </c>
      <c r="H331">
        <v>27</v>
      </c>
      <c r="I331">
        <v>55</v>
      </c>
      <c r="J331">
        <v>13</v>
      </c>
      <c r="K331">
        <v>1</v>
      </c>
      <c r="L331">
        <v>4</v>
      </c>
      <c r="M331" t="s">
        <v>67</v>
      </c>
      <c r="N331" t="s">
        <v>67</v>
      </c>
      <c r="O331" t="s">
        <v>67</v>
      </c>
      <c r="P331" t="s">
        <v>67</v>
      </c>
      <c r="Q331" t="s">
        <v>67</v>
      </c>
      <c r="R331" t="s">
        <v>67</v>
      </c>
      <c r="S331" t="s">
        <v>67</v>
      </c>
      <c r="T331" t="s">
        <v>67</v>
      </c>
      <c r="U331" t="s">
        <v>67</v>
      </c>
      <c r="V331" t="s">
        <v>67</v>
      </c>
    </row>
    <row r="332" spans="1:22" x14ac:dyDescent="0.25">
      <c r="A332">
        <v>2003</v>
      </c>
      <c r="B332" t="s">
        <v>22</v>
      </c>
      <c r="C332" t="s">
        <v>64</v>
      </c>
      <c r="D332" t="s">
        <v>64</v>
      </c>
      <c r="E332" t="s">
        <v>65</v>
      </c>
      <c r="F332" t="s">
        <v>90</v>
      </c>
      <c r="G332" t="s">
        <v>23</v>
      </c>
      <c r="H332">
        <v>28</v>
      </c>
      <c r="I332">
        <v>40</v>
      </c>
      <c r="J332">
        <v>13</v>
      </c>
      <c r="K332">
        <v>7</v>
      </c>
      <c r="L332">
        <v>12</v>
      </c>
      <c r="M332">
        <f>J332+I332</f>
        <v>53</v>
      </c>
      <c r="N332">
        <v>9.7342852756776566E-3</v>
      </c>
      <c r="O332" t="s">
        <v>67</v>
      </c>
      <c r="P332" t="s">
        <v>67</v>
      </c>
      <c r="Q332" t="s">
        <v>67</v>
      </c>
      <c r="R332" t="s">
        <v>67</v>
      </c>
      <c r="S332" t="s">
        <v>67</v>
      </c>
      <c r="T332" t="s">
        <v>67</v>
      </c>
      <c r="U332" t="s">
        <v>67</v>
      </c>
      <c r="V332" t="s">
        <v>67</v>
      </c>
    </row>
    <row r="333" spans="1:22" hidden="1" x14ac:dyDescent="0.25">
      <c r="A333">
        <v>2004</v>
      </c>
      <c r="B333" t="s">
        <v>22</v>
      </c>
      <c r="C333" t="s">
        <v>64</v>
      </c>
      <c r="D333" t="s">
        <v>64</v>
      </c>
      <c r="E333" t="s">
        <v>65</v>
      </c>
      <c r="F333" t="s">
        <v>75</v>
      </c>
      <c r="G333" t="s">
        <v>23</v>
      </c>
      <c r="H333">
        <v>17</v>
      </c>
      <c r="I333">
        <v>52</v>
      </c>
      <c r="J333">
        <v>25</v>
      </c>
      <c r="K333">
        <v>1</v>
      </c>
      <c r="L333">
        <v>5</v>
      </c>
      <c r="M333" t="s">
        <v>67</v>
      </c>
      <c r="N333" t="s">
        <v>67</v>
      </c>
      <c r="O333" t="s">
        <v>67</v>
      </c>
      <c r="P333" t="s">
        <v>67</v>
      </c>
      <c r="Q333" t="s">
        <v>67</v>
      </c>
      <c r="R333" t="s">
        <v>67</v>
      </c>
      <c r="S333" t="s">
        <v>67</v>
      </c>
      <c r="T333" t="s">
        <v>67</v>
      </c>
      <c r="U333" t="s">
        <v>67</v>
      </c>
      <c r="V333" t="s">
        <v>67</v>
      </c>
    </row>
    <row r="334" spans="1:22" hidden="1" x14ac:dyDescent="0.25">
      <c r="A334">
        <v>2004</v>
      </c>
      <c r="B334" t="s">
        <v>22</v>
      </c>
      <c r="C334" t="s">
        <v>64</v>
      </c>
      <c r="D334" t="s">
        <v>64</v>
      </c>
      <c r="E334" t="s">
        <v>65</v>
      </c>
      <c r="F334" t="s">
        <v>68</v>
      </c>
      <c r="G334" t="s">
        <v>23</v>
      </c>
      <c r="H334">
        <v>20</v>
      </c>
      <c r="I334">
        <v>47</v>
      </c>
      <c r="J334">
        <v>23</v>
      </c>
      <c r="K334">
        <v>3</v>
      </c>
      <c r="L334">
        <v>7</v>
      </c>
      <c r="M334" t="s">
        <v>67</v>
      </c>
      <c r="N334" t="s">
        <v>67</v>
      </c>
      <c r="O334" t="s">
        <v>67</v>
      </c>
      <c r="P334" t="s">
        <v>67</v>
      </c>
      <c r="Q334" t="s">
        <v>67</v>
      </c>
      <c r="R334" t="s">
        <v>67</v>
      </c>
      <c r="S334" t="s">
        <v>67</v>
      </c>
      <c r="T334" t="s">
        <v>67</v>
      </c>
      <c r="U334" t="s">
        <v>67</v>
      </c>
      <c r="V334" t="s">
        <v>67</v>
      </c>
    </row>
    <row r="335" spans="1:22" hidden="1" x14ac:dyDescent="0.25">
      <c r="A335">
        <v>2004</v>
      </c>
      <c r="B335" t="s">
        <v>22</v>
      </c>
      <c r="C335" t="s">
        <v>64</v>
      </c>
      <c r="D335" t="s">
        <v>64</v>
      </c>
      <c r="E335" t="s">
        <v>65</v>
      </c>
      <c r="F335" t="s">
        <v>85</v>
      </c>
      <c r="G335" t="s">
        <v>23</v>
      </c>
      <c r="H335">
        <v>21</v>
      </c>
      <c r="I335">
        <v>47</v>
      </c>
      <c r="J335">
        <v>22</v>
      </c>
      <c r="K335">
        <v>3</v>
      </c>
      <c r="L335">
        <v>7</v>
      </c>
      <c r="M335" t="s">
        <v>67</v>
      </c>
      <c r="N335" t="s">
        <v>67</v>
      </c>
      <c r="O335" t="s">
        <v>67</v>
      </c>
      <c r="P335" t="s">
        <v>67</v>
      </c>
      <c r="Q335" t="s">
        <v>67</v>
      </c>
      <c r="R335" t="s">
        <v>67</v>
      </c>
      <c r="S335" t="s">
        <v>67</v>
      </c>
      <c r="T335" t="s">
        <v>67</v>
      </c>
      <c r="U335" t="s">
        <v>67</v>
      </c>
      <c r="V335" t="s">
        <v>67</v>
      </c>
    </row>
    <row r="336" spans="1:22" hidden="1" x14ac:dyDescent="0.25">
      <c r="A336">
        <v>2004</v>
      </c>
      <c r="B336" t="s">
        <v>22</v>
      </c>
      <c r="C336" t="s">
        <v>64</v>
      </c>
      <c r="D336" t="s">
        <v>64</v>
      </c>
      <c r="E336" t="s">
        <v>65</v>
      </c>
      <c r="F336" t="s">
        <v>69</v>
      </c>
      <c r="G336" t="s">
        <v>23</v>
      </c>
      <c r="H336">
        <v>21</v>
      </c>
      <c r="I336">
        <v>49</v>
      </c>
      <c r="J336">
        <v>20</v>
      </c>
      <c r="K336">
        <v>3</v>
      </c>
      <c r="L336">
        <v>7</v>
      </c>
      <c r="M336" t="s">
        <v>67</v>
      </c>
      <c r="N336" t="s">
        <v>67</v>
      </c>
      <c r="O336" t="s">
        <v>67</v>
      </c>
      <c r="P336" t="s">
        <v>67</v>
      </c>
      <c r="Q336" t="s">
        <v>67</v>
      </c>
      <c r="R336" t="s">
        <v>67</v>
      </c>
      <c r="S336" t="s">
        <v>67</v>
      </c>
      <c r="T336" t="s">
        <v>67</v>
      </c>
      <c r="U336" t="s">
        <v>67</v>
      </c>
      <c r="V336" t="s">
        <v>67</v>
      </c>
    </row>
    <row r="337" spans="1:22" hidden="1" x14ac:dyDescent="0.25">
      <c r="A337">
        <v>2004</v>
      </c>
      <c r="B337" t="s">
        <v>22</v>
      </c>
      <c r="C337" t="s">
        <v>64</v>
      </c>
      <c r="D337" t="s">
        <v>64</v>
      </c>
      <c r="E337" t="s">
        <v>65</v>
      </c>
      <c r="F337" t="s">
        <v>70</v>
      </c>
      <c r="G337" t="s">
        <v>23</v>
      </c>
      <c r="H337">
        <v>21</v>
      </c>
      <c r="I337">
        <v>49</v>
      </c>
      <c r="J337">
        <v>21</v>
      </c>
      <c r="K337">
        <v>2</v>
      </c>
      <c r="L337">
        <v>7</v>
      </c>
      <c r="M337" t="s">
        <v>67</v>
      </c>
      <c r="N337" t="s">
        <v>67</v>
      </c>
      <c r="O337" t="s">
        <v>67</v>
      </c>
      <c r="P337" t="s">
        <v>67</v>
      </c>
      <c r="Q337" t="s">
        <v>67</v>
      </c>
      <c r="R337" t="s">
        <v>67</v>
      </c>
      <c r="S337" t="s">
        <v>67</v>
      </c>
      <c r="T337" t="s">
        <v>67</v>
      </c>
      <c r="U337" t="s">
        <v>67</v>
      </c>
      <c r="V337" t="s">
        <v>67</v>
      </c>
    </row>
    <row r="338" spans="1:22" hidden="1" x14ac:dyDescent="0.25">
      <c r="A338">
        <v>2004</v>
      </c>
      <c r="B338" t="s">
        <v>22</v>
      </c>
      <c r="C338" t="s">
        <v>64</v>
      </c>
      <c r="D338" t="s">
        <v>64</v>
      </c>
      <c r="E338" t="s">
        <v>65</v>
      </c>
      <c r="F338" t="s">
        <v>71</v>
      </c>
      <c r="G338" t="s">
        <v>23</v>
      </c>
      <c r="H338">
        <v>20</v>
      </c>
      <c r="I338">
        <v>48</v>
      </c>
      <c r="J338">
        <v>23</v>
      </c>
      <c r="K338">
        <v>2</v>
      </c>
      <c r="L338">
        <v>7</v>
      </c>
      <c r="M338" t="s">
        <v>67</v>
      </c>
      <c r="N338" t="s">
        <v>67</v>
      </c>
      <c r="O338" t="s">
        <v>67</v>
      </c>
      <c r="P338" t="s">
        <v>67</v>
      </c>
      <c r="Q338" t="s">
        <v>67</v>
      </c>
      <c r="R338" t="s">
        <v>67</v>
      </c>
      <c r="S338" t="s">
        <v>67</v>
      </c>
      <c r="T338" t="s">
        <v>67</v>
      </c>
      <c r="U338" t="s">
        <v>67</v>
      </c>
      <c r="V338" t="s">
        <v>67</v>
      </c>
    </row>
    <row r="339" spans="1:22" hidden="1" x14ac:dyDescent="0.25">
      <c r="A339">
        <v>2004</v>
      </c>
      <c r="B339" t="s">
        <v>22</v>
      </c>
      <c r="C339" t="s">
        <v>64</v>
      </c>
      <c r="D339" t="s">
        <v>64</v>
      </c>
      <c r="E339" t="s">
        <v>65</v>
      </c>
      <c r="F339" t="s">
        <v>72</v>
      </c>
      <c r="G339" t="s">
        <v>23</v>
      </c>
      <c r="H339">
        <v>19</v>
      </c>
      <c r="I339">
        <v>48</v>
      </c>
      <c r="J339">
        <v>25</v>
      </c>
      <c r="K339">
        <v>2</v>
      </c>
      <c r="L339">
        <v>6</v>
      </c>
      <c r="M339" t="s">
        <v>67</v>
      </c>
      <c r="N339" t="s">
        <v>67</v>
      </c>
      <c r="O339" t="s">
        <v>67</v>
      </c>
      <c r="P339" t="s">
        <v>67</v>
      </c>
      <c r="Q339" t="s">
        <v>67</v>
      </c>
      <c r="R339" t="s">
        <v>67</v>
      </c>
      <c r="S339" t="s">
        <v>67</v>
      </c>
      <c r="T339" t="s">
        <v>67</v>
      </c>
      <c r="U339" t="s">
        <v>67</v>
      </c>
      <c r="V339" t="s">
        <v>67</v>
      </c>
    </row>
    <row r="340" spans="1:22" hidden="1" x14ac:dyDescent="0.25">
      <c r="A340">
        <v>2004</v>
      </c>
      <c r="B340" t="s">
        <v>22</v>
      </c>
      <c r="C340" t="s">
        <v>64</v>
      </c>
      <c r="D340" t="s">
        <v>64</v>
      </c>
      <c r="E340" t="s">
        <v>65</v>
      </c>
      <c r="F340" t="s">
        <v>73</v>
      </c>
      <c r="G340" t="s">
        <v>23</v>
      </c>
      <c r="H340">
        <v>17</v>
      </c>
      <c r="I340">
        <v>50</v>
      </c>
      <c r="J340">
        <v>26</v>
      </c>
      <c r="K340">
        <v>2</v>
      </c>
      <c r="L340">
        <v>5</v>
      </c>
      <c r="M340" t="s">
        <v>67</v>
      </c>
      <c r="N340" t="s">
        <v>67</v>
      </c>
      <c r="O340" t="s">
        <v>67</v>
      </c>
      <c r="P340" t="s">
        <v>67</v>
      </c>
      <c r="Q340" t="s">
        <v>67</v>
      </c>
      <c r="R340" t="s">
        <v>67</v>
      </c>
      <c r="S340" t="s">
        <v>67</v>
      </c>
      <c r="T340" t="s">
        <v>67</v>
      </c>
      <c r="U340" t="s">
        <v>67</v>
      </c>
      <c r="V340" t="s">
        <v>67</v>
      </c>
    </row>
    <row r="341" spans="1:22" hidden="1" x14ac:dyDescent="0.25">
      <c r="A341">
        <v>2004</v>
      </c>
      <c r="B341" t="s">
        <v>22</v>
      </c>
      <c r="C341" t="s">
        <v>64</v>
      </c>
      <c r="D341" t="s">
        <v>64</v>
      </c>
      <c r="E341" t="s">
        <v>65</v>
      </c>
      <c r="F341" t="s">
        <v>74</v>
      </c>
      <c r="G341" t="s">
        <v>23</v>
      </c>
      <c r="H341">
        <v>17</v>
      </c>
      <c r="I341">
        <v>49</v>
      </c>
      <c r="J341">
        <v>27</v>
      </c>
      <c r="K341">
        <v>2</v>
      </c>
      <c r="L341">
        <v>5</v>
      </c>
      <c r="M341" t="s">
        <v>67</v>
      </c>
      <c r="N341" t="s">
        <v>67</v>
      </c>
      <c r="O341" t="s">
        <v>67</v>
      </c>
      <c r="P341" t="s">
        <v>67</v>
      </c>
      <c r="Q341" t="s">
        <v>67</v>
      </c>
      <c r="R341" t="s">
        <v>67</v>
      </c>
      <c r="S341" t="s">
        <v>67</v>
      </c>
      <c r="T341" t="s">
        <v>67</v>
      </c>
      <c r="U341" t="s">
        <v>67</v>
      </c>
      <c r="V341" t="s">
        <v>67</v>
      </c>
    </row>
    <row r="342" spans="1:22" hidden="1" x14ac:dyDescent="0.25">
      <c r="A342">
        <v>2004</v>
      </c>
      <c r="B342" t="s">
        <v>22</v>
      </c>
      <c r="C342" t="s">
        <v>64</v>
      </c>
      <c r="D342" t="s">
        <v>64</v>
      </c>
      <c r="E342" t="s">
        <v>65</v>
      </c>
      <c r="F342" t="s">
        <v>76</v>
      </c>
      <c r="G342" t="s">
        <v>23</v>
      </c>
      <c r="H342">
        <v>18</v>
      </c>
      <c r="I342">
        <v>51</v>
      </c>
      <c r="J342">
        <v>25</v>
      </c>
      <c r="K342">
        <v>2</v>
      </c>
      <c r="L342">
        <v>4</v>
      </c>
      <c r="M342" t="s">
        <v>67</v>
      </c>
      <c r="N342" t="s">
        <v>67</v>
      </c>
      <c r="O342" t="s">
        <v>67</v>
      </c>
      <c r="P342" t="s">
        <v>67</v>
      </c>
      <c r="Q342" t="s">
        <v>67</v>
      </c>
      <c r="R342" t="s">
        <v>67</v>
      </c>
      <c r="S342" t="s">
        <v>67</v>
      </c>
      <c r="T342" t="s">
        <v>67</v>
      </c>
      <c r="U342" t="s">
        <v>67</v>
      </c>
      <c r="V342" t="s">
        <v>67</v>
      </c>
    </row>
    <row r="343" spans="1:22" hidden="1" x14ac:dyDescent="0.25">
      <c r="A343">
        <v>2004</v>
      </c>
      <c r="B343" t="s">
        <v>22</v>
      </c>
      <c r="C343" t="s">
        <v>64</v>
      </c>
      <c r="D343" t="s">
        <v>64</v>
      </c>
      <c r="E343" t="s">
        <v>65</v>
      </c>
      <c r="F343" t="s">
        <v>77</v>
      </c>
      <c r="G343" t="s">
        <v>23</v>
      </c>
      <c r="H343">
        <v>19</v>
      </c>
      <c r="I343">
        <v>51</v>
      </c>
      <c r="J343">
        <v>23</v>
      </c>
      <c r="K343">
        <v>2</v>
      </c>
      <c r="L343">
        <v>5</v>
      </c>
      <c r="M343" t="s">
        <v>67</v>
      </c>
      <c r="N343" t="s">
        <v>67</v>
      </c>
      <c r="O343" t="s">
        <v>67</v>
      </c>
      <c r="P343" t="s">
        <v>67</v>
      </c>
      <c r="Q343" t="s">
        <v>67</v>
      </c>
      <c r="R343" t="s">
        <v>67</v>
      </c>
      <c r="S343" t="s">
        <v>67</v>
      </c>
      <c r="T343" t="s">
        <v>67</v>
      </c>
      <c r="U343" t="s">
        <v>67</v>
      </c>
      <c r="V343" t="s">
        <v>67</v>
      </c>
    </row>
    <row r="344" spans="1:22" hidden="1" x14ac:dyDescent="0.25">
      <c r="A344">
        <v>2004</v>
      </c>
      <c r="B344" t="s">
        <v>22</v>
      </c>
      <c r="C344" t="s">
        <v>64</v>
      </c>
      <c r="D344" t="s">
        <v>64</v>
      </c>
      <c r="E344" t="s">
        <v>65</v>
      </c>
      <c r="F344" t="s">
        <v>78</v>
      </c>
      <c r="G344" t="s">
        <v>23</v>
      </c>
      <c r="H344">
        <v>20</v>
      </c>
      <c r="I344">
        <v>52</v>
      </c>
      <c r="J344">
        <v>21</v>
      </c>
      <c r="K344">
        <v>2</v>
      </c>
      <c r="L344">
        <v>5</v>
      </c>
      <c r="M344" t="s">
        <v>67</v>
      </c>
      <c r="N344" t="s">
        <v>67</v>
      </c>
      <c r="O344" t="s">
        <v>67</v>
      </c>
      <c r="P344" t="s">
        <v>67</v>
      </c>
      <c r="Q344" t="s">
        <v>67</v>
      </c>
      <c r="R344" t="s">
        <v>67</v>
      </c>
      <c r="S344" t="s">
        <v>67</v>
      </c>
      <c r="T344" t="s">
        <v>67</v>
      </c>
      <c r="U344" t="s">
        <v>67</v>
      </c>
      <c r="V344" t="s">
        <v>67</v>
      </c>
    </row>
    <row r="345" spans="1:22" hidden="1" x14ac:dyDescent="0.25">
      <c r="A345">
        <v>2004</v>
      </c>
      <c r="B345" t="s">
        <v>22</v>
      </c>
      <c r="C345" t="s">
        <v>64</v>
      </c>
      <c r="D345" t="s">
        <v>64</v>
      </c>
      <c r="E345" t="s">
        <v>65</v>
      </c>
      <c r="F345" t="s">
        <v>79</v>
      </c>
      <c r="G345" t="s">
        <v>23</v>
      </c>
      <c r="H345">
        <v>21</v>
      </c>
      <c r="I345">
        <v>52</v>
      </c>
      <c r="J345">
        <v>19</v>
      </c>
      <c r="K345">
        <v>2</v>
      </c>
      <c r="L345">
        <v>6</v>
      </c>
      <c r="M345" t="s">
        <v>67</v>
      </c>
      <c r="N345" t="s">
        <v>67</v>
      </c>
      <c r="O345" t="s">
        <v>67</v>
      </c>
      <c r="P345" t="s">
        <v>67</v>
      </c>
      <c r="Q345" t="s">
        <v>67</v>
      </c>
      <c r="R345" t="s">
        <v>67</v>
      </c>
      <c r="S345" t="s">
        <v>67</v>
      </c>
      <c r="T345" t="s">
        <v>67</v>
      </c>
      <c r="U345" t="s">
        <v>67</v>
      </c>
      <c r="V345" t="s">
        <v>67</v>
      </c>
    </row>
    <row r="346" spans="1:22" hidden="1" x14ac:dyDescent="0.25">
      <c r="A346">
        <v>2004</v>
      </c>
      <c r="B346" t="s">
        <v>22</v>
      </c>
      <c r="C346" t="s">
        <v>64</v>
      </c>
      <c r="D346" t="s">
        <v>64</v>
      </c>
      <c r="E346" t="s">
        <v>65</v>
      </c>
      <c r="F346" t="s">
        <v>80</v>
      </c>
      <c r="G346" t="s">
        <v>23</v>
      </c>
      <c r="H346">
        <v>22</v>
      </c>
      <c r="I346">
        <v>51</v>
      </c>
      <c r="J346">
        <v>19</v>
      </c>
      <c r="K346">
        <v>2</v>
      </c>
      <c r="L346">
        <v>6</v>
      </c>
      <c r="M346" t="s">
        <v>67</v>
      </c>
      <c r="N346" t="s">
        <v>67</v>
      </c>
      <c r="O346" t="s">
        <v>67</v>
      </c>
      <c r="P346" t="s">
        <v>67</v>
      </c>
      <c r="Q346" t="s">
        <v>67</v>
      </c>
      <c r="R346" t="s">
        <v>67</v>
      </c>
      <c r="S346" t="s">
        <v>67</v>
      </c>
      <c r="T346" t="s">
        <v>67</v>
      </c>
      <c r="U346" t="s">
        <v>67</v>
      </c>
      <c r="V346" t="s">
        <v>67</v>
      </c>
    </row>
    <row r="347" spans="1:22" hidden="1" x14ac:dyDescent="0.25">
      <c r="A347">
        <v>2004</v>
      </c>
      <c r="B347" t="s">
        <v>22</v>
      </c>
      <c r="C347" t="s">
        <v>64</v>
      </c>
      <c r="D347" t="s">
        <v>64</v>
      </c>
      <c r="E347" t="s">
        <v>65</v>
      </c>
      <c r="F347" t="s">
        <v>81</v>
      </c>
      <c r="G347" t="s">
        <v>23</v>
      </c>
      <c r="H347">
        <v>23</v>
      </c>
      <c r="I347">
        <v>53</v>
      </c>
      <c r="J347">
        <v>17</v>
      </c>
      <c r="K347">
        <v>2</v>
      </c>
      <c r="L347">
        <v>5</v>
      </c>
      <c r="M347" t="s">
        <v>67</v>
      </c>
      <c r="N347" t="s">
        <v>67</v>
      </c>
      <c r="O347" t="s">
        <v>67</v>
      </c>
      <c r="P347" t="s">
        <v>67</v>
      </c>
      <c r="Q347" t="s">
        <v>67</v>
      </c>
      <c r="R347" t="s">
        <v>67</v>
      </c>
      <c r="S347" t="s">
        <v>67</v>
      </c>
      <c r="T347" t="s">
        <v>67</v>
      </c>
      <c r="U347" t="s">
        <v>67</v>
      </c>
      <c r="V347" t="s">
        <v>67</v>
      </c>
    </row>
    <row r="348" spans="1:22" hidden="1" x14ac:dyDescent="0.25">
      <c r="A348">
        <v>2004</v>
      </c>
      <c r="B348" t="s">
        <v>22</v>
      </c>
      <c r="C348" t="s">
        <v>64</v>
      </c>
      <c r="D348" t="s">
        <v>64</v>
      </c>
      <c r="E348" t="s">
        <v>65</v>
      </c>
      <c r="F348" t="s">
        <v>82</v>
      </c>
      <c r="G348" t="s">
        <v>23</v>
      </c>
      <c r="H348">
        <v>25</v>
      </c>
      <c r="I348">
        <v>53</v>
      </c>
      <c r="J348">
        <v>15</v>
      </c>
      <c r="K348">
        <v>2</v>
      </c>
      <c r="L348">
        <v>5</v>
      </c>
      <c r="M348" t="s">
        <v>67</v>
      </c>
      <c r="N348" t="s">
        <v>67</v>
      </c>
      <c r="O348" t="s">
        <v>67</v>
      </c>
      <c r="P348" t="s">
        <v>67</v>
      </c>
      <c r="Q348" t="s">
        <v>67</v>
      </c>
      <c r="R348" t="s">
        <v>67</v>
      </c>
      <c r="S348" t="s">
        <v>67</v>
      </c>
      <c r="T348" t="s">
        <v>67</v>
      </c>
      <c r="U348" t="s">
        <v>67</v>
      </c>
      <c r="V348" t="s">
        <v>67</v>
      </c>
    </row>
    <row r="349" spans="1:22" hidden="1" x14ac:dyDescent="0.25">
      <c r="A349">
        <v>2004</v>
      </c>
      <c r="B349" t="s">
        <v>22</v>
      </c>
      <c r="C349" t="s">
        <v>64</v>
      </c>
      <c r="D349" t="s">
        <v>64</v>
      </c>
      <c r="E349" t="s">
        <v>65</v>
      </c>
      <c r="F349" t="s">
        <v>83</v>
      </c>
      <c r="G349" t="s">
        <v>23</v>
      </c>
      <c r="H349">
        <v>25</v>
      </c>
      <c r="I349">
        <v>53</v>
      </c>
      <c r="J349">
        <v>15</v>
      </c>
      <c r="K349">
        <v>2</v>
      </c>
      <c r="L349">
        <v>5</v>
      </c>
      <c r="M349" t="s">
        <v>67</v>
      </c>
      <c r="N349" t="s">
        <v>67</v>
      </c>
      <c r="O349" t="s">
        <v>67</v>
      </c>
      <c r="P349" t="s">
        <v>67</v>
      </c>
      <c r="Q349" t="s">
        <v>67</v>
      </c>
      <c r="R349" t="s">
        <v>67</v>
      </c>
      <c r="S349" t="s">
        <v>67</v>
      </c>
      <c r="T349" t="s">
        <v>67</v>
      </c>
      <c r="U349" t="s">
        <v>67</v>
      </c>
      <c r="V349" t="s">
        <v>67</v>
      </c>
    </row>
    <row r="350" spans="1:22" hidden="1" x14ac:dyDescent="0.25">
      <c r="A350">
        <v>2004</v>
      </c>
      <c r="B350" t="s">
        <v>22</v>
      </c>
      <c r="C350" t="s">
        <v>64</v>
      </c>
      <c r="D350" t="s">
        <v>64</v>
      </c>
      <c r="E350" t="s">
        <v>65</v>
      </c>
      <c r="F350" t="s">
        <v>84</v>
      </c>
      <c r="G350" t="s">
        <v>23</v>
      </c>
      <c r="H350">
        <v>24</v>
      </c>
      <c r="I350">
        <v>56</v>
      </c>
      <c r="J350">
        <v>15</v>
      </c>
      <c r="K350">
        <v>1</v>
      </c>
      <c r="L350">
        <v>4</v>
      </c>
      <c r="M350" t="s">
        <v>67</v>
      </c>
      <c r="N350" t="s">
        <v>67</v>
      </c>
      <c r="O350" t="s">
        <v>67</v>
      </c>
      <c r="P350" t="s">
        <v>67</v>
      </c>
      <c r="Q350" t="s">
        <v>67</v>
      </c>
      <c r="R350" t="s">
        <v>67</v>
      </c>
      <c r="S350" t="s">
        <v>67</v>
      </c>
      <c r="T350" t="s">
        <v>67</v>
      </c>
      <c r="U350" t="s">
        <v>67</v>
      </c>
      <c r="V350" t="s">
        <v>67</v>
      </c>
    </row>
    <row r="351" spans="1:22" x14ac:dyDescent="0.25">
      <c r="A351">
        <v>2004</v>
      </c>
      <c r="B351" t="s">
        <v>22</v>
      </c>
      <c r="C351" t="s">
        <v>64</v>
      </c>
      <c r="D351" t="s">
        <v>64</v>
      </c>
      <c r="E351" t="s">
        <v>65</v>
      </c>
      <c r="F351" t="s">
        <v>88</v>
      </c>
      <c r="G351" t="s">
        <v>23</v>
      </c>
      <c r="H351">
        <v>18</v>
      </c>
      <c r="I351">
        <v>48</v>
      </c>
      <c r="J351">
        <v>27</v>
      </c>
      <c r="K351">
        <v>2</v>
      </c>
      <c r="L351">
        <v>5</v>
      </c>
      <c r="M351">
        <f>J351+I351</f>
        <v>75</v>
      </c>
      <c r="N351">
        <v>0.11609232597383023</v>
      </c>
      <c r="O351" t="s">
        <v>67</v>
      </c>
      <c r="P351" t="s">
        <v>67</v>
      </c>
      <c r="Q351" t="s">
        <v>67</v>
      </c>
      <c r="R351" t="s">
        <v>67</v>
      </c>
      <c r="S351" t="s">
        <v>67</v>
      </c>
      <c r="T351" t="s">
        <v>67</v>
      </c>
      <c r="U351" t="s">
        <v>67</v>
      </c>
      <c r="V351" t="s">
        <v>67</v>
      </c>
    </row>
    <row r="352" spans="1:22" hidden="1" x14ac:dyDescent="0.25">
      <c r="A352">
        <v>2005</v>
      </c>
      <c r="B352" t="s">
        <v>22</v>
      </c>
      <c r="C352" t="s">
        <v>64</v>
      </c>
      <c r="D352" t="s">
        <v>64</v>
      </c>
      <c r="E352" t="s">
        <v>65</v>
      </c>
      <c r="F352" t="s">
        <v>68</v>
      </c>
      <c r="G352" t="s">
        <v>23</v>
      </c>
      <c r="H352">
        <v>27</v>
      </c>
      <c r="I352">
        <v>38</v>
      </c>
      <c r="J352">
        <v>14</v>
      </c>
      <c r="K352">
        <v>8</v>
      </c>
      <c r="L352">
        <v>13</v>
      </c>
      <c r="M352" t="s">
        <v>67</v>
      </c>
      <c r="N352" t="s">
        <v>67</v>
      </c>
      <c r="O352" t="s">
        <v>67</v>
      </c>
      <c r="P352" t="s">
        <v>67</v>
      </c>
      <c r="Q352" t="s">
        <v>67</v>
      </c>
      <c r="R352" t="s">
        <v>67</v>
      </c>
      <c r="S352" t="s">
        <v>67</v>
      </c>
      <c r="T352" t="s">
        <v>67</v>
      </c>
      <c r="U352" t="s">
        <v>67</v>
      </c>
      <c r="V352" t="s">
        <v>67</v>
      </c>
    </row>
    <row r="353" spans="1:22" hidden="1" x14ac:dyDescent="0.25">
      <c r="A353">
        <v>2005</v>
      </c>
      <c r="B353" t="s">
        <v>22</v>
      </c>
      <c r="C353" t="s">
        <v>64</v>
      </c>
      <c r="D353" t="s">
        <v>64</v>
      </c>
      <c r="E353" t="s">
        <v>65</v>
      </c>
      <c r="F353" t="s">
        <v>85</v>
      </c>
      <c r="G353" t="s">
        <v>23</v>
      </c>
      <c r="H353">
        <v>27</v>
      </c>
      <c r="I353">
        <v>39</v>
      </c>
      <c r="J353">
        <v>13</v>
      </c>
      <c r="K353">
        <v>8</v>
      </c>
      <c r="L353">
        <v>13</v>
      </c>
      <c r="M353" t="s">
        <v>67</v>
      </c>
      <c r="N353" t="s">
        <v>67</v>
      </c>
      <c r="O353" t="s">
        <v>67</v>
      </c>
      <c r="P353" t="s">
        <v>67</v>
      </c>
      <c r="Q353" t="s">
        <v>67</v>
      </c>
      <c r="R353" t="s">
        <v>67</v>
      </c>
      <c r="S353" t="s">
        <v>67</v>
      </c>
      <c r="T353" t="s">
        <v>67</v>
      </c>
      <c r="U353" t="s">
        <v>67</v>
      </c>
      <c r="V353" t="s">
        <v>67</v>
      </c>
    </row>
    <row r="354" spans="1:22" hidden="1" x14ac:dyDescent="0.25">
      <c r="A354">
        <v>2005</v>
      </c>
      <c r="B354" t="s">
        <v>22</v>
      </c>
      <c r="C354" t="s">
        <v>64</v>
      </c>
      <c r="D354" t="s">
        <v>64</v>
      </c>
      <c r="E354" t="s">
        <v>65</v>
      </c>
      <c r="F354" t="s">
        <v>69</v>
      </c>
      <c r="G354" t="s">
        <v>23</v>
      </c>
      <c r="H354">
        <v>27</v>
      </c>
      <c r="I354">
        <v>37</v>
      </c>
      <c r="J354">
        <v>14</v>
      </c>
      <c r="K354">
        <v>8</v>
      </c>
      <c r="L354">
        <v>14</v>
      </c>
      <c r="M354" t="s">
        <v>67</v>
      </c>
      <c r="N354" t="s">
        <v>67</v>
      </c>
      <c r="O354" t="s">
        <v>67</v>
      </c>
      <c r="P354" t="s">
        <v>67</v>
      </c>
      <c r="Q354" t="s">
        <v>67</v>
      </c>
      <c r="R354" t="s">
        <v>67</v>
      </c>
      <c r="S354" t="s">
        <v>67</v>
      </c>
      <c r="T354" t="s">
        <v>67</v>
      </c>
      <c r="U354" t="s">
        <v>67</v>
      </c>
      <c r="V354" t="s">
        <v>67</v>
      </c>
    </row>
    <row r="355" spans="1:22" hidden="1" x14ac:dyDescent="0.25">
      <c r="A355">
        <v>2005</v>
      </c>
      <c r="B355" t="s">
        <v>22</v>
      </c>
      <c r="C355" t="s">
        <v>64</v>
      </c>
      <c r="D355" t="s">
        <v>64</v>
      </c>
      <c r="E355" t="s">
        <v>65</v>
      </c>
      <c r="F355" t="s">
        <v>70</v>
      </c>
      <c r="G355" t="s">
        <v>23</v>
      </c>
      <c r="H355">
        <v>26</v>
      </c>
      <c r="I355">
        <v>39</v>
      </c>
      <c r="J355">
        <v>12</v>
      </c>
      <c r="K355">
        <v>9</v>
      </c>
      <c r="L355">
        <v>14</v>
      </c>
      <c r="M355" t="s">
        <v>67</v>
      </c>
      <c r="N355" t="s">
        <v>67</v>
      </c>
      <c r="O355" t="s">
        <v>67</v>
      </c>
      <c r="P355" t="s">
        <v>67</v>
      </c>
      <c r="Q355" t="s">
        <v>67</v>
      </c>
      <c r="R355" t="s">
        <v>67</v>
      </c>
      <c r="S355" t="s">
        <v>67</v>
      </c>
      <c r="T355" t="s">
        <v>67</v>
      </c>
      <c r="U355" t="s">
        <v>67</v>
      </c>
      <c r="V355" t="s">
        <v>67</v>
      </c>
    </row>
    <row r="356" spans="1:22" hidden="1" x14ac:dyDescent="0.25">
      <c r="A356">
        <v>2005</v>
      </c>
      <c r="B356" t="s">
        <v>22</v>
      </c>
      <c r="C356" t="s">
        <v>64</v>
      </c>
      <c r="D356" t="s">
        <v>64</v>
      </c>
      <c r="E356" t="s">
        <v>65</v>
      </c>
      <c r="F356" t="s">
        <v>71</v>
      </c>
      <c r="G356" t="s">
        <v>23</v>
      </c>
      <c r="H356">
        <v>26</v>
      </c>
      <c r="I356">
        <v>39</v>
      </c>
      <c r="J356">
        <v>13</v>
      </c>
      <c r="K356">
        <v>8</v>
      </c>
      <c r="L356">
        <v>14</v>
      </c>
      <c r="M356" t="s">
        <v>67</v>
      </c>
      <c r="N356" t="s">
        <v>67</v>
      </c>
      <c r="O356" t="s">
        <v>67</v>
      </c>
      <c r="P356" t="s">
        <v>67</v>
      </c>
      <c r="Q356" t="s">
        <v>67</v>
      </c>
      <c r="R356" t="s">
        <v>67</v>
      </c>
      <c r="S356" t="s">
        <v>67</v>
      </c>
      <c r="T356" t="s">
        <v>67</v>
      </c>
      <c r="U356" t="s">
        <v>67</v>
      </c>
      <c r="V356" t="s">
        <v>67</v>
      </c>
    </row>
    <row r="357" spans="1:22" hidden="1" x14ac:dyDescent="0.25">
      <c r="A357">
        <v>2005</v>
      </c>
      <c r="B357" t="s">
        <v>22</v>
      </c>
      <c r="C357" t="s">
        <v>64</v>
      </c>
      <c r="D357" t="s">
        <v>64</v>
      </c>
      <c r="E357" t="s">
        <v>65</v>
      </c>
      <c r="F357" t="s">
        <v>72</v>
      </c>
      <c r="G357" t="s">
        <v>23</v>
      </c>
      <c r="H357">
        <v>27</v>
      </c>
      <c r="I357">
        <v>37</v>
      </c>
      <c r="J357">
        <v>13</v>
      </c>
      <c r="K357">
        <v>9</v>
      </c>
      <c r="L357">
        <v>14</v>
      </c>
      <c r="M357" t="s">
        <v>67</v>
      </c>
      <c r="N357" t="s">
        <v>67</v>
      </c>
      <c r="O357" t="s">
        <v>67</v>
      </c>
      <c r="P357" t="s">
        <v>67</v>
      </c>
      <c r="Q357" t="s">
        <v>67</v>
      </c>
      <c r="R357" t="s">
        <v>67</v>
      </c>
      <c r="S357" t="s">
        <v>67</v>
      </c>
      <c r="T357" t="s">
        <v>67</v>
      </c>
      <c r="U357" t="s">
        <v>67</v>
      </c>
      <c r="V357" t="s">
        <v>67</v>
      </c>
    </row>
    <row r="358" spans="1:22" hidden="1" x14ac:dyDescent="0.25">
      <c r="A358">
        <v>2005</v>
      </c>
      <c r="B358" t="s">
        <v>22</v>
      </c>
      <c r="C358" t="s">
        <v>64</v>
      </c>
      <c r="D358" t="s">
        <v>64</v>
      </c>
      <c r="E358" t="s">
        <v>65</v>
      </c>
      <c r="F358" t="s">
        <v>73</v>
      </c>
      <c r="G358" t="s">
        <v>23</v>
      </c>
      <c r="H358">
        <v>26</v>
      </c>
      <c r="I358">
        <v>38</v>
      </c>
      <c r="J358">
        <v>13</v>
      </c>
      <c r="K358">
        <v>9</v>
      </c>
      <c r="L358">
        <v>14</v>
      </c>
      <c r="M358" t="s">
        <v>67</v>
      </c>
      <c r="N358" t="s">
        <v>67</v>
      </c>
      <c r="O358" t="s">
        <v>67</v>
      </c>
      <c r="P358" t="s">
        <v>67</v>
      </c>
      <c r="Q358" t="s">
        <v>67</v>
      </c>
      <c r="R358" t="s">
        <v>67</v>
      </c>
      <c r="S358" t="s">
        <v>67</v>
      </c>
      <c r="T358" t="s">
        <v>67</v>
      </c>
      <c r="U358" t="s">
        <v>67</v>
      </c>
      <c r="V358" t="s">
        <v>67</v>
      </c>
    </row>
    <row r="359" spans="1:22" hidden="1" x14ac:dyDescent="0.25">
      <c r="A359">
        <v>2005</v>
      </c>
      <c r="B359" t="s">
        <v>22</v>
      </c>
      <c r="C359" t="s">
        <v>64</v>
      </c>
      <c r="D359" t="s">
        <v>64</v>
      </c>
      <c r="E359" t="s">
        <v>65</v>
      </c>
      <c r="F359" t="s">
        <v>74</v>
      </c>
      <c r="G359" t="s">
        <v>23</v>
      </c>
      <c r="H359">
        <v>26</v>
      </c>
      <c r="I359">
        <v>39</v>
      </c>
      <c r="J359">
        <v>13</v>
      </c>
      <c r="K359">
        <v>8</v>
      </c>
      <c r="L359">
        <v>14</v>
      </c>
      <c r="M359" t="s">
        <v>67</v>
      </c>
      <c r="N359" t="s">
        <v>67</v>
      </c>
      <c r="O359" t="s">
        <v>67</v>
      </c>
      <c r="P359" t="s">
        <v>67</v>
      </c>
      <c r="Q359" t="s">
        <v>67</v>
      </c>
      <c r="R359" t="s">
        <v>67</v>
      </c>
      <c r="S359" t="s">
        <v>67</v>
      </c>
      <c r="T359" t="s">
        <v>67</v>
      </c>
      <c r="U359" t="s">
        <v>67</v>
      </c>
      <c r="V359" t="s">
        <v>67</v>
      </c>
    </row>
    <row r="360" spans="1:22" hidden="1" x14ac:dyDescent="0.25">
      <c r="A360">
        <v>2005</v>
      </c>
      <c r="B360" t="s">
        <v>22</v>
      </c>
      <c r="C360" t="s">
        <v>64</v>
      </c>
      <c r="D360" t="s">
        <v>64</v>
      </c>
      <c r="E360" t="s">
        <v>65</v>
      </c>
      <c r="F360" t="s">
        <v>75</v>
      </c>
      <c r="G360" t="s">
        <v>23</v>
      </c>
      <c r="H360">
        <v>27</v>
      </c>
      <c r="I360">
        <v>39</v>
      </c>
      <c r="J360">
        <v>14</v>
      </c>
      <c r="K360">
        <v>7</v>
      </c>
      <c r="L360">
        <v>13</v>
      </c>
      <c r="M360" t="s">
        <v>67</v>
      </c>
      <c r="N360" t="s">
        <v>67</v>
      </c>
      <c r="O360" t="s">
        <v>67</v>
      </c>
      <c r="P360" t="s">
        <v>67</v>
      </c>
      <c r="Q360" t="s">
        <v>67</v>
      </c>
      <c r="R360" t="s">
        <v>67</v>
      </c>
      <c r="S360" t="s">
        <v>67</v>
      </c>
      <c r="T360" t="s">
        <v>67</v>
      </c>
      <c r="U360" t="s">
        <v>67</v>
      </c>
      <c r="V360" t="s">
        <v>67</v>
      </c>
    </row>
    <row r="361" spans="1:22" hidden="1" x14ac:dyDescent="0.25">
      <c r="A361">
        <v>2005</v>
      </c>
      <c r="B361" t="s">
        <v>22</v>
      </c>
      <c r="C361" t="s">
        <v>64</v>
      </c>
      <c r="D361" t="s">
        <v>64</v>
      </c>
      <c r="E361" t="s">
        <v>65</v>
      </c>
      <c r="F361" t="s">
        <v>76</v>
      </c>
      <c r="G361" t="s">
        <v>23</v>
      </c>
      <c r="H361">
        <v>26</v>
      </c>
      <c r="I361">
        <v>39</v>
      </c>
      <c r="J361">
        <v>14</v>
      </c>
      <c r="K361">
        <v>7</v>
      </c>
      <c r="L361">
        <v>14</v>
      </c>
      <c r="M361" t="s">
        <v>67</v>
      </c>
      <c r="N361" t="s">
        <v>67</v>
      </c>
      <c r="O361" t="s">
        <v>67</v>
      </c>
      <c r="P361" t="s">
        <v>67</v>
      </c>
      <c r="Q361" t="s">
        <v>67</v>
      </c>
      <c r="R361" t="s">
        <v>67</v>
      </c>
      <c r="S361" t="s">
        <v>67</v>
      </c>
      <c r="T361" t="s">
        <v>67</v>
      </c>
      <c r="U361" t="s">
        <v>67</v>
      </c>
      <c r="V361" t="s">
        <v>67</v>
      </c>
    </row>
    <row r="362" spans="1:22" hidden="1" x14ac:dyDescent="0.25">
      <c r="A362">
        <v>2005</v>
      </c>
      <c r="B362" t="s">
        <v>22</v>
      </c>
      <c r="C362" t="s">
        <v>64</v>
      </c>
      <c r="D362" t="s">
        <v>64</v>
      </c>
      <c r="E362" t="s">
        <v>65</v>
      </c>
      <c r="F362" t="s">
        <v>77</v>
      </c>
      <c r="G362" t="s">
        <v>23</v>
      </c>
      <c r="H362">
        <v>26</v>
      </c>
      <c r="I362">
        <v>42</v>
      </c>
      <c r="J362">
        <v>13</v>
      </c>
      <c r="K362">
        <v>6</v>
      </c>
      <c r="L362">
        <v>13</v>
      </c>
      <c r="M362" t="s">
        <v>67</v>
      </c>
      <c r="N362" t="s">
        <v>67</v>
      </c>
      <c r="O362" t="s">
        <v>67</v>
      </c>
      <c r="P362" t="s">
        <v>67</v>
      </c>
      <c r="Q362" t="s">
        <v>67</v>
      </c>
      <c r="R362" t="s">
        <v>67</v>
      </c>
      <c r="S362" t="s">
        <v>67</v>
      </c>
      <c r="T362" t="s">
        <v>67</v>
      </c>
      <c r="U362" t="s">
        <v>67</v>
      </c>
      <c r="V362" t="s">
        <v>67</v>
      </c>
    </row>
    <row r="363" spans="1:22" hidden="1" x14ac:dyDescent="0.25">
      <c r="A363">
        <v>2005</v>
      </c>
      <c r="B363" t="s">
        <v>22</v>
      </c>
      <c r="C363" t="s">
        <v>64</v>
      </c>
      <c r="D363" t="s">
        <v>64</v>
      </c>
      <c r="E363" t="s">
        <v>65</v>
      </c>
      <c r="F363" t="s">
        <v>78</v>
      </c>
      <c r="G363" t="s">
        <v>23</v>
      </c>
      <c r="H363">
        <v>25</v>
      </c>
      <c r="I363">
        <v>42</v>
      </c>
      <c r="J363">
        <v>16</v>
      </c>
      <c r="K363">
        <v>6</v>
      </c>
      <c r="L363">
        <v>11</v>
      </c>
      <c r="M363" t="s">
        <v>67</v>
      </c>
      <c r="N363" t="s">
        <v>67</v>
      </c>
      <c r="O363" t="s">
        <v>67</v>
      </c>
      <c r="P363" t="s">
        <v>67</v>
      </c>
      <c r="Q363" t="s">
        <v>67</v>
      </c>
      <c r="R363" t="s">
        <v>67</v>
      </c>
      <c r="S363" t="s">
        <v>67</v>
      </c>
      <c r="T363" t="s">
        <v>67</v>
      </c>
      <c r="U363" t="s">
        <v>67</v>
      </c>
      <c r="V363" t="s">
        <v>67</v>
      </c>
    </row>
    <row r="364" spans="1:22" hidden="1" x14ac:dyDescent="0.25">
      <c r="A364">
        <v>2005</v>
      </c>
      <c r="B364" t="s">
        <v>22</v>
      </c>
      <c r="C364" t="s">
        <v>64</v>
      </c>
      <c r="D364" t="s">
        <v>64</v>
      </c>
      <c r="E364" t="s">
        <v>65</v>
      </c>
      <c r="F364" t="s">
        <v>79</v>
      </c>
      <c r="G364" t="s">
        <v>23</v>
      </c>
      <c r="H364">
        <v>25</v>
      </c>
      <c r="I364">
        <v>45</v>
      </c>
      <c r="J364">
        <v>17</v>
      </c>
      <c r="K364">
        <v>4</v>
      </c>
      <c r="L364">
        <v>9</v>
      </c>
      <c r="M364" t="s">
        <v>67</v>
      </c>
      <c r="N364" t="s">
        <v>67</v>
      </c>
      <c r="O364" t="s">
        <v>67</v>
      </c>
      <c r="P364" t="s">
        <v>67</v>
      </c>
      <c r="Q364" t="s">
        <v>67</v>
      </c>
      <c r="R364" t="s">
        <v>67</v>
      </c>
      <c r="S364" t="s">
        <v>67</v>
      </c>
      <c r="T364" t="s">
        <v>67</v>
      </c>
      <c r="U364" t="s">
        <v>67</v>
      </c>
      <c r="V364" t="s">
        <v>67</v>
      </c>
    </row>
    <row r="365" spans="1:22" hidden="1" x14ac:dyDescent="0.25">
      <c r="A365">
        <v>2005</v>
      </c>
      <c r="B365" t="s">
        <v>22</v>
      </c>
      <c r="C365" t="s">
        <v>64</v>
      </c>
      <c r="D365" t="s">
        <v>64</v>
      </c>
      <c r="E365" t="s">
        <v>65</v>
      </c>
      <c r="F365" t="s">
        <v>80</v>
      </c>
      <c r="G365" t="s">
        <v>23</v>
      </c>
      <c r="H365">
        <v>25</v>
      </c>
      <c r="I365">
        <v>50</v>
      </c>
      <c r="J365">
        <v>15</v>
      </c>
      <c r="K365">
        <v>2</v>
      </c>
      <c r="L365">
        <v>8</v>
      </c>
      <c r="M365" t="s">
        <v>67</v>
      </c>
      <c r="N365" t="s">
        <v>67</v>
      </c>
      <c r="O365" t="s">
        <v>67</v>
      </c>
      <c r="P365" t="s">
        <v>67</v>
      </c>
      <c r="Q365" t="s">
        <v>67</v>
      </c>
      <c r="R365" t="s">
        <v>67</v>
      </c>
      <c r="S365" t="s">
        <v>67</v>
      </c>
      <c r="T365" t="s">
        <v>67</v>
      </c>
      <c r="U365" t="s">
        <v>67</v>
      </c>
      <c r="V365" t="s">
        <v>67</v>
      </c>
    </row>
    <row r="366" spans="1:22" hidden="1" x14ac:dyDescent="0.25">
      <c r="A366">
        <v>2005</v>
      </c>
      <c r="B366" t="s">
        <v>22</v>
      </c>
      <c r="C366" t="s">
        <v>64</v>
      </c>
      <c r="D366" t="s">
        <v>64</v>
      </c>
      <c r="E366" t="s">
        <v>65</v>
      </c>
      <c r="F366" t="s">
        <v>81</v>
      </c>
      <c r="G366" t="s">
        <v>23</v>
      </c>
      <c r="H366">
        <v>25</v>
      </c>
      <c r="I366">
        <v>52</v>
      </c>
      <c r="J366">
        <v>16</v>
      </c>
      <c r="K366">
        <v>2</v>
      </c>
      <c r="L366">
        <v>5</v>
      </c>
      <c r="M366" t="s">
        <v>67</v>
      </c>
      <c r="N366" t="s">
        <v>67</v>
      </c>
      <c r="O366" t="s">
        <v>67</v>
      </c>
      <c r="P366" t="s">
        <v>67</v>
      </c>
      <c r="Q366" t="s">
        <v>67</v>
      </c>
      <c r="R366" t="s">
        <v>67</v>
      </c>
      <c r="S366" t="s">
        <v>67</v>
      </c>
      <c r="T366" t="s">
        <v>67</v>
      </c>
      <c r="U366" t="s">
        <v>67</v>
      </c>
      <c r="V366" t="s">
        <v>67</v>
      </c>
    </row>
    <row r="367" spans="1:22" hidden="1" x14ac:dyDescent="0.25">
      <c r="A367">
        <v>2005</v>
      </c>
      <c r="B367" t="s">
        <v>22</v>
      </c>
      <c r="C367" t="s">
        <v>64</v>
      </c>
      <c r="D367" t="s">
        <v>64</v>
      </c>
      <c r="E367" t="s">
        <v>65</v>
      </c>
      <c r="F367" t="s">
        <v>82</v>
      </c>
      <c r="G367" t="s">
        <v>23</v>
      </c>
      <c r="H367">
        <v>27</v>
      </c>
      <c r="I367">
        <v>53</v>
      </c>
      <c r="J367">
        <v>14</v>
      </c>
      <c r="K367">
        <v>1</v>
      </c>
      <c r="L367">
        <v>5</v>
      </c>
      <c r="M367" t="s">
        <v>67</v>
      </c>
      <c r="N367" t="s">
        <v>67</v>
      </c>
      <c r="O367" t="s">
        <v>67</v>
      </c>
      <c r="P367" t="s">
        <v>67</v>
      </c>
      <c r="Q367" t="s">
        <v>67</v>
      </c>
      <c r="R367" t="s">
        <v>67</v>
      </c>
      <c r="S367" t="s">
        <v>67</v>
      </c>
      <c r="T367" t="s">
        <v>67</v>
      </c>
      <c r="U367" t="s">
        <v>67</v>
      </c>
      <c r="V367" t="s">
        <v>67</v>
      </c>
    </row>
    <row r="368" spans="1:22" hidden="1" x14ac:dyDescent="0.25">
      <c r="A368">
        <v>2005</v>
      </c>
      <c r="B368" t="s">
        <v>22</v>
      </c>
      <c r="C368" t="s">
        <v>64</v>
      </c>
      <c r="D368" t="s">
        <v>64</v>
      </c>
      <c r="E368" t="s">
        <v>65</v>
      </c>
      <c r="F368" t="s">
        <v>83</v>
      </c>
      <c r="G368" t="s">
        <v>23</v>
      </c>
      <c r="H368">
        <v>29</v>
      </c>
      <c r="I368">
        <v>53</v>
      </c>
      <c r="J368">
        <v>11</v>
      </c>
      <c r="K368">
        <v>1</v>
      </c>
      <c r="L368">
        <v>6</v>
      </c>
      <c r="M368" t="s">
        <v>67</v>
      </c>
      <c r="N368" t="s">
        <v>67</v>
      </c>
      <c r="O368" t="s">
        <v>67</v>
      </c>
      <c r="P368" t="s">
        <v>67</v>
      </c>
      <c r="Q368" t="s">
        <v>67</v>
      </c>
      <c r="R368" t="s">
        <v>67</v>
      </c>
      <c r="S368" t="s">
        <v>67</v>
      </c>
      <c r="T368" t="s">
        <v>67</v>
      </c>
      <c r="U368" t="s">
        <v>67</v>
      </c>
      <c r="V368" t="s">
        <v>67</v>
      </c>
    </row>
    <row r="369" spans="1:22" hidden="1" x14ac:dyDescent="0.25">
      <c r="A369">
        <v>2005</v>
      </c>
      <c r="B369" t="s">
        <v>22</v>
      </c>
      <c r="C369" t="s">
        <v>64</v>
      </c>
      <c r="D369" t="s">
        <v>64</v>
      </c>
      <c r="E369" t="s">
        <v>65</v>
      </c>
      <c r="F369" t="s">
        <v>84</v>
      </c>
      <c r="G369" t="s">
        <v>23</v>
      </c>
      <c r="H369">
        <v>31</v>
      </c>
      <c r="I369">
        <v>54</v>
      </c>
      <c r="J369">
        <v>8</v>
      </c>
      <c r="K369">
        <v>1</v>
      </c>
      <c r="L369">
        <v>6</v>
      </c>
      <c r="M369" t="s">
        <v>67</v>
      </c>
      <c r="N369" t="s">
        <v>67</v>
      </c>
      <c r="O369" t="s">
        <v>67</v>
      </c>
      <c r="P369" t="s">
        <v>67</v>
      </c>
      <c r="Q369" t="s">
        <v>67</v>
      </c>
      <c r="R369" t="s">
        <v>67</v>
      </c>
      <c r="S369" t="s">
        <v>67</v>
      </c>
      <c r="T369" t="s">
        <v>67</v>
      </c>
      <c r="U369" t="s">
        <v>67</v>
      </c>
      <c r="V369" t="s">
        <v>67</v>
      </c>
    </row>
    <row r="370" spans="1:22" hidden="1" x14ac:dyDescent="0.25">
      <c r="A370">
        <v>2005</v>
      </c>
      <c r="B370" t="s">
        <v>22</v>
      </c>
      <c r="C370" t="s">
        <v>64</v>
      </c>
      <c r="D370" t="s">
        <v>64</v>
      </c>
      <c r="E370" t="s">
        <v>65</v>
      </c>
      <c r="F370" t="s">
        <v>91</v>
      </c>
      <c r="G370" t="s">
        <v>23</v>
      </c>
      <c r="H370">
        <v>30</v>
      </c>
      <c r="I370">
        <v>54</v>
      </c>
      <c r="J370">
        <v>9</v>
      </c>
      <c r="K370">
        <v>2</v>
      </c>
      <c r="L370">
        <v>5</v>
      </c>
      <c r="M370" t="s">
        <v>67</v>
      </c>
      <c r="N370" t="s">
        <v>67</v>
      </c>
      <c r="O370" t="s">
        <v>67</v>
      </c>
      <c r="P370" t="s">
        <v>67</v>
      </c>
      <c r="Q370" t="s">
        <v>67</v>
      </c>
      <c r="R370" t="s">
        <v>67</v>
      </c>
      <c r="S370" t="s">
        <v>67</v>
      </c>
      <c r="T370" t="s">
        <v>67</v>
      </c>
      <c r="U370" t="s">
        <v>67</v>
      </c>
      <c r="V370" t="s">
        <v>67</v>
      </c>
    </row>
    <row r="371" spans="1:22" x14ac:dyDescent="0.25">
      <c r="A371">
        <v>2005</v>
      </c>
      <c r="B371" t="s">
        <v>22</v>
      </c>
      <c r="C371" t="s">
        <v>64</v>
      </c>
      <c r="D371" t="s">
        <v>64</v>
      </c>
      <c r="E371" t="s">
        <v>65</v>
      </c>
      <c r="F371" t="s">
        <v>87</v>
      </c>
      <c r="G371" t="s">
        <v>23</v>
      </c>
      <c r="H371">
        <v>25</v>
      </c>
      <c r="I371">
        <v>40</v>
      </c>
      <c r="J371">
        <v>17</v>
      </c>
      <c r="K371">
        <v>7</v>
      </c>
      <c r="L371">
        <v>11</v>
      </c>
      <c r="M371">
        <f>J371+I371</f>
        <v>57</v>
      </c>
      <c r="N371">
        <v>2.2305757514299529E-2</v>
      </c>
      <c r="O371" t="s">
        <v>67</v>
      </c>
      <c r="P371" t="s">
        <v>67</v>
      </c>
      <c r="Q371" t="s">
        <v>67</v>
      </c>
      <c r="R371" t="s">
        <v>67</v>
      </c>
      <c r="S371" t="s">
        <v>67</v>
      </c>
      <c r="T371" t="s">
        <v>67</v>
      </c>
      <c r="U371" t="s">
        <v>67</v>
      </c>
      <c r="V371" t="s">
        <v>67</v>
      </c>
    </row>
    <row r="372" spans="1:22" hidden="1" x14ac:dyDescent="0.25">
      <c r="A372">
        <v>2006</v>
      </c>
      <c r="B372" t="s">
        <v>22</v>
      </c>
      <c r="C372" t="s">
        <v>64</v>
      </c>
      <c r="D372" t="s">
        <v>64</v>
      </c>
      <c r="E372" t="s">
        <v>65</v>
      </c>
      <c r="F372" t="s">
        <v>76</v>
      </c>
      <c r="G372" t="s">
        <v>23</v>
      </c>
      <c r="H372">
        <v>26</v>
      </c>
      <c r="I372">
        <v>43</v>
      </c>
      <c r="J372">
        <v>16</v>
      </c>
      <c r="K372">
        <v>5</v>
      </c>
      <c r="L372">
        <v>10</v>
      </c>
      <c r="M372" t="s">
        <v>67</v>
      </c>
      <c r="N372" t="s">
        <v>67</v>
      </c>
      <c r="O372" t="s">
        <v>67</v>
      </c>
      <c r="P372" t="s">
        <v>67</v>
      </c>
      <c r="Q372" t="s">
        <v>67</v>
      </c>
      <c r="R372" t="s">
        <v>67</v>
      </c>
      <c r="S372" t="s">
        <v>67</v>
      </c>
      <c r="T372" t="s">
        <v>67</v>
      </c>
      <c r="U372" t="s">
        <v>67</v>
      </c>
      <c r="V372" t="s">
        <v>67</v>
      </c>
    </row>
    <row r="373" spans="1:22" hidden="1" x14ac:dyDescent="0.25">
      <c r="A373">
        <v>2006</v>
      </c>
      <c r="B373" t="s">
        <v>22</v>
      </c>
      <c r="C373" t="s">
        <v>64</v>
      </c>
      <c r="D373" t="s">
        <v>64</v>
      </c>
      <c r="E373" t="s">
        <v>65</v>
      </c>
      <c r="F373" t="s">
        <v>68</v>
      </c>
      <c r="G373" t="s">
        <v>23</v>
      </c>
      <c r="H373">
        <v>23</v>
      </c>
      <c r="I373">
        <v>44</v>
      </c>
      <c r="J373">
        <v>17</v>
      </c>
      <c r="K373">
        <v>6</v>
      </c>
      <c r="L373">
        <v>10</v>
      </c>
      <c r="M373" t="s">
        <v>67</v>
      </c>
      <c r="N373" t="s">
        <v>67</v>
      </c>
      <c r="O373" t="s">
        <v>67</v>
      </c>
      <c r="P373" t="s">
        <v>67</v>
      </c>
      <c r="Q373" t="s">
        <v>67</v>
      </c>
      <c r="R373" t="s">
        <v>67</v>
      </c>
      <c r="S373" t="s">
        <v>67</v>
      </c>
      <c r="T373" t="s">
        <v>67</v>
      </c>
      <c r="U373" t="s">
        <v>67</v>
      </c>
      <c r="V373" t="s">
        <v>67</v>
      </c>
    </row>
    <row r="374" spans="1:22" hidden="1" x14ac:dyDescent="0.25">
      <c r="A374">
        <v>2006</v>
      </c>
      <c r="B374" t="s">
        <v>22</v>
      </c>
      <c r="C374" t="s">
        <v>64</v>
      </c>
      <c r="D374" t="s">
        <v>64</v>
      </c>
      <c r="E374" t="s">
        <v>65</v>
      </c>
      <c r="F374" t="s">
        <v>85</v>
      </c>
      <c r="G374" t="s">
        <v>23</v>
      </c>
      <c r="H374">
        <v>24</v>
      </c>
      <c r="I374">
        <v>44</v>
      </c>
      <c r="J374">
        <v>17</v>
      </c>
      <c r="K374">
        <v>6</v>
      </c>
      <c r="L374">
        <v>9</v>
      </c>
      <c r="M374" t="s">
        <v>67</v>
      </c>
      <c r="N374" t="s">
        <v>67</v>
      </c>
      <c r="O374" t="s">
        <v>67</v>
      </c>
      <c r="P374" t="s">
        <v>67</v>
      </c>
      <c r="Q374" t="s">
        <v>67</v>
      </c>
      <c r="R374" t="s">
        <v>67</v>
      </c>
      <c r="S374" t="s">
        <v>67</v>
      </c>
      <c r="T374" t="s">
        <v>67</v>
      </c>
      <c r="U374" t="s">
        <v>67</v>
      </c>
      <c r="V374" t="s">
        <v>67</v>
      </c>
    </row>
    <row r="375" spans="1:22" hidden="1" x14ac:dyDescent="0.25">
      <c r="A375">
        <v>2006</v>
      </c>
      <c r="B375" t="s">
        <v>22</v>
      </c>
      <c r="C375" t="s">
        <v>64</v>
      </c>
      <c r="D375" t="s">
        <v>64</v>
      </c>
      <c r="E375" t="s">
        <v>65</v>
      </c>
      <c r="F375" t="s">
        <v>69</v>
      </c>
      <c r="G375" t="s">
        <v>23</v>
      </c>
      <c r="H375">
        <v>25</v>
      </c>
      <c r="I375">
        <v>42</v>
      </c>
      <c r="J375">
        <v>17</v>
      </c>
      <c r="K375">
        <v>6</v>
      </c>
      <c r="L375">
        <v>10</v>
      </c>
      <c r="M375" t="s">
        <v>67</v>
      </c>
      <c r="N375" t="s">
        <v>67</v>
      </c>
      <c r="O375" t="s">
        <v>67</v>
      </c>
      <c r="P375" t="s">
        <v>67</v>
      </c>
      <c r="Q375" t="s">
        <v>67</v>
      </c>
      <c r="R375" t="s">
        <v>67</v>
      </c>
      <c r="S375" t="s">
        <v>67</v>
      </c>
      <c r="T375" t="s">
        <v>67</v>
      </c>
      <c r="U375" t="s">
        <v>67</v>
      </c>
      <c r="V375" t="s">
        <v>67</v>
      </c>
    </row>
    <row r="376" spans="1:22" hidden="1" x14ac:dyDescent="0.25">
      <c r="A376">
        <v>2006</v>
      </c>
      <c r="B376" t="s">
        <v>22</v>
      </c>
      <c r="C376" t="s">
        <v>64</v>
      </c>
      <c r="D376" t="s">
        <v>64</v>
      </c>
      <c r="E376" t="s">
        <v>65</v>
      </c>
      <c r="F376" t="s">
        <v>70</v>
      </c>
      <c r="G376" t="s">
        <v>23</v>
      </c>
      <c r="H376">
        <v>25</v>
      </c>
      <c r="I376">
        <v>43</v>
      </c>
      <c r="J376">
        <v>16</v>
      </c>
      <c r="K376">
        <v>6</v>
      </c>
      <c r="L376">
        <v>10</v>
      </c>
      <c r="M376" t="s">
        <v>67</v>
      </c>
      <c r="N376" t="s">
        <v>67</v>
      </c>
      <c r="O376" t="s">
        <v>67</v>
      </c>
      <c r="P376" t="s">
        <v>67</v>
      </c>
      <c r="Q376" t="s">
        <v>67</v>
      </c>
      <c r="R376" t="s">
        <v>67</v>
      </c>
      <c r="S376" t="s">
        <v>67</v>
      </c>
      <c r="T376" t="s">
        <v>67</v>
      </c>
      <c r="U376" t="s">
        <v>67</v>
      </c>
      <c r="V376" t="s">
        <v>67</v>
      </c>
    </row>
    <row r="377" spans="1:22" hidden="1" x14ac:dyDescent="0.25">
      <c r="A377">
        <v>2006</v>
      </c>
      <c r="B377" t="s">
        <v>22</v>
      </c>
      <c r="C377" t="s">
        <v>64</v>
      </c>
      <c r="D377" t="s">
        <v>64</v>
      </c>
      <c r="E377" t="s">
        <v>65</v>
      </c>
      <c r="F377" t="s">
        <v>71</v>
      </c>
      <c r="G377" t="s">
        <v>23</v>
      </c>
      <c r="H377">
        <v>25</v>
      </c>
      <c r="I377">
        <v>41</v>
      </c>
      <c r="J377">
        <v>16</v>
      </c>
      <c r="K377">
        <v>7</v>
      </c>
      <c r="L377">
        <v>11</v>
      </c>
      <c r="M377" t="s">
        <v>67</v>
      </c>
      <c r="N377" t="s">
        <v>67</v>
      </c>
      <c r="O377" t="s">
        <v>67</v>
      </c>
      <c r="P377" t="s">
        <v>67</v>
      </c>
      <c r="Q377" t="s">
        <v>67</v>
      </c>
      <c r="R377" t="s">
        <v>67</v>
      </c>
      <c r="S377" t="s">
        <v>67</v>
      </c>
      <c r="T377" t="s">
        <v>67</v>
      </c>
      <c r="U377" t="s">
        <v>67</v>
      </c>
      <c r="V377" t="s">
        <v>67</v>
      </c>
    </row>
    <row r="378" spans="1:22" hidden="1" x14ac:dyDescent="0.25">
      <c r="A378">
        <v>2006</v>
      </c>
      <c r="B378" t="s">
        <v>22</v>
      </c>
      <c r="C378" t="s">
        <v>64</v>
      </c>
      <c r="D378" t="s">
        <v>64</v>
      </c>
      <c r="E378" t="s">
        <v>65</v>
      </c>
      <c r="F378" t="s">
        <v>72</v>
      </c>
      <c r="G378" t="s">
        <v>23</v>
      </c>
      <c r="H378">
        <v>24</v>
      </c>
      <c r="I378">
        <v>41</v>
      </c>
      <c r="J378">
        <v>17</v>
      </c>
      <c r="K378">
        <v>7</v>
      </c>
      <c r="L378">
        <v>11</v>
      </c>
      <c r="M378" t="s">
        <v>67</v>
      </c>
      <c r="N378" t="s">
        <v>67</v>
      </c>
      <c r="O378" t="s">
        <v>67</v>
      </c>
      <c r="P378" t="s">
        <v>67</v>
      </c>
      <c r="Q378" t="s">
        <v>67</v>
      </c>
      <c r="R378" t="s">
        <v>67</v>
      </c>
      <c r="S378" t="s">
        <v>67</v>
      </c>
      <c r="T378" t="s">
        <v>67</v>
      </c>
      <c r="U378" t="s">
        <v>67</v>
      </c>
      <c r="V378" t="s">
        <v>67</v>
      </c>
    </row>
    <row r="379" spans="1:22" hidden="1" x14ac:dyDescent="0.25">
      <c r="A379">
        <v>2006</v>
      </c>
      <c r="B379" t="s">
        <v>22</v>
      </c>
      <c r="C379" t="s">
        <v>64</v>
      </c>
      <c r="D379" t="s">
        <v>64</v>
      </c>
      <c r="E379" t="s">
        <v>65</v>
      </c>
      <c r="F379" t="s">
        <v>73</v>
      </c>
      <c r="G379" t="s">
        <v>23</v>
      </c>
      <c r="H379">
        <v>25</v>
      </c>
      <c r="I379">
        <v>41</v>
      </c>
      <c r="J379">
        <v>16</v>
      </c>
      <c r="K379">
        <v>7</v>
      </c>
      <c r="L379">
        <v>11</v>
      </c>
      <c r="M379" t="s">
        <v>67</v>
      </c>
      <c r="N379" t="s">
        <v>67</v>
      </c>
      <c r="O379" t="s">
        <v>67</v>
      </c>
      <c r="P379" t="s">
        <v>67</v>
      </c>
      <c r="Q379" t="s">
        <v>67</v>
      </c>
      <c r="R379" t="s">
        <v>67</v>
      </c>
      <c r="S379" t="s">
        <v>67</v>
      </c>
      <c r="T379" t="s">
        <v>67</v>
      </c>
      <c r="U379" t="s">
        <v>67</v>
      </c>
      <c r="V379" t="s">
        <v>67</v>
      </c>
    </row>
    <row r="380" spans="1:22" hidden="1" x14ac:dyDescent="0.25">
      <c r="A380">
        <v>2006</v>
      </c>
      <c r="B380" t="s">
        <v>22</v>
      </c>
      <c r="C380" t="s">
        <v>64</v>
      </c>
      <c r="D380" t="s">
        <v>64</v>
      </c>
      <c r="E380" t="s">
        <v>65</v>
      </c>
      <c r="F380" t="s">
        <v>74</v>
      </c>
      <c r="G380" t="s">
        <v>23</v>
      </c>
      <c r="H380">
        <v>25</v>
      </c>
      <c r="I380">
        <v>41</v>
      </c>
      <c r="J380">
        <v>16</v>
      </c>
      <c r="K380">
        <v>7</v>
      </c>
      <c r="L380">
        <v>11</v>
      </c>
      <c r="M380" t="s">
        <v>67</v>
      </c>
      <c r="N380" t="s">
        <v>67</v>
      </c>
      <c r="O380" t="s">
        <v>67</v>
      </c>
      <c r="P380" t="s">
        <v>67</v>
      </c>
      <c r="Q380" t="s">
        <v>67</v>
      </c>
      <c r="R380" t="s">
        <v>67</v>
      </c>
      <c r="S380" t="s">
        <v>67</v>
      </c>
      <c r="T380" t="s">
        <v>67</v>
      </c>
      <c r="U380" t="s">
        <v>67</v>
      </c>
      <c r="V380" t="s">
        <v>67</v>
      </c>
    </row>
    <row r="381" spans="1:22" hidden="1" x14ac:dyDescent="0.25">
      <c r="A381">
        <v>2006</v>
      </c>
      <c r="B381" t="s">
        <v>22</v>
      </c>
      <c r="C381" t="s">
        <v>64</v>
      </c>
      <c r="D381" t="s">
        <v>64</v>
      </c>
      <c r="E381" t="s">
        <v>65</v>
      </c>
      <c r="F381" t="s">
        <v>75</v>
      </c>
      <c r="G381" t="s">
        <v>23</v>
      </c>
      <c r="H381">
        <v>26</v>
      </c>
      <c r="I381">
        <v>41</v>
      </c>
      <c r="J381">
        <v>15</v>
      </c>
      <c r="K381">
        <v>7</v>
      </c>
      <c r="L381">
        <v>11</v>
      </c>
      <c r="M381" t="s">
        <v>67</v>
      </c>
      <c r="N381" t="s">
        <v>67</v>
      </c>
      <c r="O381" t="s">
        <v>67</v>
      </c>
      <c r="P381" t="s">
        <v>67</v>
      </c>
      <c r="Q381" t="s">
        <v>67</v>
      </c>
      <c r="R381" t="s">
        <v>67</v>
      </c>
      <c r="S381" t="s">
        <v>67</v>
      </c>
      <c r="T381" t="s">
        <v>67</v>
      </c>
      <c r="U381" t="s">
        <v>67</v>
      </c>
      <c r="V381" t="s">
        <v>67</v>
      </c>
    </row>
    <row r="382" spans="1:22" hidden="1" x14ac:dyDescent="0.25">
      <c r="A382">
        <v>2006</v>
      </c>
      <c r="B382" t="s">
        <v>22</v>
      </c>
      <c r="C382" t="s">
        <v>64</v>
      </c>
      <c r="D382" t="s">
        <v>64</v>
      </c>
      <c r="E382" t="s">
        <v>65</v>
      </c>
      <c r="F382" t="s">
        <v>77</v>
      </c>
      <c r="G382" t="s">
        <v>23</v>
      </c>
      <c r="H382">
        <v>26</v>
      </c>
      <c r="I382">
        <v>46</v>
      </c>
      <c r="J382">
        <v>16</v>
      </c>
      <c r="K382">
        <v>4</v>
      </c>
      <c r="L382">
        <v>8</v>
      </c>
      <c r="M382" t="s">
        <v>67</v>
      </c>
      <c r="N382" t="s">
        <v>67</v>
      </c>
      <c r="O382" t="s">
        <v>67</v>
      </c>
      <c r="P382" t="s">
        <v>67</v>
      </c>
      <c r="Q382" t="s">
        <v>67</v>
      </c>
      <c r="R382" t="s">
        <v>67</v>
      </c>
      <c r="S382" t="s">
        <v>67</v>
      </c>
      <c r="T382" t="s">
        <v>67</v>
      </c>
      <c r="U382" t="s">
        <v>67</v>
      </c>
      <c r="V382" t="s">
        <v>67</v>
      </c>
    </row>
    <row r="383" spans="1:22" hidden="1" x14ac:dyDescent="0.25">
      <c r="A383">
        <v>2006</v>
      </c>
      <c r="B383" t="s">
        <v>22</v>
      </c>
      <c r="C383" t="s">
        <v>64</v>
      </c>
      <c r="D383" t="s">
        <v>64</v>
      </c>
      <c r="E383" t="s">
        <v>65</v>
      </c>
      <c r="F383" t="s">
        <v>78</v>
      </c>
      <c r="G383" t="s">
        <v>23</v>
      </c>
      <c r="H383">
        <v>26</v>
      </c>
      <c r="I383">
        <v>47</v>
      </c>
      <c r="J383">
        <v>16</v>
      </c>
      <c r="K383">
        <v>3</v>
      </c>
      <c r="L383">
        <v>8</v>
      </c>
      <c r="M383" t="s">
        <v>67</v>
      </c>
      <c r="N383" t="s">
        <v>67</v>
      </c>
      <c r="O383" t="s">
        <v>67</v>
      </c>
      <c r="P383" t="s">
        <v>67</v>
      </c>
      <c r="Q383" t="s">
        <v>67</v>
      </c>
      <c r="R383" t="s">
        <v>67</v>
      </c>
      <c r="S383" t="s">
        <v>67</v>
      </c>
      <c r="T383" t="s">
        <v>67</v>
      </c>
      <c r="U383" t="s">
        <v>67</v>
      </c>
      <c r="V383" t="s">
        <v>67</v>
      </c>
    </row>
    <row r="384" spans="1:22" hidden="1" x14ac:dyDescent="0.25">
      <c r="A384">
        <v>2006</v>
      </c>
      <c r="B384" t="s">
        <v>22</v>
      </c>
      <c r="C384" t="s">
        <v>64</v>
      </c>
      <c r="D384" t="s">
        <v>64</v>
      </c>
      <c r="E384" t="s">
        <v>65</v>
      </c>
      <c r="F384" t="s">
        <v>79</v>
      </c>
      <c r="G384" t="s">
        <v>23</v>
      </c>
      <c r="H384">
        <v>23</v>
      </c>
      <c r="I384">
        <v>51</v>
      </c>
      <c r="J384">
        <v>17</v>
      </c>
      <c r="K384">
        <v>3</v>
      </c>
      <c r="L384">
        <v>6</v>
      </c>
      <c r="M384" t="s">
        <v>67</v>
      </c>
      <c r="N384" t="s">
        <v>67</v>
      </c>
      <c r="O384" t="s">
        <v>67</v>
      </c>
      <c r="P384" t="s">
        <v>67</v>
      </c>
      <c r="Q384" t="s">
        <v>67</v>
      </c>
      <c r="R384" t="s">
        <v>67</v>
      </c>
      <c r="S384" t="s">
        <v>67</v>
      </c>
      <c r="T384" t="s">
        <v>67</v>
      </c>
      <c r="U384" t="s">
        <v>67</v>
      </c>
      <c r="V384" t="s">
        <v>67</v>
      </c>
    </row>
    <row r="385" spans="1:22" hidden="1" x14ac:dyDescent="0.25">
      <c r="A385">
        <v>2006</v>
      </c>
      <c r="B385" t="s">
        <v>22</v>
      </c>
      <c r="C385" t="s">
        <v>64</v>
      </c>
      <c r="D385" t="s">
        <v>64</v>
      </c>
      <c r="E385" t="s">
        <v>65</v>
      </c>
      <c r="F385" t="s">
        <v>80</v>
      </c>
      <c r="G385" t="s">
        <v>23</v>
      </c>
      <c r="H385">
        <v>22</v>
      </c>
      <c r="I385">
        <v>52</v>
      </c>
      <c r="J385">
        <v>19</v>
      </c>
      <c r="K385">
        <v>2</v>
      </c>
      <c r="L385">
        <v>5</v>
      </c>
      <c r="M385" t="s">
        <v>67</v>
      </c>
      <c r="N385" t="s">
        <v>67</v>
      </c>
      <c r="O385" t="s">
        <v>67</v>
      </c>
      <c r="P385" t="s">
        <v>67</v>
      </c>
      <c r="Q385" t="s">
        <v>67</v>
      </c>
      <c r="R385" t="s">
        <v>67</v>
      </c>
      <c r="S385" t="s">
        <v>67</v>
      </c>
      <c r="T385" t="s">
        <v>67</v>
      </c>
      <c r="U385" t="s">
        <v>67</v>
      </c>
      <c r="V385" t="s">
        <v>67</v>
      </c>
    </row>
    <row r="386" spans="1:22" hidden="1" x14ac:dyDescent="0.25">
      <c r="A386">
        <v>2006</v>
      </c>
      <c r="B386" t="s">
        <v>22</v>
      </c>
      <c r="C386" t="s">
        <v>64</v>
      </c>
      <c r="D386" t="s">
        <v>64</v>
      </c>
      <c r="E386" t="s">
        <v>65</v>
      </c>
      <c r="F386" t="s">
        <v>81</v>
      </c>
      <c r="G386" t="s">
        <v>23</v>
      </c>
      <c r="H386">
        <v>24</v>
      </c>
      <c r="I386">
        <v>52</v>
      </c>
      <c r="J386">
        <v>16</v>
      </c>
      <c r="K386">
        <v>2</v>
      </c>
      <c r="L386">
        <v>6</v>
      </c>
      <c r="M386" t="s">
        <v>67</v>
      </c>
      <c r="N386" t="s">
        <v>67</v>
      </c>
      <c r="O386" t="s">
        <v>67</v>
      </c>
      <c r="P386" t="s">
        <v>67</v>
      </c>
      <c r="Q386" t="s">
        <v>67</v>
      </c>
      <c r="R386" t="s">
        <v>67</v>
      </c>
      <c r="S386" t="s">
        <v>67</v>
      </c>
      <c r="T386" t="s">
        <v>67</v>
      </c>
      <c r="U386" t="s">
        <v>67</v>
      </c>
      <c r="V386" t="s">
        <v>67</v>
      </c>
    </row>
    <row r="387" spans="1:22" hidden="1" x14ac:dyDescent="0.25">
      <c r="A387">
        <v>2006</v>
      </c>
      <c r="B387" t="s">
        <v>22</v>
      </c>
      <c r="C387" t="s">
        <v>64</v>
      </c>
      <c r="D387" t="s">
        <v>64</v>
      </c>
      <c r="E387" t="s">
        <v>65</v>
      </c>
      <c r="F387" t="s">
        <v>82</v>
      </c>
      <c r="G387" t="s">
        <v>23</v>
      </c>
      <c r="H387">
        <v>24</v>
      </c>
      <c r="I387">
        <v>55</v>
      </c>
      <c r="J387">
        <v>15</v>
      </c>
      <c r="K387">
        <v>1</v>
      </c>
      <c r="L387">
        <v>5</v>
      </c>
      <c r="M387" t="s">
        <v>67</v>
      </c>
      <c r="N387" t="s">
        <v>67</v>
      </c>
      <c r="O387" t="s">
        <v>67</v>
      </c>
      <c r="P387" t="s">
        <v>67</v>
      </c>
      <c r="Q387" t="s">
        <v>67</v>
      </c>
      <c r="R387" t="s">
        <v>67</v>
      </c>
      <c r="S387" t="s">
        <v>67</v>
      </c>
      <c r="T387" t="s">
        <v>67</v>
      </c>
      <c r="U387" t="s">
        <v>67</v>
      </c>
      <c r="V387" t="s">
        <v>67</v>
      </c>
    </row>
    <row r="388" spans="1:22" hidden="1" x14ac:dyDescent="0.25">
      <c r="A388">
        <v>2006</v>
      </c>
      <c r="B388" t="s">
        <v>22</v>
      </c>
      <c r="C388" t="s">
        <v>64</v>
      </c>
      <c r="D388" t="s">
        <v>64</v>
      </c>
      <c r="E388" t="s">
        <v>65</v>
      </c>
      <c r="F388" t="s">
        <v>83</v>
      </c>
      <c r="G388" t="s">
        <v>23</v>
      </c>
      <c r="H388">
        <v>24</v>
      </c>
      <c r="I388">
        <v>56</v>
      </c>
      <c r="J388">
        <v>15</v>
      </c>
      <c r="K388">
        <v>1</v>
      </c>
      <c r="L388">
        <v>4</v>
      </c>
      <c r="M388" t="s">
        <v>67</v>
      </c>
      <c r="N388" t="s">
        <v>67</v>
      </c>
      <c r="O388" t="s">
        <v>67</v>
      </c>
      <c r="P388" t="s">
        <v>67</v>
      </c>
      <c r="Q388" t="s">
        <v>67</v>
      </c>
      <c r="R388" t="s">
        <v>67</v>
      </c>
      <c r="S388" t="s">
        <v>67</v>
      </c>
      <c r="T388" t="s">
        <v>67</v>
      </c>
      <c r="U388" t="s">
        <v>67</v>
      </c>
      <c r="V388" t="s">
        <v>67</v>
      </c>
    </row>
    <row r="389" spans="1:22" hidden="1" x14ac:dyDescent="0.25">
      <c r="A389">
        <v>2006</v>
      </c>
      <c r="B389" t="s">
        <v>22</v>
      </c>
      <c r="C389" t="s">
        <v>64</v>
      </c>
      <c r="D389" t="s">
        <v>64</v>
      </c>
      <c r="E389" t="s">
        <v>65</v>
      </c>
      <c r="F389" t="s">
        <v>84</v>
      </c>
      <c r="G389" t="s">
        <v>23</v>
      </c>
      <c r="H389">
        <v>25</v>
      </c>
      <c r="I389">
        <v>58</v>
      </c>
      <c r="J389">
        <v>12</v>
      </c>
      <c r="K389">
        <v>1</v>
      </c>
      <c r="L389">
        <v>4</v>
      </c>
      <c r="M389" t="s">
        <v>67</v>
      </c>
      <c r="N389" t="s">
        <v>67</v>
      </c>
      <c r="O389" t="s">
        <v>67</v>
      </c>
      <c r="P389" t="s">
        <v>67</v>
      </c>
      <c r="Q389" t="s">
        <v>67</v>
      </c>
      <c r="R389" t="s">
        <v>67</v>
      </c>
      <c r="S389" t="s">
        <v>67</v>
      </c>
      <c r="T389" t="s">
        <v>67</v>
      </c>
      <c r="U389" t="s">
        <v>67</v>
      </c>
      <c r="V389" t="s">
        <v>67</v>
      </c>
    </row>
    <row r="390" spans="1:22" hidden="1" x14ac:dyDescent="0.25">
      <c r="A390">
        <v>2006</v>
      </c>
      <c r="B390" t="s">
        <v>22</v>
      </c>
      <c r="C390" t="s">
        <v>64</v>
      </c>
      <c r="D390" t="s">
        <v>64</v>
      </c>
      <c r="E390" t="s">
        <v>65</v>
      </c>
      <c r="F390" t="s">
        <v>91</v>
      </c>
      <c r="G390" t="s">
        <v>23</v>
      </c>
      <c r="H390">
        <v>29</v>
      </c>
      <c r="I390">
        <v>57</v>
      </c>
      <c r="J390">
        <v>9</v>
      </c>
      <c r="K390">
        <v>1</v>
      </c>
      <c r="L390">
        <v>4</v>
      </c>
      <c r="M390" t="s">
        <v>67</v>
      </c>
      <c r="N390" t="s">
        <v>67</v>
      </c>
      <c r="O390" t="s">
        <v>67</v>
      </c>
      <c r="P390" t="s">
        <v>67</v>
      </c>
      <c r="Q390" t="s">
        <v>67</v>
      </c>
      <c r="R390" t="s">
        <v>67</v>
      </c>
      <c r="S390" t="s">
        <v>67</v>
      </c>
      <c r="T390" t="s">
        <v>67</v>
      </c>
      <c r="U390" t="s">
        <v>67</v>
      </c>
      <c r="V390" t="s">
        <v>67</v>
      </c>
    </row>
    <row r="391" spans="1:22" x14ac:dyDescent="0.25">
      <c r="A391">
        <v>2006</v>
      </c>
      <c r="B391" t="s">
        <v>22</v>
      </c>
      <c r="C391" t="s">
        <v>64</v>
      </c>
      <c r="D391" t="s">
        <v>64</v>
      </c>
      <c r="E391" t="s">
        <v>65</v>
      </c>
      <c r="F391" t="s">
        <v>90</v>
      </c>
      <c r="G391" t="s">
        <v>23</v>
      </c>
      <c r="H391">
        <v>23</v>
      </c>
      <c r="I391">
        <v>45</v>
      </c>
      <c r="J391">
        <v>18</v>
      </c>
      <c r="K391">
        <v>5</v>
      </c>
      <c r="L391">
        <v>9</v>
      </c>
      <c r="M391">
        <f>J391+I391</f>
        <v>63</v>
      </c>
      <c r="N391">
        <v>1.7284673244272852E-2</v>
      </c>
      <c r="O391" t="s">
        <v>67</v>
      </c>
      <c r="P391" t="s">
        <v>67</v>
      </c>
      <c r="Q391" t="s">
        <v>67</v>
      </c>
      <c r="R391" t="s">
        <v>67</v>
      </c>
      <c r="S391" t="s">
        <v>67</v>
      </c>
      <c r="T391" t="s">
        <v>67</v>
      </c>
      <c r="U391" t="s">
        <v>67</v>
      </c>
      <c r="V391" t="s">
        <v>67</v>
      </c>
    </row>
    <row r="392" spans="1:22" hidden="1" x14ac:dyDescent="0.25">
      <c r="A392">
        <v>2007</v>
      </c>
      <c r="B392" t="s">
        <v>22</v>
      </c>
      <c r="C392" t="s">
        <v>64</v>
      </c>
      <c r="D392" t="s">
        <v>64</v>
      </c>
      <c r="E392" t="s">
        <v>65</v>
      </c>
      <c r="F392" t="s">
        <v>68</v>
      </c>
      <c r="G392" t="s">
        <v>23</v>
      </c>
      <c r="H392">
        <v>23</v>
      </c>
      <c r="I392">
        <v>45</v>
      </c>
      <c r="J392">
        <v>18</v>
      </c>
      <c r="K392">
        <v>5</v>
      </c>
      <c r="L392">
        <v>9</v>
      </c>
      <c r="M392" t="s">
        <v>67</v>
      </c>
      <c r="N392" t="s">
        <v>67</v>
      </c>
      <c r="O392" t="s">
        <v>67</v>
      </c>
      <c r="P392" t="s">
        <v>67</v>
      </c>
      <c r="Q392" t="s">
        <v>67</v>
      </c>
      <c r="R392" t="s">
        <v>67</v>
      </c>
      <c r="S392" t="s">
        <v>67</v>
      </c>
      <c r="T392" t="s">
        <v>67</v>
      </c>
      <c r="U392" t="s">
        <v>67</v>
      </c>
      <c r="V392" t="s">
        <v>67</v>
      </c>
    </row>
    <row r="393" spans="1:22" hidden="1" x14ac:dyDescent="0.25">
      <c r="A393">
        <v>2007</v>
      </c>
      <c r="B393" t="s">
        <v>22</v>
      </c>
      <c r="C393" t="s">
        <v>64</v>
      </c>
      <c r="D393" t="s">
        <v>64</v>
      </c>
      <c r="E393" t="s">
        <v>65</v>
      </c>
      <c r="F393" t="s">
        <v>85</v>
      </c>
      <c r="G393" t="s">
        <v>23</v>
      </c>
      <c r="H393">
        <v>23</v>
      </c>
      <c r="I393">
        <v>46</v>
      </c>
      <c r="J393">
        <v>17</v>
      </c>
      <c r="K393">
        <v>5</v>
      </c>
      <c r="L393">
        <v>9</v>
      </c>
      <c r="M393" t="s">
        <v>67</v>
      </c>
      <c r="N393" t="s">
        <v>67</v>
      </c>
      <c r="O393" t="s">
        <v>67</v>
      </c>
      <c r="P393" t="s">
        <v>67</v>
      </c>
      <c r="Q393" t="s">
        <v>67</v>
      </c>
      <c r="R393" t="s">
        <v>67</v>
      </c>
      <c r="S393" t="s">
        <v>67</v>
      </c>
      <c r="T393" t="s">
        <v>67</v>
      </c>
      <c r="U393" t="s">
        <v>67</v>
      </c>
      <c r="V393" t="s">
        <v>67</v>
      </c>
    </row>
    <row r="394" spans="1:22" hidden="1" x14ac:dyDescent="0.25">
      <c r="A394">
        <v>2007</v>
      </c>
      <c r="B394" t="s">
        <v>22</v>
      </c>
      <c r="C394" t="s">
        <v>64</v>
      </c>
      <c r="D394" t="s">
        <v>64</v>
      </c>
      <c r="E394" t="s">
        <v>65</v>
      </c>
      <c r="F394" t="s">
        <v>69</v>
      </c>
      <c r="G394" t="s">
        <v>23</v>
      </c>
      <c r="H394">
        <v>23</v>
      </c>
      <c r="I394">
        <v>44</v>
      </c>
      <c r="J394">
        <v>17</v>
      </c>
      <c r="K394">
        <v>6</v>
      </c>
      <c r="L394">
        <v>10</v>
      </c>
      <c r="M394" t="s">
        <v>67</v>
      </c>
      <c r="N394" t="s">
        <v>67</v>
      </c>
      <c r="O394" t="s">
        <v>67</v>
      </c>
      <c r="P394" t="s">
        <v>67</v>
      </c>
      <c r="Q394" t="s">
        <v>67</v>
      </c>
      <c r="R394" t="s">
        <v>67</v>
      </c>
      <c r="S394" t="s">
        <v>67</v>
      </c>
      <c r="T394" t="s">
        <v>67</v>
      </c>
      <c r="U394" t="s">
        <v>67</v>
      </c>
      <c r="V394" t="s">
        <v>67</v>
      </c>
    </row>
    <row r="395" spans="1:22" hidden="1" x14ac:dyDescent="0.25">
      <c r="A395">
        <v>2007</v>
      </c>
      <c r="B395" t="s">
        <v>22</v>
      </c>
      <c r="C395" t="s">
        <v>64</v>
      </c>
      <c r="D395" t="s">
        <v>64</v>
      </c>
      <c r="E395" t="s">
        <v>65</v>
      </c>
      <c r="F395" t="s">
        <v>70</v>
      </c>
      <c r="G395" t="s">
        <v>23</v>
      </c>
      <c r="H395">
        <v>25</v>
      </c>
      <c r="I395">
        <v>44</v>
      </c>
      <c r="J395">
        <v>15</v>
      </c>
      <c r="K395">
        <v>6</v>
      </c>
      <c r="L395">
        <v>10</v>
      </c>
      <c r="M395" t="s">
        <v>67</v>
      </c>
      <c r="N395" t="s">
        <v>67</v>
      </c>
      <c r="O395" t="s">
        <v>67</v>
      </c>
      <c r="P395" t="s">
        <v>67</v>
      </c>
      <c r="Q395" t="s">
        <v>67</v>
      </c>
      <c r="R395" t="s">
        <v>67</v>
      </c>
      <c r="S395" t="s">
        <v>67</v>
      </c>
      <c r="T395" t="s">
        <v>67</v>
      </c>
      <c r="U395" t="s">
        <v>67</v>
      </c>
      <c r="V395" t="s">
        <v>67</v>
      </c>
    </row>
    <row r="396" spans="1:22" hidden="1" x14ac:dyDescent="0.25">
      <c r="A396">
        <v>2007</v>
      </c>
      <c r="B396" t="s">
        <v>22</v>
      </c>
      <c r="C396" t="s">
        <v>64</v>
      </c>
      <c r="D396" t="s">
        <v>64</v>
      </c>
      <c r="E396" t="s">
        <v>65</v>
      </c>
      <c r="F396" t="s">
        <v>71</v>
      </c>
      <c r="G396" t="s">
        <v>23</v>
      </c>
      <c r="H396">
        <v>25</v>
      </c>
      <c r="I396">
        <v>43</v>
      </c>
      <c r="J396">
        <v>16</v>
      </c>
      <c r="K396">
        <v>6</v>
      </c>
      <c r="L396">
        <v>10</v>
      </c>
      <c r="M396" t="s">
        <v>67</v>
      </c>
      <c r="N396" t="s">
        <v>67</v>
      </c>
      <c r="O396" t="s">
        <v>67</v>
      </c>
      <c r="P396" t="s">
        <v>67</v>
      </c>
      <c r="Q396" t="s">
        <v>67</v>
      </c>
      <c r="R396" t="s">
        <v>67</v>
      </c>
      <c r="S396" t="s">
        <v>67</v>
      </c>
      <c r="T396" t="s">
        <v>67</v>
      </c>
      <c r="U396" t="s">
        <v>67</v>
      </c>
      <c r="V396" t="s">
        <v>67</v>
      </c>
    </row>
    <row r="397" spans="1:22" hidden="1" x14ac:dyDescent="0.25">
      <c r="A397">
        <v>2007</v>
      </c>
      <c r="B397" t="s">
        <v>22</v>
      </c>
      <c r="C397" t="s">
        <v>64</v>
      </c>
      <c r="D397" t="s">
        <v>64</v>
      </c>
      <c r="E397" t="s">
        <v>65</v>
      </c>
      <c r="F397" t="s">
        <v>72</v>
      </c>
      <c r="G397" t="s">
        <v>23</v>
      </c>
      <c r="H397">
        <v>24</v>
      </c>
      <c r="I397">
        <v>42</v>
      </c>
      <c r="J397">
        <v>16</v>
      </c>
      <c r="K397">
        <v>6</v>
      </c>
      <c r="L397">
        <v>12</v>
      </c>
      <c r="M397" t="s">
        <v>67</v>
      </c>
      <c r="N397" t="s">
        <v>67</v>
      </c>
      <c r="O397" t="s">
        <v>67</v>
      </c>
      <c r="P397" t="s">
        <v>67</v>
      </c>
      <c r="Q397" t="s">
        <v>67</v>
      </c>
      <c r="R397" t="s">
        <v>67</v>
      </c>
      <c r="S397" t="s">
        <v>67</v>
      </c>
      <c r="T397" t="s">
        <v>67</v>
      </c>
      <c r="U397" t="s">
        <v>67</v>
      </c>
      <c r="V397" t="s">
        <v>67</v>
      </c>
    </row>
    <row r="398" spans="1:22" hidden="1" x14ac:dyDescent="0.25">
      <c r="A398">
        <v>2007</v>
      </c>
      <c r="B398" t="s">
        <v>22</v>
      </c>
      <c r="C398" t="s">
        <v>64</v>
      </c>
      <c r="D398" t="s">
        <v>64</v>
      </c>
      <c r="E398" t="s">
        <v>65</v>
      </c>
      <c r="F398" t="s">
        <v>73</v>
      </c>
      <c r="G398" t="s">
        <v>23</v>
      </c>
      <c r="H398">
        <v>26</v>
      </c>
      <c r="I398">
        <v>41</v>
      </c>
      <c r="J398">
        <v>15</v>
      </c>
      <c r="K398">
        <v>6</v>
      </c>
      <c r="L398">
        <v>12</v>
      </c>
      <c r="M398" t="s">
        <v>67</v>
      </c>
      <c r="N398" t="s">
        <v>67</v>
      </c>
      <c r="O398" t="s">
        <v>67</v>
      </c>
      <c r="P398" t="s">
        <v>67</v>
      </c>
      <c r="Q398" t="s">
        <v>67</v>
      </c>
      <c r="R398" t="s">
        <v>67</v>
      </c>
      <c r="S398" t="s">
        <v>67</v>
      </c>
      <c r="T398" t="s">
        <v>67</v>
      </c>
      <c r="U398" t="s">
        <v>67</v>
      </c>
      <c r="V398" t="s">
        <v>67</v>
      </c>
    </row>
    <row r="399" spans="1:22" hidden="1" x14ac:dyDescent="0.25">
      <c r="A399">
        <v>2007</v>
      </c>
      <c r="B399" t="s">
        <v>22</v>
      </c>
      <c r="C399" t="s">
        <v>64</v>
      </c>
      <c r="D399" t="s">
        <v>64</v>
      </c>
      <c r="E399" t="s">
        <v>65</v>
      </c>
      <c r="F399" t="s">
        <v>74</v>
      </c>
      <c r="G399" t="s">
        <v>23</v>
      </c>
      <c r="H399">
        <v>26</v>
      </c>
      <c r="I399">
        <v>40</v>
      </c>
      <c r="J399">
        <v>16</v>
      </c>
      <c r="K399">
        <v>6</v>
      </c>
      <c r="L399">
        <v>12</v>
      </c>
      <c r="M399" t="s">
        <v>67</v>
      </c>
      <c r="N399" t="s">
        <v>67</v>
      </c>
      <c r="O399" t="s">
        <v>67</v>
      </c>
      <c r="P399" t="s">
        <v>67</v>
      </c>
      <c r="Q399" t="s">
        <v>67</v>
      </c>
      <c r="R399" t="s">
        <v>67</v>
      </c>
      <c r="S399" t="s">
        <v>67</v>
      </c>
      <c r="T399" t="s">
        <v>67</v>
      </c>
      <c r="U399" t="s">
        <v>67</v>
      </c>
      <c r="V399" t="s">
        <v>67</v>
      </c>
    </row>
    <row r="400" spans="1:22" hidden="1" x14ac:dyDescent="0.25">
      <c r="A400">
        <v>2007</v>
      </c>
      <c r="B400" t="s">
        <v>22</v>
      </c>
      <c r="C400" t="s">
        <v>64</v>
      </c>
      <c r="D400" t="s">
        <v>64</v>
      </c>
      <c r="E400" t="s">
        <v>65</v>
      </c>
      <c r="F400" t="s">
        <v>75</v>
      </c>
      <c r="G400" t="s">
        <v>23</v>
      </c>
      <c r="H400">
        <v>26</v>
      </c>
      <c r="I400">
        <v>42</v>
      </c>
      <c r="J400">
        <v>16</v>
      </c>
      <c r="K400">
        <v>5</v>
      </c>
      <c r="L400">
        <v>11</v>
      </c>
      <c r="M400" t="s">
        <v>67</v>
      </c>
      <c r="N400" t="s">
        <v>67</v>
      </c>
      <c r="O400" t="s">
        <v>67</v>
      </c>
      <c r="P400" t="s">
        <v>67</v>
      </c>
      <c r="Q400" t="s">
        <v>67</v>
      </c>
      <c r="R400" t="s">
        <v>67</v>
      </c>
      <c r="S400" t="s">
        <v>67</v>
      </c>
      <c r="T400" t="s">
        <v>67</v>
      </c>
      <c r="U400" t="s">
        <v>67</v>
      </c>
      <c r="V400" t="s">
        <v>67</v>
      </c>
    </row>
    <row r="401" spans="1:22" hidden="1" x14ac:dyDescent="0.25">
      <c r="A401">
        <v>2007</v>
      </c>
      <c r="B401" t="s">
        <v>22</v>
      </c>
      <c r="C401" t="s">
        <v>64</v>
      </c>
      <c r="D401" t="s">
        <v>64</v>
      </c>
      <c r="E401" t="s">
        <v>65</v>
      </c>
      <c r="F401" t="s">
        <v>76</v>
      </c>
      <c r="G401" t="s">
        <v>23</v>
      </c>
      <c r="H401">
        <v>25</v>
      </c>
      <c r="I401">
        <v>45</v>
      </c>
      <c r="J401">
        <v>17</v>
      </c>
      <c r="K401">
        <v>4</v>
      </c>
      <c r="L401">
        <v>9</v>
      </c>
      <c r="M401" t="s">
        <v>67</v>
      </c>
      <c r="N401" t="s">
        <v>67</v>
      </c>
      <c r="O401" t="s">
        <v>67</v>
      </c>
      <c r="P401" t="s">
        <v>67</v>
      </c>
      <c r="Q401" t="s">
        <v>67</v>
      </c>
      <c r="R401" t="s">
        <v>67</v>
      </c>
      <c r="S401" t="s">
        <v>67</v>
      </c>
      <c r="T401" t="s">
        <v>67</v>
      </c>
      <c r="U401" t="s">
        <v>67</v>
      </c>
      <c r="V401" t="s">
        <v>67</v>
      </c>
    </row>
    <row r="402" spans="1:22" hidden="1" x14ac:dyDescent="0.25">
      <c r="A402">
        <v>2007</v>
      </c>
      <c r="B402" t="s">
        <v>22</v>
      </c>
      <c r="C402" t="s">
        <v>64</v>
      </c>
      <c r="D402" t="s">
        <v>64</v>
      </c>
      <c r="E402" t="s">
        <v>65</v>
      </c>
      <c r="F402" t="s">
        <v>77</v>
      </c>
      <c r="G402" t="s">
        <v>23</v>
      </c>
      <c r="H402">
        <v>24</v>
      </c>
      <c r="I402">
        <v>46</v>
      </c>
      <c r="J402">
        <v>18</v>
      </c>
      <c r="K402">
        <v>4</v>
      </c>
      <c r="L402">
        <v>8</v>
      </c>
      <c r="M402" t="s">
        <v>67</v>
      </c>
      <c r="N402" t="s">
        <v>67</v>
      </c>
      <c r="O402" t="s">
        <v>67</v>
      </c>
      <c r="P402" t="s">
        <v>67</v>
      </c>
      <c r="Q402" t="s">
        <v>67</v>
      </c>
      <c r="R402" t="s">
        <v>67</v>
      </c>
      <c r="S402" t="s">
        <v>67</v>
      </c>
      <c r="T402" t="s">
        <v>67</v>
      </c>
      <c r="U402" t="s">
        <v>67</v>
      </c>
      <c r="V402" t="s">
        <v>67</v>
      </c>
    </row>
    <row r="403" spans="1:22" hidden="1" x14ac:dyDescent="0.25">
      <c r="A403">
        <v>2007</v>
      </c>
      <c r="B403" t="s">
        <v>22</v>
      </c>
      <c r="C403" t="s">
        <v>64</v>
      </c>
      <c r="D403" t="s">
        <v>64</v>
      </c>
      <c r="E403" t="s">
        <v>65</v>
      </c>
      <c r="F403" t="s">
        <v>78</v>
      </c>
      <c r="G403" t="s">
        <v>23</v>
      </c>
      <c r="H403">
        <v>21</v>
      </c>
      <c r="I403">
        <v>51</v>
      </c>
      <c r="J403">
        <v>19</v>
      </c>
      <c r="K403">
        <v>3</v>
      </c>
      <c r="L403">
        <v>6</v>
      </c>
      <c r="M403" t="s">
        <v>67</v>
      </c>
      <c r="N403" t="s">
        <v>67</v>
      </c>
      <c r="O403" t="s">
        <v>67</v>
      </c>
      <c r="P403" t="s">
        <v>67</v>
      </c>
      <c r="Q403" t="s">
        <v>67</v>
      </c>
      <c r="R403" t="s">
        <v>67</v>
      </c>
      <c r="S403" t="s">
        <v>67</v>
      </c>
      <c r="T403" t="s">
        <v>67</v>
      </c>
      <c r="U403" t="s">
        <v>67</v>
      </c>
      <c r="V403" t="s">
        <v>67</v>
      </c>
    </row>
    <row r="404" spans="1:22" hidden="1" x14ac:dyDescent="0.25">
      <c r="A404">
        <v>2007</v>
      </c>
      <c r="B404" t="s">
        <v>22</v>
      </c>
      <c r="C404" t="s">
        <v>64</v>
      </c>
      <c r="D404" t="s">
        <v>64</v>
      </c>
      <c r="E404" t="s">
        <v>65</v>
      </c>
      <c r="F404" t="s">
        <v>79</v>
      </c>
      <c r="G404" t="s">
        <v>23</v>
      </c>
      <c r="H404">
        <v>20</v>
      </c>
      <c r="I404">
        <v>53</v>
      </c>
      <c r="J404">
        <v>20</v>
      </c>
      <c r="K404">
        <v>2</v>
      </c>
      <c r="L404">
        <v>5</v>
      </c>
      <c r="M404" t="s">
        <v>67</v>
      </c>
      <c r="N404" t="s">
        <v>67</v>
      </c>
      <c r="O404" t="s">
        <v>67</v>
      </c>
      <c r="P404" t="s">
        <v>67</v>
      </c>
      <c r="Q404" t="s">
        <v>67</v>
      </c>
      <c r="R404" t="s">
        <v>67</v>
      </c>
      <c r="S404" t="s">
        <v>67</v>
      </c>
      <c r="T404" t="s">
        <v>67</v>
      </c>
      <c r="U404" t="s">
        <v>67</v>
      </c>
      <c r="V404" t="s">
        <v>67</v>
      </c>
    </row>
    <row r="405" spans="1:22" hidden="1" x14ac:dyDescent="0.25">
      <c r="A405">
        <v>2007</v>
      </c>
      <c r="B405" t="s">
        <v>22</v>
      </c>
      <c r="C405" t="s">
        <v>64</v>
      </c>
      <c r="D405" t="s">
        <v>64</v>
      </c>
      <c r="E405" t="s">
        <v>65</v>
      </c>
      <c r="F405" t="s">
        <v>80</v>
      </c>
      <c r="G405" t="s">
        <v>23</v>
      </c>
      <c r="H405">
        <v>20</v>
      </c>
      <c r="I405">
        <v>54</v>
      </c>
      <c r="J405">
        <v>19</v>
      </c>
      <c r="K405">
        <v>2</v>
      </c>
      <c r="L405">
        <v>5</v>
      </c>
      <c r="M405" t="s">
        <v>67</v>
      </c>
      <c r="N405" t="s">
        <v>67</v>
      </c>
      <c r="O405" t="s">
        <v>67</v>
      </c>
      <c r="P405" t="s">
        <v>67</v>
      </c>
      <c r="Q405" t="s">
        <v>67</v>
      </c>
      <c r="R405" t="s">
        <v>67</v>
      </c>
      <c r="S405" t="s">
        <v>67</v>
      </c>
      <c r="T405" t="s">
        <v>67</v>
      </c>
      <c r="U405" t="s">
        <v>67</v>
      </c>
      <c r="V405" t="s">
        <v>67</v>
      </c>
    </row>
    <row r="406" spans="1:22" hidden="1" x14ac:dyDescent="0.25">
      <c r="A406">
        <v>2007</v>
      </c>
      <c r="B406" t="s">
        <v>22</v>
      </c>
      <c r="C406" t="s">
        <v>64</v>
      </c>
      <c r="D406" t="s">
        <v>64</v>
      </c>
      <c r="E406" t="s">
        <v>65</v>
      </c>
      <c r="F406" t="s">
        <v>81</v>
      </c>
      <c r="G406" t="s">
        <v>23</v>
      </c>
      <c r="H406">
        <v>22</v>
      </c>
      <c r="I406">
        <v>53</v>
      </c>
      <c r="J406">
        <v>17</v>
      </c>
      <c r="K406">
        <v>2</v>
      </c>
      <c r="L406">
        <v>6</v>
      </c>
      <c r="M406" t="s">
        <v>67</v>
      </c>
      <c r="N406" t="s">
        <v>67</v>
      </c>
      <c r="O406" t="s">
        <v>67</v>
      </c>
      <c r="P406" t="s">
        <v>67</v>
      </c>
      <c r="Q406" t="s">
        <v>67</v>
      </c>
      <c r="R406" t="s">
        <v>67</v>
      </c>
      <c r="S406" t="s">
        <v>67</v>
      </c>
      <c r="T406" t="s">
        <v>67</v>
      </c>
      <c r="U406" t="s">
        <v>67</v>
      </c>
      <c r="V406" t="s">
        <v>67</v>
      </c>
    </row>
    <row r="407" spans="1:22" hidden="1" x14ac:dyDescent="0.25">
      <c r="A407">
        <v>2007</v>
      </c>
      <c r="B407" t="s">
        <v>22</v>
      </c>
      <c r="C407" t="s">
        <v>64</v>
      </c>
      <c r="D407" t="s">
        <v>64</v>
      </c>
      <c r="E407" t="s">
        <v>65</v>
      </c>
      <c r="F407" t="s">
        <v>82</v>
      </c>
      <c r="G407" t="s">
        <v>23</v>
      </c>
      <c r="H407">
        <v>18</v>
      </c>
      <c r="I407">
        <v>57</v>
      </c>
      <c r="J407">
        <v>20</v>
      </c>
      <c r="K407">
        <v>1</v>
      </c>
      <c r="L407">
        <v>4</v>
      </c>
      <c r="M407" t="s">
        <v>67</v>
      </c>
      <c r="N407" t="s">
        <v>67</v>
      </c>
      <c r="O407" t="s">
        <v>67</v>
      </c>
      <c r="P407" t="s">
        <v>67</v>
      </c>
      <c r="Q407" t="s">
        <v>67</v>
      </c>
      <c r="R407" t="s">
        <v>67</v>
      </c>
      <c r="S407" t="s">
        <v>67</v>
      </c>
      <c r="T407" t="s">
        <v>67</v>
      </c>
      <c r="U407" t="s">
        <v>67</v>
      </c>
      <c r="V407" t="s">
        <v>67</v>
      </c>
    </row>
    <row r="408" spans="1:22" hidden="1" x14ac:dyDescent="0.25">
      <c r="A408">
        <v>2007</v>
      </c>
      <c r="B408" t="s">
        <v>22</v>
      </c>
      <c r="C408" t="s">
        <v>64</v>
      </c>
      <c r="D408" t="s">
        <v>64</v>
      </c>
      <c r="E408" t="s">
        <v>65</v>
      </c>
      <c r="F408" t="s">
        <v>83</v>
      </c>
      <c r="G408" t="s">
        <v>23</v>
      </c>
      <c r="H408">
        <v>18</v>
      </c>
      <c r="I408">
        <v>60</v>
      </c>
      <c r="J408">
        <v>18</v>
      </c>
      <c r="K408">
        <v>1</v>
      </c>
      <c r="L408">
        <v>3</v>
      </c>
      <c r="M408" t="s">
        <v>67</v>
      </c>
      <c r="N408" t="s">
        <v>67</v>
      </c>
      <c r="O408" t="s">
        <v>67</v>
      </c>
      <c r="P408" t="s">
        <v>67</v>
      </c>
      <c r="Q408" t="s">
        <v>67</v>
      </c>
      <c r="R408" t="s">
        <v>67</v>
      </c>
      <c r="S408" t="s">
        <v>67</v>
      </c>
      <c r="T408" t="s">
        <v>67</v>
      </c>
      <c r="U408" t="s">
        <v>67</v>
      </c>
      <c r="V408" t="s">
        <v>67</v>
      </c>
    </row>
    <row r="409" spans="1:22" hidden="1" x14ac:dyDescent="0.25">
      <c r="A409">
        <v>2007</v>
      </c>
      <c r="B409" t="s">
        <v>22</v>
      </c>
      <c r="C409" t="s">
        <v>64</v>
      </c>
      <c r="D409" t="s">
        <v>64</v>
      </c>
      <c r="E409" t="s">
        <v>65</v>
      </c>
      <c r="F409" t="s">
        <v>84</v>
      </c>
      <c r="G409" t="s">
        <v>23</v>
      </c>
      <c r="H409">
        <v>18</v>
      </c>
      <c r="I409">
        <v>60</v>
      </c>
      <c r="J409">
        <v>18</v>
      </c>
      <c r="K409">
        <v>1</v>
      </c>
      <c r="L409">
        <v>3</v>
      </c>
      <c r="M409" t="s">
        <v>67</v>
      </c>
      <c r="N409" t="s">
        <v>67</v>
      </c>
      <c r="O409" t="s">
        <v>67</v>
      </c>
      <c r="P409" t="s">
        <v>67</v>
      </c>
      <c r="Q409" t="s">
        <v>67</v>
      </c>
      <c r="R409" t="s">
        <v>67</v>
      </c>
      <c r="S409" t="s">
        <v>67</v>
      </c>
      <c r="T409" t="s">
        <v>67</v>
      </c>
      <c r="U409" t="s">
        <v>67</v>
      </c>
      <c r="V409" t="s">
        <v>67</v>
      </c>
    </row>
    <row r="410" spans="1:22" hidden="1" x14ac:dyDescent="0.25">
      <c r="A410">
        <v>2007</v>
      </c>
      <c r="B410" t="s">
        <v>22</v>
      </c>
      <c r="C410" t="s">
        <v>64</v>
      </c>
      <c r="D410" t="s">
        <v>64</v>
      </c>
      <c r="E410" t="s">
        <v>65</v>
      </c>
      <c r="F410" t="s">
        <v>91</v>
      </c>
      <c r="G410" t="s">
        <v>23</v>
      </c>
      <c r="H410">
        <v>20</v>
      </c>
      <c r="I410">
        <v>63</v>
      </c>
      <c r="J410">
        <v>15</v>
      </c>
      <c r="K410">
        <v>0</v>
      </c>
      <c r="L410">
        <v>2</v>
      </c>
      <c r="M410" t="s">
        <v>67</v>
      </c>
      <c r="N410" t="s">
        <v>67</v>
      </c>
      <c r="O410" t="s">
        <v>67</v>
      </c>
      <c r="P410" t="s">
        <v>67</v>
      </c>
      <c r="Q410" t="s">
        <v>67</v>
      </c>
      <c r="R410" t="s">
        <v>67</v>
      </c>
      <c r="S410" t="s">
        <v>67</v>
      </c>
      <c r="T410" t="s">
        <v>67</v>
      </c>
      <c r="U410" t="s">
        <v>67</v>
      </c>
      <c r="V410" t="s">
        <v>67</v>
      </c>
    </row>
    <row r="411" spans="1:22" x14ac:dyDescent="0.25">
      <c r="A411">
        <v>2007</v>
      </c>
      <c r="B411" t="s">
        <v>22</v>
      </c>
      <c r="C411" t="s">
        <v>64</v>
      </c>
      <c r="D411" t="s">
        <v>64</v>
      </c>
      <c r="E411" t="s">
        <v>65</v>
      </c>
      <c r="F411" t="s">
        <v>87</v>
      </c>
      <c r="G411" t="s">
        <v>23</v>
      </c>
      <c r="H411">
        <v>23</v>
      </c>
      <c r="I411">
        <v>46</v>
      </c>
      <c r="J411">
        <v>19</v>
      </c>
      <c r="K411">
        <v>4</v>
      </c>
      <c r="L411">
        <v>8</v>
      </c>
      <c r="M411">
        <f>J411+I411</f>
        <v>65</v>
      </c>
      <c r="N411">
        <v>1.5026063877384921E-2</v>
      </c>
      <c r="O411" t="s">
        <v>67</v>
      </c>
      <c r="P411" t="s">
        <v>67</v>
      </c>
      <c r="Q411" t="s">
        <v>67</v>
      </c>
      <c r="R411" t="s">
        <v>67</v>
      </c>
      <c r="S411" t="s">
        <v>67</v>
      </c>
      <c r="T411" t="s">
        <v>67</v>
      </c>
      <c r="U411" t="s">
        <v>67</v>
      </c>
      <c r="V411" t="s">
        <v>67</v>
      </c>
    </row>
    <row r="412" spans="1:22" hidden="1" x14ac:dyDescent="0.25">
      <c r="A412">
        <v>2008</v>
      </c>
      <c r="B412" t="s">
        <v>22</v>
      </c>
      <c r="C412" t="s">
        <v>64</v>
      </c>
      <c r="D412" t="s">
        <v>64</v>
      </c>
      <c r="E412" t="s">
        <v>65</v>
      </c>
      <c r="F412" t="s">
        <v>72</v>
      </c>
      <c r="G412" t="s">
        <v>23</v>
      </c>
      <c r="H412">
        <v>23</v>
      </c>
      <c r="I412">
        <v>49</v>
      </c>
      <c r="J412">
        <v>18</v>
      </c>
      <c r="K412">
        <v>3</v>
      </c>
      <c r="L412">
        <v>7</v>
      </c>
      <c r="M412" t="s">
        <v>67</v>
      </c>
      <c r="N412" t="s">
        <v>67</v>
      </c>
      <c r="O412" t="s">
        <v>67</v>
      </c>
      <c r="P412" t="s">
        <v>67</v>
      </c>
      <c r="Q412" t="s">
        <v>67</v>
      </c>
      <c r="R412" t="s">
        <v>67</v>
      </c>
      <c r="S412" t="s">
        <v>67</v>
      </c>
      <c r="T412" t="s">
        <v>67</v>
      </c>
      <c r="U412" t="s">
        <v>67</v>
      </c>
      <c r="V412" t="s">
        <v>67</v>
      </c>
    </row>
    <row r="413" spans="1:22" hidden="1" x14ac:dyDescent="0.25">
      <c r="A413">
        <v>2008</v>
      </c>
      <c r="B413" t="s">
        <v>22</v>
      </c>
      <c r="C413" t="s">
        <v>64</v>
      </c>
      <c r="D413" t="s">
        <v>64</v>
      </c>
      <c r="E413" t="s">
        <v>65</v>
      </c>
      <c r="F413" t="s">
        <v>68</v>
      </c>
      <c r="G413" t="s">
        <v>23</v>
      </c>
      <c r="H413">
        <v>27</v>
      </c>
      <c r="I413">
        <v>46</v>
      </c>
      <c r="J413">
        <v>13</v>
      </c>
      <c r="K413">
        <v>4</v>
      </c>
      <c r="L413">
        <v>10</v>
      </c>
      <c r="M413" t="s">
        <v>67</v>
      </c>
      <c r="N413" t="s">
        <v>67</v>
      </c>
      <c r="O413" t="s">
        <v>67</v>
      </c>
      <c r="P413" t="s">
        <v>67</v>
      </c>
      <c r="Q413" t="s">
        <v>67</v>
      </c>
      <c r="R413" t="s">
        <v>67</v>
      </c>
      <c r="S413" t="s">
        <v>67</v>
      </c>
      <c r="T413" t="s">
        <v>67</v>
      </c>
      <c r="U413" t="s">
        <v>67</v>
      </c>
      <c r="V413" t="s">
        <v>67</v>
      </c>
    </row>
    <row r="414" spans="1:22" hidden="1" x14ac:dyDescent="0.25">
      <c r="A414">
        <v>2008</v>
      </c>
      <c r="B414" t="s">
        <v>22</v>
      </c>
      <c r="C414" t="s">
        <v>64</v>
      </c>
      <c r="D414" t="s">
        <v>64</v>
      </c>
      <c r="E414" t="s">
        <v>65</v>
      </c>
      <c r="F414" t="s">
        <v>85</v>
      </c>
      <c r="G414" t="s">
        <v>23</v>
      </c>
      <c r="H414">
        <v>26</v>
      </c>
      <c r="I414">
        <v>47</v>
      </c>
      <c r="J414">
        <v>14</v>
      </c>
      <c r="K414">
        <v>4</v>
      </c>
      <c r="L414">
        <v>9</v>
      </c>
      <c r="M414" t="s">
        <v>67</v>
      </c>
      <c r="N414" t="s">
        <v>67</v>
      </c>
      <c r="O414" t="s">
        <v>67</v>
      </c>
      <c r="P414" t="s">
        <v>67</v>
      </c>
      <c r="Q414" t="s">
        <v>67</v>
      </c>
      <c r="R414" t="s">
        <v>67</v>
      </c>
      <c r="S414" t="s">
        <v>67</v>
      </c>
      <c r="T414" t="s">
        <v>67</v>
      </c>
      <c r="U414" t="s">
        <v>67</v>
      </c>
      <c r="V414" t="s">
        <v>67</v>
      </c>
    </row>
    <row r="415" spans="1:22" hidden="1" x14ac:dyDescent="0.25">
      <c r="A415">
        <v>2008</v>
      </c>
      <c r="B415" t="s">
        <v>22</v>
      </c>
      <c r="C415" t="s">
        <v>64</v>
      </c>
      <c r="D415" t="s">
        <v>64</v>
      </c>
      <c r="E415" t="s">
        <v>65</v>
      </c>
      <c r="F415" t="s">
        <v>69</v>
      </c>
      <c r="G415" t="s">
        <v>23</v>
      </c>
      <c r="H415">
        <v>26</v>
      </c>
      <c r="I415">
        <v>47</v>
      </c>
      <c r="J415">
        <v>14</v>
      </c>
      <c r="K415">
        <v>4</v>
      </c>
      <c r="L415">
        <v>9</v>
      </c>
      <c r="M415" t="s">
        <v>67</v>
      </c>
      <c r="N415" t="s">
        <v>67</v>
      </c>
      <c r="O415" t="s">
        <v>67</v>
      </c>
      <c r="P415" t="s">
        <v>67</v>
      </c>
      <c r="Q415" t="s">
        <v>67</v>
      </c>
      <c r="R415" t="s">
        <v>67</v>
      </c>
      <c r="S415" t="s">
        <v>67</v>
      </c>
      <c r="T415" t="s">
        <v>67</v>
      </c>
      <c r="U415" t="s">
        <v>67</v>
      </c>
      <c r="V415" t="s">
        <v>67</v>
      </c>
    </row>
    <row r="416" spans="1:22" hidden="1" x14ac:dyDescent="0.25">
      <c r="A416">
        <v>2008</v>
      </c>
      <c r="B416" t="s">
        <v>22</v>
      </c>
      <c r="C416" t="s">
        <v>64</v>
      </c>
      <c r="D416" t="s">
        <v>64</v>
      </c>
      <c r="E416" t="s">
        <v>65</v>
      </c>
      <c r="F416" t="s">
        <v>70</v>
      </c>
      <c r="G416" t="s">
        <v>23</v>
      </c>
      <c r="H416">
        <v>26</v>
      </c>
      <c r="I416">
        <v>46</v>
      </c>
      <c r="J416">
        <v>15</v>
      </c>
      <c r="K416">
        <v>4</v>
      </c>
      <c r="L416">
        <v>9</v>
      </c>
      <c r="M416" t="s">
        <v>67</v>
      </c>
      <c r="N416" t="s">
        <v>67</v>
      </c>
      <c r="O416" t="s">
        <v>67</v>
      </c>
      <c r="P416" t="s">
        <v>67</v>
      </c>
      <c r="Q416" t="s">
        <v>67</v>
      </c>
      <c r="R416" t="s">
        <v>67</v>
      </c>
      <c r="S416" t="s">
        <v>67</v>
      </c>
      <c r="T416" t="s">
        <v>67</v>
      </c>
      <c r="U416" t="s">
        <v>67</v>
      </c>
      <c r="V416" t="s">
        <v>67</v>
      </c>
    </row>
    <row r="417" spans="1:22" hidden="1" x14ac:dyDescent="0.25">
      <c r="A417">
        <v>2008</v>
      </c>
      <c r="B417" t="s">
        <v>22</v>
      </c>
      <c r="C417" t="s">
        <v>64</v>
      </c>
      <c r="D417" t="s">
        <v>64</v>
      </c>
      <c r="E417" t="s">
        <v>65</v>
      </c>
      <c r="F417" t="s">
        <v>71</v>
      </c>
      <c r="G417" t="s">
        <v>23</v>
      </c>
      <c r="H417">
        <v>24</v>
      </c>
      <c r="I417">
        <v>48</v>
      </c>
      <c r="J417">
        <v>16</v>
      </c>
      <c r="K417">
        <v>4</v>
      </c>
      <c r="L417">
        <v>8</v>
      </c>
      <c r="M417" t="s">
        <v>67</v>
      </c>
      <c r="N417" t="s">
        <v>67</v>
      </c>
      <c r="O417" t="s">
        <v>67</v>
      </c>
      <c r="P417" t="s">
        <v>67</v>
      </c>
      <c r="Q417" t="s">
        <v>67</v>
      </c>
      <c r="R417" t="s">
        <v>67</v>
      </c>
      <c r="S417" t="s">
        <v>67</v>
      </c>
      <c r="T417" t="s">
        <v>67</v>
      </c>
      <c r="U417" t="s">
        <v>67</v>
      </c>
      <c r="V417" t="s">
        <v>67</v>
      </c>
    </row>
    <row r="418" spans="1:22" hidden="1" x14ac:dyDescent="0.25">
      <c r="A418">
        <v>2008</v>
      </c>
      <c r="B418" t="s">
        <v>22</v>
      </c>
      <c r="C418" t="s">
        <v>64</v>
      </c>
      <c r="D418" t="s">
        <v>64</v>
      </c>
      <c r="E418" t="s">
        <v>65</v>
      </c>
      <c r="F418" t="s">
        <v>79</v>
      </c>
      <c r="G418" t="s">
        <v>23</v>
      </c>
      <c r="H418">
        <v>28</v>
      </c>
      <c r="I418">
        <v>47</v>
      </c>
      <c r="J418">
        <v>14</v>
      </c>
      <c r="K418">
        <v>3</v>
      </c>
      <c r="L418">
        <v>8</v>
      </c>
      <c r="M418" t="s">
        <v>67</v>
      </c>
      <c r="N418" t="s">
        <v>67</v>
      </c>
      <c r="O418" t="s">
        <v>67</v>
      </c>
      <c r="P418" t="s">
        <v>67</v>
      </c>
      <c r="Q418" t="s">
        <v>67</v>
      </c>
      <c r="R418" t="s">
        <v>67</v>
      </c>
      <c r="S418" t="s">
        <v>67</v>
      </c>
      <c r="T418" t="s">
        <v>67</v>
      </c>
      <c r="U418" t="s">
        <v>67</v>
      </c>
      <c r="V418" t="s">
        <v>67</v>
      </c>
    </row>
    <row r="419" spans="1:22" hidden="1" x14ac:dyDescent="0.25">
      <c r="A419">
        <v>2008</v>
      </c>
      <c r="B419" t="s">
        <v>22</v>
      </c>
      <c r="C419" t="s">
        <v>64</v>
      </c>
      <c r="D419" t="s">
        <v>64</v>
      </c>
      <c r="E419" t="s">
        <v>65</v>
      </c>
      <c r="F419" t="s">
        <v>73</v>
      </c>
      <c r="G419" t="s">
        <v>23</v>
      </c>
      <c r="H419">
        <v>23</v>
      </c>
      <c r="I419">
        <v>48</v>
      </c>
      <c r="J419">
        <v>19</v>
      </c>
      <c r="K419">
        <v>3</v>
      </c>
      <c r="L419">
        <v>7</v>
      </c>
      <c r="M419" t="s">
        <v>67</v>
      </c>
      <c r="N419" t="s">
        <v>67</v>
      </c>
      <c r="O419" t="s">
        <v>67</v>
      </c>
      <c r="P419" t="s">
        <v>67</v>
      </c>
      <c r="Q419" t="s">
        <v>67</v>
      </c>
      <c r="R419" t="s">
        <v>67</v>
      </c>
      <c r="S419" t="s">
        <v>67</v>
      </c>
      <c r="T419" t="s">
        <v>67</v>
      </c>
      <c r="U419" t="s">
        <v>67</v>
      </c>
      <c r="V419" t="s">
        <v>67</v>
      </c>
    </row>
    <row r="420" spans="1:22" hidden="1" x14ac:dyDescent="0.25">
      <c r="A420">
        <v>2008</v>
      </c>
      <c r="B420" t="s">
        <v>22</v>
      </c>
      <c r="C420" t="s">
        <v>64</v>
      </c>
      <c r="D420" t="s">
        <v>64</v>
      </c>
      <c r="E420" t="s">
        <v>65</v>
      </c>
      <c r="F420" t="s">
        <v>74</v>
      </c>
      <c r="G420" t="s">
        <v>23</v>
      </c>
      <c r="H420">
        <v>24</v>
      </c>
      <c r="I420">
        <v>49</v>
      </c>
      <c r="J420">
        <v>17</v>
      </c>
      <c r="K420">
        <v>3</v>
      </c>
      <c r="L420">
        <v>7</v>
      </c>
      <c r="M420" t="s">
        <v>67</v>
      </c>
      <c r="N420" t="s">
        <v>67</v>
      </c>
      <c r="O420" t="s">
        <v>67</v>
      </c>
      <c r="P420" t="s">
        <v>67</v>
      </c>
      <c r="Q420" t="s">
        <v>67</v>
      </c>
      <c r="R420" t="s">
        <v>67</v>
      </c>
      <c r="S420" t="s">
        <v>67</v>
      </c>
      <c r="T420" t="s">
        <v>67</v>
      </c>
      <c r="U420" t="s">
        <v>67</v>
      </c>
      <c r="V420" t="s">
        <v>67</v>
      </c>
    </row>
    <row r="421" spans="1:22" hidden="1" x14ac:dyDescent="0.25">
      <c r="A421">
        <v>2008</v>
      </c>
      <c r="B421" t="s">
        <v>22</v>
      </c>
      <c r="C421" t="s">
        <v>64</v>
      </c>
      <c r="D421" t="s">
        <v>64</v>
      </c>
      <c r="E421" t="s">
        <v>65</v>
      </c>
      <c r="F421" t="s">
        <v>75</v>
      </c>
      <c r="G421" t="s">
        <v>23</v>
      </c>
      <c r="H421">
        <v>24</v>
      </c>
      <c r="I421">
        <v>49</v>
      </c>
      <c r="J421">
        <v>17</v>
      </c>
      <c r="K421">
        <v>3</v>
      </c>
      <c r="L421">
        <v>7</v>
      </c>
      <c r="M421" t="s">
        <v>67</v>
      </c>
      <c r="N421" t="s">
        <v>67</v>
      </c>
      <c r="O421" t="s">
        <v>67</v>
      </c>
      <c r="P421" t="s">
        <v>67</v>
      </c>
      <c r="Q421" t="s">
        <v>67</v>
      </c>
      <c r="R421" t="s">
        <v>67</v>
      </c>
      <c r="S421" t="s">
        <v>67</v>
      </c>
      <c r="T421" t="s">
        <v>67</v>
      </c>
      <c r="U421" t="s">
        <v>67</v>
      </c>
      <c r="V421" t="s">
        <v>67</v>
      </c>
    </row>
    <row r="422" spans="1:22" hidden="1" x14ac:dyDescent="0.25">
      <c r="A422">
        <v>2008</v>
      </c>
      <c r="B422" t="s">
        <v>22</v>
      </c>
      <c r="C422" t="s">
        <v>64</v>
      </c>
      <c r="D422" t="s">
        <v>64</v>
      </c>
      <c r="E422" t="s">
        <v>65</v>
      </c>
      <c r="F422" t="s">
        <v>76</v>
      </c>
      <c r="G422" t="s">
        <v>23</v>
      </c>
      <c r="H422">
        <v>25</v>
      </c>
      <c r="I422">
        <v>49</v>
      </c>
      <c r="J422">
        <v>16</v>
      </c>
      <c r="K422">
        <v>3</v>
      </c>
      <c r="L422">
        <v>7</v>
      </c>
      <c r="M422" t="s">
        <v>67</v>
      </c>
      <c r="N422" t="s">
        <v>67</v>
      </c>
      <c r="O422" t="s">
        <v>67</v>
      </c>
      <c r="P422" t="s">
        <v>67</v>
      </c>
      <c r="Q422" t="s">
        <v>67</v>
      </c>
      <c r="R422" t="s">
        <v>67</v>
      </c>
      <c r="S422" t="s">
        <v>67</v>
      </c>
      <c r="T422" t="s">
        <v>67</v>
      </c>
      <c r="U422" t="s">
        <v>67</v>
      </c>
      <c r="V422" t="s">
        <v>67</v>
      </c>
    </row>
    <row r="423" spans="1:22" hidden="1" x14ac:dyDescent="0.25">
      <c r="A423">
        <v>2008</v>
      </c>
      <c r="B423" t="s">
        <v>22</v>
      </c>
      <c r="C423" t="s">
        <v>64</v>
      </c>
      <c r="D423" t="s">
        <v>64</v>
      </c>
      <c r="E423" t="s">
        <v>65</v>
      </c>
      <c r="F423" t="s">
        <v>77</v>
      </c>
      <c r="G423" t="s">
        <v>23</v>
      </c>
      <c r="H423">
        <v>26</v>
      </c>
      <c r="I423">
        <v>49</v>
      </c>
      <c r="J423">
        <v>15</v>
      </c>
      <c r="K423">
        <v>3</v>
      </c>
      <c r="L423">
        <v>7</v>
      </c>
      <c r="M423" t="s">
        <v>67</v>
      </c>
      <c r="N423" t="s">
        <v>67</v>
      </c>
      <c r="O423" t="s">
        <v>67</v>
      </c>
      <c r="P423" t="s">
        <v>67</v>
      </c>
      <c r="Q423" t="s">
        <v>67</v>
      </c>
      <c r="R423" t="s">
        <v>67</v>
      </c>
      <c r="S423" t="s">
        <v>67</v>
      </c>
      <c r="T423" t="s">
        <v>67</v>
      </c>
      <c r="U423" t="s">
        <v>67</v>
      </c>
      <c r="V423" t="s">
        <v>67</v>
      </c>
    </row>
    <row r="424" spans="1:22" hidden="1" x14ac:dyDescent="0.25">
      <c r="A424">
        <v>2008</v>
      </c>
      <c r="B424" t="s">
        <v>22</v>
      </c>
      <c r="C424" t="s">
        <v>64</v>
      </c>
      <c r="D424" t="s">
        <v>64</v>
      </c>
      <c r="E424" t="s">
        <v>65</v>
      </c>
      <c r="F424" t="s">
        <v>78</v>
      </c>
      <c r="G424" t="s">
        <v>23</v>
      </c>
      <c r="H424">
        <v>27</v>
      </c>
      <c r="I424">
        <v>48</v>
      </c>
      <c r="J424">
        <v>14</v>
      </c>
      <c r="K424">
        <v>3</v>
      </c>
      <c r="L424">
        <v>8</v>
      </c>
      <c r="M424" t="s">
        <v>67</v>
      </c>
      <c r="N424" t="s">
        <v>67</v>
      </c>
      <c r="O424" t="s">
        <v>67</v>
      </c>
      <c r="P424" t="s">
        <v>67</v>
      </c>
      <c r="Q424" t="s">
        <v>67</v>
      </c>
      <c r="R424" t="s">
        <v>67</v>
      </c>
      <c r="S424" t="s">
        <v>67</v>
      </c>
      <c r="T424" t="s">
        <v>67</v>
      </c>
      <c r="U424" t="s">
        <v>67</v>
      </c>
      <c r="V424" t="s">
        <v>67</v>
      </c>
    </row>
    <row r="425" spans="1:22" x14ac:dyDescent="0.25">
      <c r="A425">
        <v>2008</v>
      </c>
      <c r="B425" t="s">
        <v>22</v>
      </c>
      <c r="C425" t="s">
        <v>64</v>
      </c>
      <c r="D425" t="s">
        <v>64</v>
      </c>
      <c r="E425" t="s">
        <v>65</v>
      </c>
      <c r="F425" t="s">
        <v>89</v>
      </c>
      <c r="G425" t="s">
        <v>23</v>
      </c>
      <c r="H425">
        <v>25</v>
      </c>
      <c r="I425">
        <v>47</v>
      </c>
      <c r="J425">
        <v>17</v>
      </c>
      <c r="K425">
        <v>3</v>
      </c>
      <c r="L425">
        <v>8</v>
      </c>
      <c r="M425">
        <f>J425+I425</f>
        <v>64</v>
      </c>
      <c r="N425">
        <v>1.9364367181793796E-2</v>
      </c>
      <c r="O425" t="s">
        <v>67</v>
      </c>
      <c r="P425" t="s">
        <v>67</v>
      </c>
      <c r="Q425" t="s">
        <v>67</v>
      </c>
      <c r="R425" t="s">
        <v>67</v>
      </c>
      <c r="S425" t="s">
        <v>67</v>
      </c>
      <c r="T425" t="s">
        <v>67</v>
      </c>
      <c r="U425" t="s">
        <v>67</v>
      </c>
      <c r="V425" t="s">
        <v>67</v>
      </c>
    </row>
    <row r="426" spans="1:22" hidden="1" x14ac:dyDescent="0.25">
      <c r="A426">
        <v>2008</v>
      </c>
      <c r="B426" t="s">
        <v>22</v>
      </c>
      <c r="C426" t="s">
        <v>64</v>
      </c>
      <c r="D426" t="s">
        <v>64</v>
      </c>
      <c r="E426" t="s">
        <v>65</v>
      </c>
      <c r="F426" t="s">
        <v>80</v>
      </c>
      <c r="G426" t="s">
        <v>23</v>
      </c>
      <c r="H426">
        <v>30</v>
      </c>
      <c r="I426">
        <v>47</v>
      </c>
      <c r="J426">
        <v>12</v>
      </c>
      <c r="K426">
        <v>3</v>
      </c>
      <c r="L426">
        <v>8</v>
      </c>
      <c r="M426" t="s">
        <v>67</v>
      </c>
      <c r="N426" t="s">
        <v>67</v>
      </c>
      <c r="O426" t="s">
        <v>67</v>
      </c>
      <c r="P426" t="s">
        <v>67</v>
      </c>
      <c r="Q426" t="s">
        <v>67</v>
      </c>
      <c r="R426" t="s">
        <v>67</v>
      </c>
      <c r="S426" t="s">
        <v>67</v>
      </c>
      <c r="T426" t="s">
        <v>67</v>
      </c>
      <c r="U426" t="s">
        <v>67</v>
      </c>
      <c r="V426" t="s">
        <v>67</v>
      </c>
    </row>
    <row r="427" spans="1:22" hidden="1" x14ac:dyDescent="0.25">
      <c r="A427">
        <v>2008</v>
      </c>
      <c r="B427" t="s">
        <v>22</v>
      </c>
      <c r="C427" t="s">
        <v>64</v>
      </c>
      <c r="D427" t="s">
        <v>64</v>
      </c>
      <c r="E427" t="s">
        <v>65</v>
      </c>
      <c r="F427" t="s">
        <v>81</v>
      </c>
      <c r="G427" t="s">
        <v>23</v>
      </c>
      <c r="H427">
        <v>31</v>
      </c>
      <c r="I427">
        <v>48</v>
      </c>
      <c r="J427">
        <v>9</v>
      </c>
      <c r="K427">
        <v>3</v>
      </c>
      <c r="L427">
        <v>9</v>
      </c>
      <c r="M427" t="s">
        <v>67</v>
      </c>
      <c r="N427" t="s">
        <v>67</v>
      </c>
      <c r="O427" t="s">
        <v>67</v>
      </c>
      <c r="P427" t="s">
        <v>67</v>
      </c>
      <c r="Q427" t="s">
        <v>67</v>
      </c>
      <c r="R427" t="s">
        <v>67</v>
      </c>
      <c r="S427" t="s">
        <v>67</v>
      </c>
      <c r="T427" t="s">
        <v>67</v>
      </c>
      <c r="U427" t="s">
        <v>67</v>
      </c>
      <c r="V427" t="s">
        <v>67</v>
      </c>
    </row>
    <row r="428" spans="1:22" hidden="1" x14ac:dyDescent="0.25">
      <c r="A428">
        <v>2008</v>
      </c>
      <c r="B428" t="s">
        <v>22</v>
      </c>
      <c r="C428" t="s">
        <v>64</v>
      </c>
      <c r="D428" t="s">
        <v>64</v>
      </c>
      <c r="E428" t="s">
        <v>65</v>
      </c>
      <c r="F428" t="s">
        <v>82</v>
      </c>
      <c r="G428" t="s">
        <v>23</v>
      </c>
      <c r="H428">
        <v>31</v>
      </c>
      <c r="I428">
        <v>50</v>
      </c>
      <c r="J428">
        <v>10</v>
      </c>
      <c r="K428">
        <v>2</v>
      </c>
      <c r="L428">
        <v>7</v>
      </c>
      <c r="M428" t="s">
        <v>67</v>
      </c>
      <c r="N428" t="s">
        <v>67</v>
      </c>
      <c r="O428" t="s">
        <v>67</v>
      </c>
      <c r="P428" t="s">
        <v>67</v>
      </c>
      <c r="Q428" t="s">
        <v>67</v>
      </c>
      <c r="R428" t="s">
        <v>67</v>
      </c>
      <c r="S428" t="s">
        <v>67</v>
      </c>
      <c r="T428" t="s">
        <v>67</v>
      </c>
      <c r="U428" t="s">
        <v>67</v>
      </c>
      <c r="V428" t="s">
        <v>67</v>
      </c>
    </row>
    <row r="429" spans="1:22" hidden="1" x14ac:dyDescent="0.25">
      <c r="A429">
        <v>2008</v>
      </c>
      <c r="B429" t="s">
        <v>22</v>
      </c>
      <c r="C429" t="s">
        <v>64</v>
      </c>
      <c r="D429" t="s">
        <v>64</v>
      </c>
      <c r="E429" t="s">
        <v>65</v>
      </c>
      <c r="F429" t="s">
        <v>83</v>
      </c>
      <c r="G429" t="s">
        <v>23</v>
      </c>
      <c r="H429">
        <v>30</v>
      </c>
      <c r="I429">
        <v>53</v>
      </c>
      <c r="J429">
        <v>10</v>
      </c>
      <c r="K429">
        <v>2</v>
      </c>
      <c r="L429">
        <v>5</v>
      </c>
      <c r="M429" t="s">
        <v>67</v>
      </c>
      <c r="N429" t="s">
        <v>67</v>
      </c>
      <c r="O429" t="s">
        <v>67</v>
      </c>
      <c r="P429" t="s">
        <v>67</v>
      </c>
      <c r="Q429" t="s">
        <v>67</v>
      </c>
      <c r="R429" t="s">
        <v>67</v>
      </c>
      <c r="S429" t="s">
        <v>67</v>
      </c>
      <c r="T429" t="s">
        <v>67</v>
      </c>
      <c r="U429" t="s">
        <v>67</v>
      </c>
      <c r="V429" t="s">
        <v>67</v>
      </c>
    </row>
    <row r="430" spans="1:22" hidden="1" x14ac:dyDescent="0.25">
      <c r="A430">
        <v>2009</v>
      </c>
      <c r="B430" t="s">
        <v>22</v>
      </c>
      <c r="C430" t="s">
        <v>64</v>
      </c>
      <c r="D430" t="s">
        <v>64</v>
      </c>
      <c r="E430" t="s">
        <v>65</v>
      </c>
      <c r="F430" t="s">
        <v>83</v>
      </c>
      <c r="G430" t="s">
        <v>23</v>
      </c>
      <c r="H430">
        <v>26</v>
      </c>
      <c r="I430">
        <v>58</v>
      </c>
      <c r="J430">
        <v>12</v>
      </c>
      <c r="K430">
        <v>1</v>
      </c>
      <c r="L430">
        <v>3</v>
      </c>
      <c r="M430" t="s">
        <v>67</v>
      </c>
      <c r="N430" t="s">
        <v>67</v>
      </c>
      <c r="O430" t="s">
        <v>67</v>
      </c>
      <c r="P430" t="s">
        <v>67</v>
      </c>
      <c r="Q430" t="s">
        <v>67</v>
      </c>
      <c r="R430" t="s">
        <v>67</v>
      </c>
      <c r="S430" t="s">
        <v>67</v>
      </c>
      <c r="T430" t="s">
        <v>67</v>
      </c>
      <c r="U430" t="s">
        <v>67</v>
      </c>
      <c r="V430" t="s">
        <v>67</v>
      </c>
    </row>
    <row r="431" spans="1:22" hidden="1" x14ac:dyDescent="0.25">
      <c r="A431">
        <v>2009</v>
      </c>
      <c r="B431" t="s">
        <v>22</v>
      </c>
      <c r="C431" t="s">
        <v>64</v>
      </c>
      <c r="D431" t="s">
        <v>64</v>
      </c>
      <c r="E431" t="s">
        <v>65</v>
      </c>
      <c r="F431" t="s">
        <v>92</v>
      </c>
      <c r="G431" t="s">
        <v>23</v>
      </c>
      <c r="H431">
        <v>23</v>
      </c>
      <c r="I431">
        <v>48</v>
      </c>
      <c r="J431">
        <v>19</v>
      </c>
      <c r="K431">
        <v>3</v>
      </c>
      <c r="L431">
        <v>7</v>
      </c>
      <c r="M431" t="s">
        <v>67</v>
      </c>
      <c r="N431" t="s">
        <v>67</v>
      </c>
      <c r="O431" t="s">
        <v>67</v>
      </c>
      <c r="P431" t="s">
        <v>67</v>
      </c>
      <c r="Q431" t="s">
        <v>67</v>
      </c>
      <c r="R431" t="s">
        <v>67</v>
      </c>
      <c r="S431" t="s">
        <v>67</v>
      </c>
      <c r="T431" t="s">
        <v>67</v>
      </c>
      <c r="U431" t="s">
        <v>67</v>
      </c>
      <c r="V431" t="s">
        <v>67</v>
      </c>
    </row>
    <row r="432" spans="1:22" hidden="1" x14ac:dyDescent="0.25">
      <c r="A432">
        <v>2009</v>
      </c>
      <c r="B432" t="s">
        <v>22</v>
      </c>
      <c r="C432" t="s">
        <v>64</v>
      </c>
      <c r="D432" t="s">
        <v>64</v>
      </c>
      <c r="E432" t="s">
        <v>65</v>
      </c>
      <c r="F432" t="s">
        <v>68</v>
      </c>
      <c r="G432" t="s">
        <v>23</v>
      </c>
      <c r="H432">
        <v>22</v>
      </c>
      <c r="I432">
        <v>48</v>
      </c>
      <c r="J432">
        <v>20</v>
      </c>
      <c r="K432">
        <v>3</v>
      </c>
      <c r="L432">
        <v>7</v>
      </c>
      <c r="M432" t="s">
        <v>67</v>
      </c>
      <c r="N432" t="s">
        <v>67</v>
      </c>
      <c r="O432" t="s">
        <v>67</v>
      </c>
      <c r="P432" t="s">
        <v>67</v>
      </c>
      <c r="Q432" t="s">
        <v>67</v>
      </c>
      <c r="R432" t="s">
        <v>67</v>
      </c>
      <c r="S432" t="s">
        <v>67</v>
      </c>
      <c r="T432" t="s">
        <v>67</v>
      </c>
      <c r="U432" t="s">
        <v>67</v>
      </c>
      <c r="V432" t="s">
        <v>67</v>
      </c>
    </row>
    <row r="433" spans="1:22" hidden="1" x14ac:dyDescent="0.25">
      <c r="A433">
        <v>2009</v>
      </c>
      <c r="B433" t="s">
        <v>22</v>
      </c>
      <c r="C433" t="s">
        <v>64</v>
      </c>
      <c r="D433" t="s">
        <v>64</v>
      </c>
      <c r="E433" t="s">
        <v>65</v>
      </c>
      <c r="F433" t="s">
        <v>85</v>
      </c>
      <c r="G433" t="s">
        <v>23</v>
      </c>
      <c r="H433">
        <v>22</v>
      </c>
      <c r="I433">
        <v>49</v>
      </c>
      <c r="J433">
        <v>20</v>
      </c>
      <c r="K433">
        <v>3</v>
      </c>
      <c r="L433">
        <v>6</v>
      </c>
      <c r="M433" t="s">
        <v>67</v>
      </c>
      <c r="N433" t="s">
        <v>67</v>
      </c>
      <c r="O433" t="s">
        <v>67</v>
      </c>
      <c r="P433" t="s">
        <v>67</v>
      </c>
      <c r="Q433" t="s">
        <v>67</v>
      </c>
      <c r="R433" t="s">
        <v>67</v>
      </c>
      <c r="S433" t="s">
        <v>67</v>
      </c>
      <c r="T433" t="s">
        <v>67</v>
      </c>
      <c r="U433" t="s">
        <v>67</v>
      </c>
      <c r="V433" t="s">
        <v>67</v>
      </c>
    </row>
    <row r="434" spans="1:22" hidden="1" x14ac:dyDescent="0.25">
      <c r="A434">
        <v>2009</v>
      </c>
      <c r="B434" t="s">
        <v>22</v>
      </c>
      <c r="C434" t="s">
        <v>64</v>
      </c>
      <c r="D434" t="s">
        <v>64</v>
      </c>
      <c r="E434" t="s">
        <v>65</v>
      </c>
      <c r="F434" t="s">
        <v>69</v>
      </c>
      <c r="G434" t="s">
        <v>23</v>
      </c>
      <c r="H434">
        <v>22</v>
      </c>
      <c r="I434">
        <v>50</v>
      </c>
      <c r="J434">
        <v>19</v>
      </c>
      <c r="K434">
        <v>3</v>
      </c>
      <c r="L434">
        <v>6</v>
      </c>
      <c r="M434" t="s">
        <v>67</v>
      </c>
      <c r="N434" t="s">
        <v>67</v>
      </c>
      <c r="O434" t="s">
        <v>67</v>
      </c>
      <c r="P434" t="s">
        <v>67</v>
      </c>
      <c r="Q434" t="s">
        <v>67</v>
      </c>
      <c r="R434" t="s">
        <v>67</v>
      </c>
      <c r="S434" t="s">
        <v>67</v>
      </c>
      <c r="T434" t="s">
        <v>67</v>
      </c>
      <c r="U434" t="s">
        <v>67</v>
      </c>
      <c r="V434" t="s">
        <v>67</v>
      </c>
    </row>
    <row r="435" spans="1:22" hidden="1" x14ac:dyDescent="0.25">
      <c r="A435">
        <v>2009</v>
      </c>
      <c r="B435" t="s">
        <v>22</v>
      </c>
      <c r="C435" t="s">
        <v>64</v>
      </c>
      <c r="D435" t="s">
        <v>64</v>
      </c>
      <c r="E435" t="s">
        <v>65</v>
      </c>
      <c r="F435" t="s">
        <v>70</v>
      </c>
      <c r="G435" t="s">
        <v>23</v>
      </c>
      <c r="H435">
        <v>21</v>
      </c>
      <c r="I435">
        <v>49</v>
      </c>
      <c r="J435">
        <v>20</v>
      </c>
      <c r="K435">
        <v>3</v>
      </c>
      <c r="L435">
        <v>7</v>
      </c>
      <c r="M435" t="s">
        <v>67</v>
      </c>
      <c r="N435" t="s">
        <v>67</v>
      </c>
      <c r="O435" t="s">
        <v>67</v>
      </c>
      <c r="P435" t="s">
        <v>67</v>
      </c>
      <c r="Q435" t="s">
        <v>67</v>
      </c>
      <c r="R435" t="s">
        <v>67</v>
      </c>
      <c r="S435" t="s">
        <v>67</v>
      </c>
      <c r="T435" t="s">
        <v>67</v>
      </c>
      <c r="U435" t="s">
        <v>67</v>
      </c>
      <c r="V435" t="s">
        <v>67</v>
      </c>
    </row>
    <row r="436" spans="1:22" hidden="1" x14ac:dyDescent="0.25">
      <c r="A436">
        <v>2009</v>
      </c>
      <c r="B436" t="s">
        <v>22</v>
      </c>
      <c r="C436" t="s">
        <v>64</v>
      </c>
      <c r="D436" t="s">
        <v>64</v>
      </c>
      <c r="E436" t="s">
        <v>65</v>
      </c>
      <c r="F436" t="s">
        <v>71</v>
      </c>
      <c r="G436" t="s">
        <v>23</v>
      </c>
      <c r="H436">
        <v>21</v>
      </c>
      <c r="I436">
        <v>50</v>
      </c>
      <c r="J436">
        <v>20</v>
      </c>
      <c r="K436">
        <v>3</v>
      </c>
      <c r="L436">
        <v>6</v>
      </c>
      <c r="M436" t="s">
        <v>67</v>
      </c>
      <c r="N436" t="s">
        <v>67</v>
      </c>
      <c r="O436" t="s">
        <v>67</v>
      </c>
      <c r="P436" t="s">
        <v>67</v>
      </c>
      <c r="Q436" t="s">
        <v>67</v>
      </c>
      <c r="R436" t="s">
        <v>67</v>
      </c>
      <c r="S436" t="s">
        <v>67</v>
      </c>
      <c r="T436" t="s">
        <v>67</v>
      </c>
      <c r="U436" t="s">
        <v>67</v>
      </c>
      <c r="V436" t="s">
        <v>67</v>
      </c>
    </row>
    <row r="437" spans="1:22" hidden="1" x14ac:dyDescent="0.25">
      <c r="A437">
        <v>2009</v>
      </c>
      <c r="B437" t="s">
        <v>22</v>
      </c>
      <c r="C437" t="s">
        <v>64</v>
      </c>
      <c r="D437" t="s">
        <v>64</v>
      </c>
      <c r="E437" t="s">
        <v>65</v>
      </c>
      <c r="F437" t="s">
        <v>72</v>
      </c>
      <c r="G437" t="s">
        <v>23</v>
      </c>
      <c r="H437">
        <v>22</v>
      </c>
      <c r="I437">
        <v>49</v>
      </c>
      <c r="J437">
        <v>19</v>
      </c>
      <c r="K437">
        <v>3</v>
      </c>
      <c r="L437">
        <v>7</v>
      </c>
      <c r="M437" t="s">
        <v>67</v>
      </c>
      <c r="N437" t="s">
        <v>67</v>
      </c>
      <c r="O437" t="s">
        <v>67</v>
      </c>
      <c r="P437" t="s">
        <v>67</v>
      </c>
      <c r="Q437" t="s">
        <v>67</v>
      </c>
      <c r="R437" t="s">
        <v>67</v>
      </c>
      <c r="S437" t="s">
        <v>67</v>
      </c>
      <c r="T437" t="s">
        <v>67</v>
      </c>
      <c r="U437" t="s">
        <v>67</v>
      </c>
      <c r="V437" t="s">
        <v>67</v>
      </c>
    </row>
    <row r="438" spans="1:22" hidden="1" x14ac:dyDescent="0.25">
      <c r="A438">
        <v>2009</v>
      </c>
      <c r="B438" t="s">
        <v>22</v>
      </c>
      <c r="C438" t="s">
        <v>64</v>
      </c>
      <c r="D438" t="s">
        <v>64</v>
      </c>
      <c r="E438" t="s">
        <v>65</v>
      </c>
      <c r="F438" t="s">
        <v>73</v>
      </c>
      <c r="G438" t="s">
        <v>23</v>
      </c>
      <c r="H438">
        <v>22</v>
      </c>
      <c r="I438">
        <v>49</v>
      </c>
      <c r="J438">
        <v>19</v>
      </c>
      <c r="K438">
        <v>3</v>
      </c>
      <c r="L438">
        <v>7</v>
      </c>
      <c r="M438" t="s">
        <v>67</v>
      </c>
      <c r="N438" t="s">
        <v>67</v>
      </c>
      <c r="O438" t="s">
        <v>67</v>
      </c>
      <c r="P438" t="s">
        <v>67</v>
      </c>
      <c r="Q438" t="s">
        <v>67</v>
      </c>
      <c r="R438" t="s">
        <v>67</v>
      </c>
      <c r="S438" t="s">
        <v>67</v>
      </c>
      <c r="T438" t="s">
        <v>67</v>
      </c>
      <c r="U438" t="s">
        <v>67</v>
      </c>
      <c r="V438" t="s">
        <v>67</v>
      </c>
    </row>
    <row r="439" spans="1:22" hidden="1" x14ac:dyDescent="0.25">
      <c r="A439">
        <v>2009</v>
      </c>
      <c r="B439" t="s">
        <v>22</v>
      </c>
      <c r="C439" t="s">
        <v>64</v>
      </c>
      <c r="D439" t="s">
        <v>64</v>
      </c>
      <c r="E439" t="s">
        <v>65</v>
      </c>
      <c r="F439" t="s">
        <v>74</v>
      </c>
      <c r="G439" t="s">
        <v>23</v>
      </c>
      <c r="H439">
        <v>22</v>
      </c>
      <c r="I439">
        <v>49</v>
      </c>
      <c r="J439">
        <v>19</v>
      </c>
      <c r="K439">
        <v>3</v>
      </c>
      <c r="L439">
        <v>7</v>
      </c>
      <c r="M439" t="s">
        <v>67</v>
      </c>
      <c r="N439" t="s">
        <v>67</v>
      </c>
      <c r="O439" t="s">
        <v>67</v>
      </c>
      <c r="P439" t="s">
        <v>67</v>
      </c>
      <c r="Q439" t="s">
        <v>67</v>
      </c>
      <c r="R439" t="s">
        <v>67</v>
      </c>
      <c r="S439" t="s">
        <v>67</v>
      </c>
      <c r="T439" t="s">
        <v>67</v>
      </c>
      <c r="U439" t="s">
        <v>67</v>
      </c>
      <c r="V439" t="s">
        <v>67</v>
      </c>
    </row>
    <row r="440" spans="1:22" hidden="1" x14ac:dyDescent="0.25">
      <c r="A440">
        <v>2009</v>
      </c>
      <c r="B440" t="s">
        <v>22</v>
      </c>
      <c r="C440" t="s">
        <v>64</v>
      </c>
      <c r="D440" t="s">
        <v>64</v>
      </c>
      <c r="E440" t="s">
        <v>65</v>
      </c>
      <c r="F440" t="s">
        <v>75</v>
      </c>
      <c r="G440" t="s">
        <v>23</v>
      </c>
      <c r="H440">
        <v>22</v>
      </c>
      <c r="I440">
        <v>52</v>
      </c>
      <c r="J440">
        <v>18</v>
      </c>
      <c r="K440">
        <v>2</v>
      </c>
      <c r="L440">
        <v>6</v>
      </c>
      <c r="M440" t="s">
        <v>67</v>
      </c>
      <c r="N440" t="s">
        <v>67</v>
      </c>
      <c r="O440" t="s">
        <v>67</v>
      </c>
      <c r="P440" t="s">
        <v>67</v>
      </c>
      <c r="Q440" t="s">
        <v>67</v>
      </c>
      <c r="R440" t="s">
        <v>67</v>
      </c>
      <c r="S440" t="s">
        <v>67</v>
      </c>
      <c r="T440" t="s">
        <v>67</v>
      </c>
      <c r="U440" t="s">
        <v>67</v>
      </c>
      <c r="V440" t="s">
        <v>67</v>
      </c>
    </row>
    <row r="441" spans="1:22" hidden="1" x14ac:dyDescent="0.25">
      <c r="A441">
        <v>2009</v>
      </c>
      <c r="B441" t="s">
        <v>22</v>
      </c>
      <c r="C441" t="s">
        <v>64</v>
      </c>
      <c r="D441" t="s">
        <v>64</v>
      </c>
      <c r="E441" t="s">
        <v>65</v>
      </c>
      <c r="F441" t="s">
        <v>76</v>
      </c>
      <c r="G441" t="s">
        <v>23</v>
      </c>
      <c r="H441">
        <v>22</v>
      </c>
      <c r="I441">
        <v>53</v>
      </c>
      <c r="J441">
        <v>18</v>
      </c>
      <c r="K441">
        <v>2</v>
      </c>
      <c r="L441">
        <v>5</v>
      </c>
      <c r="M441" t="s">
        <v>67</v>
      </c>
      <c r="N441" t="s">
        <v>67</v>
      </c>
      <c r="O441" t="s">
        <v>67</v>
      </c>
      <c r="P441" t="s">
        <v>67</v>
      </c>
      <c r="Q441" t="s">
        <v>67</v>
      </c>
      <c r="R441" t="s">
        <v>67</v>
      </c>
      <c r="S441" t="s">
        <v>67</v>
      </c>
      <c r="T441" t="s">
        <v>67</v>
      </c>
      <c r="U441" t="s">
        <v>67</v>
      </c>
      <c r="V441" t="s">
        <v>67</v>
      </c>
    </row>
    <row r="442" spans="1:22" hidden="1" x14ac:dyDescent="0.25">
      <c r="A442">
        <v>2009</v>
      </c>
      <c r="B442" t="s">
        <v>22</v>
      </c>
      <c r="C442" t="s">
        <v>64</v>
      </c>
      <c r="D442" t="s">
        <v>64</v>
      </c>
      <c r="E442" t="s">
        <v>65</v>
      </c>
      <c r="F442" t="s">
        <v>77</v>
      </c>
      <c r="G442" t="s">
        <v>23</v>
      </c>
      <c r="H442">
        <v>21</v>
      </c>
      <c r="I442">
        <v>52</v>
      </c>
      <c r="J442">
        <v>19</v>
      </c>
      <c r="K442">
        <v>2</v>
      </c>
      <c r="L442">
        <v>6</v>
      </c>
      <c r="M442" t="s">
        <v>67</v>
      </c>
      <c r="N442" t="s">
        <v>67</v>
      </c>
      <c r="O442" t="s">
        <v>67</v>
      </c>
      <c r="P442" t="s">
        <v>67</v>
      </c>
      <c r="Q442" t="s">
        <v>67</v>
      </c>
      <c r="R442" t="s">
        <v>67</v>
      </c>
      <c r="S442" t="s">
        <v>67</v>
      </c>
      <c r="T442" t="s">
        <v>67</v>
      </c>
      <c r="U442" t="s">
        <v>67</v>
      </c>
      <c r="V442" t="s">
        <v>67</v>
      </c>
    </row>
    <row r="443" spans="1:22" hidden="1" x14ac:dyDescent="0.25">
      <c r="A443">
        <v>2009</v>
      </c>
      <c r="B443" t="s">
        <v>22</v>
      </c>
      <c r="C443" t="s">
        <v>64</v>
      </c>
      <c r="D443" t="s">
        <v>64</v>
      </c>
      <c r="E443" t="s">
        <v>65</v>
      </c>
      <c r="F443" t="s">
        <v>78</v>
      </c>
      <c r="G443" t="s">
        <v>23</v>
      </c>
      <c r="H443">
        <v>21</v>
      </c>
      <c r="I443">
        <v>53</v>
      </c>
      <c r="J443">
        <v>18</v>
      </c>
      <c r="K443">
        <v>2</v>
      </c>
      <c r="L443">
        <v>6</v>
      </c>
      <c r="M443" t="s">
        <v>67</v>
      </c>
      <c r="N443" t="s">
        <v>67</v>
      </c>
      <c r="O443" t="s">
        <v>67</v>
      </c>
      <c r="P443" t="s">
        <v>67</v>
      </c>
      <c r="Q443" t="s">
        <v>67</v>
      </c>
      <c r="R443" t="s">
        <v>67</v>
      </c>
      <c r="S443" t="s">
        <v>67</v>
      </c>
      <c r="T443" t="s">
        <v>67</v>
      </c>
      <c r="U443" t="s">
        <v>67</v>
      </c>
      <c r="V443" t="s">
        <v>67</v>
      </c>
    </row>
    <row r="444" spans="1:22" hidden="1" x14ac:dyDescent="0.25">
      <c r="A444">
        <v>2009</v>
      </c>
      <c r="B444" t="s">
        <v>22</v>
      </c>
      <c r="C444" t="s">
        <v>64</v>
      </c>
      <c r="D444" t="s">
        <v>64</v>
      </c>
      <c r="E444" t="s">
        <v>65</v>
      </c>
      <c r="F444" t="s">
        <v>79</v>
      </c>
      <c r="G444" t="s">
        <v>23</v>
      </c>
      <c r="H444">
        <v>21</v>
      </c>
      <c r="I444">
        <v>54</v>
      </c>
      <c r="J444">
        <v>18</v>
      </c>
      <c r="K444">
        <v>2</v>
      </c>
      <c r="L444">
        <v>5</v>
      </c>
      <c r="M444" t="s">
        <v>67</v>
      </c>
      <c r="N444" t="s">
        <v>67</v>
      </c>
      <c r="O444" t="s">
        <v>67</v>
      </c>
      <c r="P444" t="s">
        <v>67</v>
      </c>
      <c r="Q444" t="s">
        <v>67</v>
      </c>
      <c r="R444" t="s">
        <v>67</v>
      </c>
      <c r="S444" t="s">
        <v>67</v>
      </c>
      <c r="T444" t="s">
        <v>67</v>
      </c>
      <c r="U444" t="s">
        <v>67</v>
      </c>
      <c r="V444" t="s">
        <v>67</v>
      </c>
    </row>
    <row r="445" spans="1:22" hidden="1" x14ac:dyDescent="0.25">
      <c r="A445">
        <v>2009</v>
      </c>
      <c r="B445" t="s">
        <v>22</v>
      </c>
      <c r="C445" t="s">
        <v>64</v>
      </c>
      <c r="D445" t="s">
        <v>64</v>
      </c>
      <c r="E445" t="s">
        <v>65</v>
      </c>
      <c r="F445" t="s">
        <v>80</v>
      </c>
      <c r="G445" t="s">
        <v>23</v>
      </c>
      <c r="H445">
        <v>23</v>
      </c>
      <c r="I445">
        <v>54</v>
      </c>
      <c r="J445">
        <v>16</v>
      </c>
      <c r="K445">
        <v>2</v>
      </c>
      <c r="L445">
        <v>5</v>
      </c>
      <c r="M445" t="s">
        <v>67</v>
      </c>
      <c r="N445" t="s">
        <v>67</v>
      </c>
      <c r="O445" t="s">
        <v>67</v>
      </c>
      <c r="P445" t="s">
        <v>67</v>
      </c>
      <c r="Q445" t="s">
        <v>67</v>
      </c>
      <c r="R445" t="s">
        <v>67</v>
      </c>
      <c r="S445" t="s">
        <v>67</v>
      </c>
      <c r="T445" t="s">
        <v>67</v>
      </c>
      <c r="U445" t="s">
        <v>67</v>
      </c>
      <c r="V445" t="s">
        <v>67</v>
      </c>
    </row>
    <row r="446" spans="1:22" hidden="1" x14ac:dyDescent="0.25">
      <c r="A446">
        <v>2009</v>
      </c>
      <c r="B446" t="s">
        <v>22</v>
      </c>
      <c r="C446" t="s">
        <v>64</v>
      </c>
      <c r="D446" t="s">
        <v>64</v>
      </c>
      <c r="E446" t="s">
        <v>65</v>
      </c>
      <c r="F446" t="s">
        <v>81</v>
      </c>
      <c r="G446" t="s">
        <v>23</v>
      </c>
      <c r="H446">
        <v>25</v>
      </c>
      <c r="I446">
        <v>57</v>
      </c>
      <c r="J446">
        <v>13</v>
      </c>
      <c r="K446">
        <v>1</v>
      </c>
      <c r="L446">
        <v>4</v>
      </c>
      <c r="M446" t="s">
        <v>67</v>
      </c>
      <c r="N446" t="s">
        <v>67</v>
      </c>
      <c r="O446" t="s">
        <v>67</v>
      </c>
      <c r="P446" t="s">
        <v>67</v>
      </c>
      <c r="Q446" t="s">
        <v>67</v>
      </c>
      <c r="R446" t="s">
        <v>67</v>
      </c>
      <c r="S446" t="s">
        <v>67</v>
      </c>
      <c r="T446" t="s">
        <v>67</v>
      </c>
      <c r="U446" t="s">
        <v>67</v>
      </c>
      <c r="V446" t="s">
        <v>67</v>
      </c>
    </row>
    <row r="447" spans="1:22" hidden="1" x14ac:dyDescent="0.25">
      <c r="A447">
        <v>2009</v>
      </c>
      <c r="B447" t="s">
        <v>22</v>
      </c>
      <c r="C447" t="s">
        <v>64</v>
      </c>
      <c r="D447" t="s">
        <v>64</v>
      </c>
      <c r="E447" t="s">
        <v>65</v>
      </c>
      <c r="F447" t="s">
        <v>82</v>
      </c>
      <c r="G447" t="s">
        <v>23</v>
      </c>
      <c r="H447">
        <v>25</v>
      </c>
      <c r="I447">
        <v>56</v>
      </c>
      <c r="J447">
        <v>13</v>
      </c>
      <c r="K447">
        <v>1</v>
      </c>
      <c r="L447">
        <v>5</v>
      </c>
      <c r="M447" t="s">
        <v>67</v>
      </c>
      <c r="N447" t="s">
        <v>67</v>
      </c>
      <c r="O447" t="s">
        <v>67</v>
      </c>
      <c r="P447" t="s">
        <v>67</v>
      </c>
      <c r="Q447" t="s">
        <v>67</v>
      </c>
      <c r="R447" t="s">
        <v>67</v>
      </c>
      <c r="S447" t="s">
        <v>67</v>
      </c>
      <c r="T447" t="s">
        <v>67</v>
      </c>
      <c r="U447" t="s">
        <v>67</v>
      </c>
      <c r="V447" t="s">
        <v>67</v>
      </c>
    </row>
    <row r="448" spans="1:22" x14ac:dyDescent="0.25">
      <c r="A448">
        <v>2009</v>
      </c>
      <c r="B448" t="s">
        <v>22</v>
      </c>
      <c r="C448" t="s">
        <v>64</v>
      </c>
      <c r="D448" t="s">
        <v>64</v>
      </c>
      <c r="E448" t="s">
        <v>65</v>
      </c>
      <c r="F448" t="s">
        <v>89</v>
      </c>
      <c r="G448" t="s">
        <v>23</v>
      </c>
      <c r="H448">
        <v>23</v>
      </c>
      <c r="I448">
        <v>49</v>
      </c>
      <c r="J448">
        <v>18</v>
      </c>
      <c r="K448">
        <v>3</v>
      </c>
      <c r="L448">
        <v>7</v>
      </c>
      <c r="M448">
        <f>J448+I448</f>
        <v>67</v>
      </c>
      <c r="N448">
        <v>7.6663640108725062E-2</v>
      </c>
      <c r="O448" t="s">
        <v>67</v>
      </c>
      <c r="P448" t="s">
        <v>67</v>
      </c>
      <c r="Q448" t="s">
        <v>67</v>
      </c>
      <c r="R448" t="s">
        <v>67</v>
      </c>
      <c r="S448" t="s">
        <v>67</v>
      </c>
      <c r="T448" t="s">
        <v>67</v>
      </c>
      <c r="U448" t="s">
        <v>67</v>
      </c>
      <c r="V448" t="s">
        <v>67</v>
      </c>
    </row>
    <row r="449" spans="1:22" hidden="1" x14ac:dyDescent="0.25">
      <c r="A449">
        <v>2009</v>
      </c>
      <c r="B449" t="s">
        <v>22</v>
      </c>
      <c r="C449" t="s">
        <v>64</v>
      </c>
      <c r="D449" t="s">
        <v>64</v>
      </c>
      <c r="E449" t="s">
        <v>65</v>
      </c>
      <c r="F449" t="s">
        <v>93</v>
      </c>
      <c r="G449" t="s">
        <v>23</v>
      </c>
      <c r="H449">
        <v>22</v>
      </c>
      <c r="I449">
        <v>49</v>
      </c>
      <c r="J449">
        <v>19</v>
      </c>
      <c r="K449">
        <v>3</v>
      </c>
      <c r="L449">
        <v>7</v>
      </c>
      <c r="M449" t="s">
        <v>67</v>
      </c>
      <c r="N449" t="s">
        <v>67</v>
      </c>
      <c r="O449" t="s">
        <v>67</v>
      </c>
      <c r="P449" t="s">
        <v>67</v>
      </c>
      <c r="Q449" t="s">
        <v>67</v>
      </c>
      <c r="R449" t="s">
        <v>67</v>
      </c>
      <c r="S449" t="s">
        <v>67</v>
      </c>
      <c r="T449" t="s">
        <v>67</v>
      </c>
      <c r="U449" t="s">
        <v>67</v>
      </c>
      <c r="V449" t="s">
        <v>67</v>
      </c>
    </row>
    <row r="450" spans="1:22" x14ac:dyDescent="0.25">
      <c r="A450">
        <v>2010</v>
      </c>
      <c r="B450" t="s">
        <v>22</v>
      </c>
      <c r="C450" t="s">
        <v>64</v>
      </c>
      <c r="D450" t="s">
        <v>64</v>
      </c>
      <c r="E450" t="s">
        <v>65</v>
      </c>
      <c r="F450" t="s">
        <v>86</v>
      </c>
      <c r="G450" t="s">
        <v>23</v>
      </c>
      <c r="H450">
        <v>21</v>
      </c>
      <c r="I450">
        <v>48</v>
      </c>
      <c r="J450">
        <v>20</v>
      </c>
      <c r="K450">
        <v>3</v>
      </c>
      <c r="L450">
        <v>8</v>
      </c>
      <c r="M450">
        <f>J450+I450</f>
        <v>68</v>
      </c>
      <c r="N450">
        <v>-1.026820202719847E-2</v>
      </c>
      <c r="O450" t="s">
        <v>67</v>
      </c>
      <c r="P450" t="s">
        <v>67</v>
      </c>
      <c r="Q450" t="s">
        <v>67</v>
      </c>
      <c r="R450" t="s">
        <v>67</v>
      </c>
      <c r="S450" t="s">
        <v>67</v>
      </c>
      <c r="T450" t="s">
        <v>67</v>
      </c>
      <c r="U450" t="s">
        <v>67</v>
      </c>
      <c r="V450" t="s">
        <v>67</v>
      </c>
    </row>
    <row r="451" spans="1:22" hidden="1" x14ac:dyDescent="0.25">
      <c r="A451">
        <v>2010</v>
      </c>
      <c r="B451" t="s">
        <v>22</v>
      </c>
      <c r="C451" t="s">
        <v>64</v>
      </c>
      <c r="D451" t="s">
        <v>64</v>
      </c>
      <c r="E451" t="s">
        <v>65</v>
      </c>
      <c r="F451" t="s">
        <v>68</v>
      </c>
      <c r="G451" t="s">
        <v>23</v>
      </c>
      <c r="H451">
        <v>21</v>
      </c>
      <c r="I451">
        <v>47</v>
      </c>
      <c r="J451">
        <v>19</v>
      </c>
      <c r="K451">
        <v>4</v>
      </c>
      <c r="L451">
        <v>9</v>
      </c>
      <c r="M451" t="s">
        <v>67</v>
      </c>
      <c r="N451" t="s">
        <v>67</v>
      </c>
      <c r="O451" t="s">
        <v>67</v>
      </c>
      <c r="P451" t="s">
        <v>67</v>
      </c>
      <c r="Q451" t="s">
        <v>67</v>
      </c>
      <c r="R451" t="s">
        <v>67</v>
      </c>
      <c r="S451" t="s">
        <v>67</v>
      </c>
      <c r="T451" t="s">
        <v>67</v>
      </c>
      <c r="U451" t="s">
        <v>67</v>
      </c>
      <c r="V451" t="s">
        <v>67</v>
      </c>
    </row>
    <row r="452" spans="1:22" hidden="1" x14ac:dyDescent="0.25">
      <c r="A452">
        <v>2010</v>
      </c>
      <c r="B452" t="s">
        <v>22</v>
      </c>
      <c r="C452" t="s">
        <v>64</v>
      </c>
      <c r="D452" t="s">
        <v>64</v>
      </c>
      <c r="E452" t="s">
        <v>65</v>
      </c>
      <c r="F452" t="s">
        <v>85</v>
      </c>
      <c r="G452" t="s">
        <v>23</v>
      </c>
      <c r="H452">
        <v>21</v>
      </c>
      <c r="I452">
        <v>48</v>
      </c>
      <c r="J452">
        <v>20</v>
      </c>
      <c r="K452">
        <v>3</v>
      </c>
      <c r="L452">
        <v>8</v>
      </c>
      <c r="M452" t="s">
        <v>67</v>
      </c>
      <c r="N452" t="s">
        <v>67</v>
      </c>
      <c r="O452" t="s">
        <v>67</v>
      </c>
      <c r="P452" t="s">
        <v>67</v>
      </c>
      <c r="Q452" t="s">
        <v>67</v>
      </c>
      <c r="R452" t="s">
        <v>67</v>
      </c>
      <c r="S452" t="s">
        <v>67</v>
      </c>
      <c r="T452" t="s">
        <v>67</v>
      </c>
      <c r="U452" t="s">
        <v>67</v>
      </c>
      <c r="V452" t="s">
        <v>67</v>
      </c>
    </row>
    <row r="453" spans="1:22" hidden="1" x14ac:dyDescent="0.25">
      <c r="A453">
        <v>2010</v>
      </c>
      <c r="B453" t="s">
        <v>22</v>
      </c>
      <c r="C453" t="s">
        <v>64</v>
      </c>
      <c r="D453" t="s">
        <v>64</v>
      </c>
      <c r="E453" t="s">
        <v>65</v>
      </c>
      <c r="F453" t="s">
        <v>69</v>
      </c>
      <c r="G453" t="s">
        <v>23</v>
      </c>
      <c r="H453">
        <v>20</v>
      </c>
      <c r="I453">
        <v>47</v>
      </c>
      <c r="J453">
        <v>21</v>
      </c>
      <c r="K453">
        <v>4</v>
      </c>
      <c r="L453">
        <v>8</v>
      </c>
      <c r="M453" t="s">
        <v>67</v>
      </c>
      <c r="N453" t="s">
        <v>67</v>
      </c>
      <c r="O453" t="s">
        <v>67</v>
      </c>
      <c r="P453" t="s">
        <v>67</v>
      </c>
      <c r="Q453" t="s">
        <v>67</v>
      </c>
      <c r="R453" t="s">
        <v>67</v>
      </c>
      <c r="S453" t="s">
        <v>67</v>
      </c>
      <c r="T453" t="s">
        <v>67</v>
      </c>
      <c r="U453" t="s">
        <v>67</v>
      </c>
      <c r="V453" t="s">
        <v>67</v>
      </c>
    </row>
    <row r="454" spans="1:22" hidden="1" x14ac:dyDescent="0.25">
      <c r="A454">
        <v>2010</v>
      </c>
      <c r="B454" t="s">
        <v>22</v>
      </c>
      <c r="C454" t="s">
        <v>64</v>
      </c>
      <c r="D454" t="s">
        <v>64</v>
      </c>
      <c r="E454" t="s">
        <v>65</v>
      </c>
      <c r="F454" t="s">
        <v>70</v>
      </c>
      <c r="G454" t="s">
        <v>23</v>
      </c>
      <c r="H454">
        <v>20</v>
      </c>
      <c r="I454">
        <v>47</v>
      </c>
      <c r="J454">
        <v>22</v>
      </c>
      <c r="K454">
        <v>3</v>
      </c>
      <c r="L454">
        <v>8</v>
      </c>
      <c r="M454" t="s">
        <v>67</v>
      </c>
      <c r="N454" t="s">
        <v>67</v>
      </c>
      <c r="O454" t="s">
        <v>67</v>
      </c>
      <c r="P454" t="s">
        <v>67</v>
      </c>
      <c r="Q454" t="s">
        <v>67</v>
      </c>
      <c r="R454" t="s">
        <v>67</v>
      </c>
      <c r="S454" t="s">
        <v>67</v>
      </c>
      <c r="T454" t="s">
        <v>67</v>
      </c>
      <c r="U454" t="s">
        <v>67</v>
      </c>
      <c r="V454" t="s">
        <v>67</v>
      </c>
    </row>
    <row r="455" spans="1:22" hidden="1" x14ac:dyDescent="0.25">
      <c r="A455">
        <v>2010</v>
      </c>
      <c r="B455" t="s">
        <v>22</v>
      </c>
      <c r="C455" t="s">
        <v>64</v>
      </c>
      <c r="D455" t="s">
        <v>64</v>
      </c>
      <c r="E455" t="s">
        <v>65</v>
      </c>
      <c r="F455" t="s">
        <v>71</v>
      </c>
      <c r="G455" t="s">
        <v>23</v>
      </c>
      <c r="H455">
        <v>20</v>
      </c>
      <c r="I455">
        <v>48</v>
      </c>
      <c r="J455">
        <v>22</v>
      </c>
      <c r="K455">
        <v>3</v>
      </c>
      <c r="L455">
        <v>7</v>
      </c>
      <c r="M455" t="s">
        <v>67</v>
      </c>
      <c r="N455" t="s">
        <v>67</v>
      </c>
      <c r="O455" t="s">
        <v>67</v>
      </c>
      <c r="P455" t="s">
        <v>67</v>
      </c>
      <c r="Q455" t="s">
        <v>67</v>
      </c>
      <c r="R455" t="s">
        <v>67</v>
      </c>
      <c r="S455" t="s">
        <v>67</v>
      </c>
      <c r="T455" t="s">
        <v>67</v>
      </c>
      <c r="U455" t="s">
        <v>67</v>
      </c>
      <c r="V455" t="s">
        <v>67</v>
      </c>
    </row>
    <row r="456" spans="1:22" hidden="1" x14ac:dyDescent="0.25">
      <c r="A456">
        <v>2010</v>
      </c>
      <c r="B456" t="s">
        <v>22</v>
      </c>
      <c r="C456" t="s">
        <v>64</v>
      </c>
      <c r="D456" t="s">
        <v>64</v>
      </c>
      <c r="E456" t="s">
        <v>65</v>
      </c>
      <c r="F456" t="s">
        <v>72</v>
      </c>
      <c r="G456" t="s">
        <v>23</v>
      </c>
      <c r="H456">
        <v>20</v>
      </c>
      <c r="I456">
        <v>47</v>
      </c>
      <c r="J456">
        <v>23</v>
      </c>
      <c r="K456">
        <v>3</v>
      </c>
      <c r="L456">
        <v>7</v>
      </c>
      <c r="M456" t="s">
        <v>67</v>
      </c>
      <c r="N456" t="s">
        <v>67</v>
      </c>
      <c r="O456" t="s">
        <v>67</v>
      </c>
      <c r="P456" t="s">
        <v>67</v>
      </c>
      <c r="Q456" t="s">
        <v>67</v>
      </c>
      <c r="R456" t="s">
        <v>67</v>
      </c>
      <c r="S456" t="s">
        <v>67</v>
      </c>
      <c r="T456" t="s">
        <v>67</v>
      </c>
      <c r="U456" t="s">
        <v>67</v>
      </c>
      <c r="V456" t="s">
        <v>67</v>
      </c>
    </row>
    <row r="457" spans="1:22" hidden="1" x14ac:dyDescent="0.25">
      <c r="A457">
        <v>2010</v>
      </c>
      <c r="B457" t="s">
        <v>22</v>
      </c>
      <c r="C457" t="s">
        <v>64</v>
      </c>
      <c r="D457" t="s">
        <v>64</v>
      </c>
      <c r="E457" t="s">
        <v>65</v>
      </c>
      <c r="F457" t="s">
        <v>73</v>
      </c>
      <c r="G457" t="s">
        <v>23</v>
      </c>
      <c r="H457">
        <v>20</v>
      </c>
      <c r="I457">
        <v>46</v>
      </c>
      <c r="J457">
        <v>23</v>
      </c>
      <c r="K457">
        <v>3</v>
      </c>
      <c r="L457">
        <v>8</v>
      </c>
      <c r="M457" t="s">
        <v>67</v>
      </c>
      <c r="N457" t="s">
        <v>67</v>
      </c>
      <c r="O457" t="s">
        <v>67</v>
      </c>
      <c r="P457" t="s">
        <v>67</v>
      </c>
      <c r="Q457" t="s">
        <v>67</v>
      </c>
      <c r="R457" t="s">
        <v>67</v>
      </c>
      <c r="S457" t="s">
        <v>67</v>
      </c>
      <c r="T457" t="s">
        <v>67</v>
      </c>
      <c r="U457" t="s">
        <v>67</v>
      </c>
      <c r="V457" t="s">
        <v>67</v>
      </c>
    </row>
    <row r="458" spans="1:22" hidden="1" x14ac:dyDescent="0.25">
      <c r="A458">
        <v>2010</v>
      </c>
      <c r="B458" t="s">
        <v>22</v>
      </c>
      <c r="C458" t="s">
        <v>64</v>
      </c>
      <c r="D458" t="s">
        <v>64</v>
      </c>
      <c r="E458" t="s">
        <v>65</v>
      </c>
      <c r="F458" t="s">
        <v>74</v>
      </c>
      <c r="G458" t="s">
        <v>23</v>
      </c>
      <c r="H458">
        <v>19</v>
      </c>
      <c r="I458">
        <v>48</v>
      </c>
      <c r="J458">
        <v>23</v>
      </c>
      <c r="K458">
        <v>3</v>
      </c>
      <c r="L458">
        <v>7</v>
      </c>
      <c r="M458" t="s">
        <v>67</v>
      </c>
      <c r="N458" t="s">
        <v>67</v>
      </c>
      <c r="O458" t="s">
        <v>67</v>
      </c>
      <c r="P458" t="s">
        <v>67</v>
      </c>
      <c r="Q458" t="s">
        <v>67</v>
      </c>
      <c r="R458" t="s">
        <v>67</v>
      </c>
      <c r="S458" t="s">
        <v>67</v>
      </c>
      <c r="T458" t="s">
        <v>67</v>
      </c>
      <c r="U458" t="s">
        <v>67</v>
      </c>
      <c r="V458" t="s">
        <v>67</v>
      </c>
    </row>
    <row r="459" spans="1:22" hidden="1" x14ac:dyDescent="0.25">
      <c r="A459">
        <v>2010</v>
      </c>
      <c r="B459" t="s">
        <v>22</v>
      </c>
      <c r="C459" t="s">
        <v>64</v>
      </c>
      <c r="D459" t="s">
        <v>64</v>
      </c>
      <c r="E459" t="s">
        <v>65</v>
      </c>
      <c r="F459" t="s">
        <v>75</v>
      </c>
      <c r="G459" t="s">
        <v>23</v>
      </c>
      <c r="H459">
        <v>19</v>
      </c>
      <c r="I459">
        <v>47</v>
      </c>
      <c r="J459">
        <v>24</v>
      </c>
      <c r="K459">
        <v>3</v>
      </c>
      <c r="L459">
        <v>7</v>
      </c>
      <c r="M459" t="s">
        <v>67</v>
      </c>
      <c r="N459" t="s">
        <v>67</v>
      </c>
      <c r="O459" t="s">
        <v>67</v>
      </c>
      <c r="P459" t="s">
        <v>67</v>
      </c>
      <c r="Q459" t="s">
        <v>67</v>
      </c>
      <c r="R459" t="s">
        <v>67</v>
      </c>
      <c r="S459" t="s">
        <v>67</v>
      </c>
      <c r="T459" t="s">
        <v>67</v>
      </c>
      <c r="U459" t="s">
        <v>67</v>
      </c>
      <c r="V459" t="s">
        <v>67</v>
      </c>
    </row>
    <row r="460" spans="1:22" hidden="1" x14ac:dyDescent="0.25">
      <c r="A460">
        <v>2010</v>
      </c>
      <c r="B460" t="s">
        <v>22</v>
      </c>
      <c r="C460" t="s">
        <v>64</v>
      </c>
      <c r="D460" t="s">
        <v>64</v>
      </c>
      <c r="E460" t="s">
        <v>65</v>
      </c>
      <c r="F460" t="s">
        <v>77</v>
      </c>
      <c r="G460" t="s">
        <v>23</v>
      </c>
      <c r="H460">
        <v>19</v>
      </c>
      <c r="I460">
        <v>51</v>
      </c>
      <c r="J460">
        <v>21</v>
      </c>
      <c r="K460">
        <v>2</v>
      </c>
      <c r="L460">
        <v>7</v>
      </c>
      <c r="M460" t="s">
        <v>67</v>
      </c>
      <c r="N460" t="s">
        <v>67</v>
      </c>
      <c r="O460" t="s">
        <v>67</v>
      </c>
      <c r="P460" t="s">
        <v>67</v>
      </c>
      <c r="Q460" t="s">
        <v>67</v>
      </c>
      <c r="R460" t="s">
        <v>67</v>
      </c>
      <c r="S460" t="s">
        <v>67</v>
      </c>
      <c r="T460" t="s">
        <v>67</v>
      </c>
      <c r="U460" t="s">
        <v>67</v>
      </c>
      <c r="V460" t="s">
        <v>67</v>
      </c>
    </row>
    <row r="461" spans="1:22" hidden="1" x14ac:dyDescent="0.25">
      <c r="A461">
        <v>2010</v>
      </c>
      <c r="B461" t="s">
        <v>22</v>
      </c>
      <c r="C461" t="s">
        <v>64</v>
      </c>
      <c r="D461" t="s">
        <v>64</v>
      </c>
      <c r="E461" t="s">
        <v>65</v>
      </c>
      <c r="F461" t="s">
        <v>78</v>
      </c>
      <c r="G461" t="s">
        <v>23</v>
      </c>
      <c r="H461">
        <v>18</v>
      </c>
      <c r="I461">
        <v>52</v>
      </c>
      <c r="J461">
        <v>21</v>
      </c>
      <c r="K461">
        <v>2</v>
      </c>
      <c r="L461">
        <v>7</v>
      </c>
      <c r="M461" t="s">
        <v>67</v>
      </c>
      <c r="N461" t="s">
        <v>67</v>
      </c>
      <c r="O461" t="s">
        <v>67</v>
      </c>
      <c r="P461" t="s">
        <v>67</v>
      </c>
      <c r="Q461" t="s">
        <v>67</v>
      </c>
      <c r="R461" t="s">
        <v>67</v>
      </c>
      <c r="S461" t="s">
        <v>67</v>
      </c>
      <c r="T461" t="s">
        <v>67</v>
      </c>
      <c r="U461" t="s">
        <v>67</v>
      </c>
      <c r="V461" t="s">
        <v>67</v>
      </c>
    </row>
    <row r="462" spans="1:22" hidden="1" x14ac:dyDescent="0.25">
      <c r="A462">
        <v>2010</v>
      </c>
      <c r="B462" t="s">
        <v>22</v>
      </c>
      <c r="C462" t="s">
        <v>64</v>
      </c>
      <c r="D462" t="s">
        <v>64</v>
      </c>
      <c r="E462" t="s">
        <v>65</v>
      </c>
      <c r="F462" t="s">
        <v>79</v>
      </c>
      <c r="G462" t="s">
        <v>23</v>
      </c>
      <c r="H462">
        <v>19</v>
      </c>
      <c r="I462">
        <v>51</v>
      </c>
      <c r="J462">
        <v>20</v>
      </c>
      <c r="K462">
        <v>3</v>
      </c>
      <c r="L462">
        <v>7</v>
      </c>
      <c r="M462" t="s">
        <v>67</v>
      </c>
      <c r="N462" t="s">
        <v>67</v>
      </c>
      <c r="O462" t="s">
        <v>67</v>
      </c>
      <c r="P462" t="s">
        <v>67</v>
      </c>
      <c r="Q462" t="s">
        <v>67</v>
      </c>
      <c r="R462" t="s">
        <v>67</v>
      </c>
      <c r="S462" t="s">
        <v>67</v>
      </c>
      <c r="T462" t="s">
        <v>67</v>
      </c>
      <c r="U462" t="s">
        <v>67</v>
      </c>
      <c r="V462" t="s">
        <v>67</v>
      </c>
    </row>
    <row r="463" spans="1:22" hidden="1" x14ac:dyDescent="0.25">
      <c r="A463">
        <v>2010</v>
      </c>
      <c r="B463" t="s">
        <v>22</v>
      </c>
      <c r="C463" t="s">
        <v>64</v>
      </c>
      <c r="D463" t="s">
        <v>64</v>
      </c>
      <c r="E463" t="s">
        <v>65</v>
      </c>
      <c r="F463" t="s">
        <v>80</v>
      </c>
      <c r="G463" t="s">
        <v>23</v>
      </c>
      <c r="H463">
        <v>19</v>
      </c>
      <c r="I463">
        <v>54</v>
      </c>
      <c r="J463">
        <v>19</v>
      </c>
      <c r="K463">
        <v>2</v>
      </c>
      <c r="L463">
        <v>6</v>
      </c>
      <c r="M463" t="s">
        <v>67</v>
      </c>
      <c r="N463" t="s">
        <v>67</v>
      </c>
      <c r="O463" t="s">
        <v>67</v>
      </c>
      <c r="P463" t="s">
        <v>67</v>
      </c>
      <c r="Q463" t="s">
        <v>67</v>
      </c>
      <c r="R463" t="s">
        <v>67</v>
      </c>
      <c r="S463" t="s">
        <v>67</v>
      </c>
      <c r="T463" t="s">
        <v>67</v>
      </c>
      <c r="U463" t="s">
        <v>67</v>
      </c>
      <c r="V463" t="s">
        <v>67</v>
      </c>
    </row>
    <row r="464" spans="1:22" hidden="1" x14ac:dyDescent="0.25">
      <c r="A464">
        <v>2010</v>
      </c>
      <c r="B464" t="s">
        <v>22</v>
      </c>
      <c r="C464" t="s">
        <v>64</v>
      </c>
      <c r="D464" t="s">
        <v>64</v>
      </c>
      <c r="E464" t="s">
        <v>65</v>
      </c>
      <c r="F464" t="s">
        <v>81</v>
      </c>
      <c r="G464" t="s">
        <v>23</v>
      </c>
      <c r="H464">
        <v>18</v>
      </c>
      <c r="I464">
        <v>56</v>
      </c>
      <c r="J464">
        <v>19</v>
      </c>
      <c r="K464">
        <v>2</v>
      </c>
      <c r="L464">
        <v>5</v>
      </c>
      <c r="M464" t="s">
        <v>67</v>
      </c>
      <c r="N464" t="s">
        <v>67</v>
      </c>
      <c r="O464" t="s">
        <v>67</v>
      </c>
      <c r="P464" t="s">
        <v>67</v>
      </c>
      <c r="Q464" t="s">
        <v>67</v>
      </c>
      <c r="R464" t="s">
        <v>67</v>
      </c>
      <c r="S464" t="s">
        <v>67</v>
      </c>
      <c r="T464" t="s">
        <v>67</v>
      </c>
      <c r="U464" t="s">
        <v>67</v>
      </c>
      <c r="V464" t="s">
        <v>67</v>
      </c>
    </row>
    <row r="465" spans="1:22" hidden="1" x14ac:dyDescent="0.25">
      <c r="A465">
        <v>2010</v>
      </c>
      <c r="B465" t="s">
        <v>22</v>
      </c>
      <c r="C465" t="s">
        <v>64</v>
      </c>
      <c r="D465" t="s">
        <v>64</v>
      </c>
      <c r="E465" t="s">
        <v>65</v>
      </c>
      <c r="F465" t="s">
        <v>82</v>
      </c>
      <c r="G465" t="s">
        <v>23</v>
      </c>
      <c r="H465">
        <v>18</v>
      </c>
      <c r="I465">
        <v>58</v>
      </c>
      <c r="J465">
        <v>19</v>
      </c>
      <c r="K465">
        <v>1</v>
      </c>
      <c r="L465">
        <v>4</v>
      </c>
      <c r="M465" t="s">
        <v>67</v>
      </c>
      <c r="N465" t="s">
        <v>67</v>
      </c>
      <c r="O465" t="s">
        <v>67</v>
      </c>
      <c r="P465" t="s">
        <v>67</v>
      </c>
      <c r="Q465" t="s">
        <v>67</v>
      </c>
      <c r="R465" t="s">
        <v>67</v>
      </c>
      <c r="S465" t="s">
        <v>67</v>
      </c>
      <c r="T465" t="s">
        <v>67</v>
      </c>
      <c r="U465" t="s">
        <v>67</v>
      </c>
      <c r="V465" t="s">
        <v>67</v>
      </c>
    </row>
    <row r="466" spans="1:22" hidden="1" x14ac:dyDescent="0.25">
      <c r="A466">
        <v>2010</v>
      </c>
      <c r="B466" t="s">
        <v>22</v>
      </c>
      <c r="C466" t="s">
        <v>64</v>
      </c>
      <c r="D466" t="s">
        <v>64</v>
      </c>
      <c r="E466" t="s">
        <v>65</v>
      </c>
      <c r="F466" t="s">
        <v>83</v>
      </c>
      <c r="G466" t="s">
        <v>23</v>
      </c>
      <c r="H466">
        <v>19</v>
      </c>
      <c r="I466">
        <v>58</v>
      </c>
      <c r="J466">
        <v>18</v>
      </c>
      <c r="K466">
        <v>1</v>
      </c>
      <c r="L466">
        <v>4</v>
      </c>
      <c r="M466" t="s">
        <v>67</v>
      </c>
      <c r="N466" t="s">
        <v>67</v>
      </c>
      <c r="O466" t="s">
        <v>67</v>
      </c>
      <c r="P466" t="s">
        <v>67</v>
      </c>
      <c r="Q466" t="s">
        <v>67</v>
      </c>
      <c r="R466" t="s">
        <v>67</v>
      </c>
      <c r="S466" t="s">
        <v>67</v>
      </c>
      <c r="T466" t="s">
        <v>67</v>
      </c>
      <c r="U466" t="s">
        <v>67</v>
      </c>
      <c r="V466" t="s">
        <v>67</v>
      </c>
    </row>
    <row r="467" spans="1:22" hidden="1" x14ac:dyDescent="0.25">
      <c r="A467">
        <v>2010</v>
      </c>
      <c r="B467" t="s">
        <v>22</v>
      </c>
      <c r="C467" t="s">
        <v>64</v>
      </c>
      <c r="D467" t="s">
        <v>64</v>
      </c>
      <c r="E467" t="s">
        <v>65</v>
      </c>
      <c r="F467" t="s">
        <v>84</v>
      </c>
      <c r="G467" t="s">
        <v>23</v>
      </c>
      <c r="H467">
        <v>20</v>
      </c>
      <c r="I467">
        <v>61</v>
      </c>
      <c r="J467">
        <v>15</v>
      </c>
      <c r="K467">
        <v>1</v>
      </c>
      <c r="L467">
        <v>3</v>
      </c>
      <c r="M467" t="s">
        <v>67</v>
      </c>
      <c r="N467" t="s">
        <v>67</v>
      </c>
      <c r="O467" t="s">
        <v>67</v>
      </c>
      <c r="P467" t="s">
        <v>67</v>
      </c>
      <c r="Q467" t="s">
        <v>67</v>
      </c>
      <c r="R467" t="s">
        <v>67</v>
      </c>
      <c r="S467" t="s">
        <v>67</v>
      </c>
      <c r="T467" t="s">
        <v>67</v>
      </c>
      <c r="U467" t="s">
        <v>67</v>
      </c>
      <c r="V467" t="s">
        <v>67</v>
      </c>
    </row>
    <row r="468" spans="1:22" hidden="1" x14ac:dyDescent="0.25">
      <c r="A468">
        <v>2010</v>
      </c>
      <c r="B468" t="s">
        <v>22</v>
      </c>
      <c r="C468" t="s">
        <v>64</v>
      </c>
      <c r="D468" t="s">
        <v>64</v>
      </c>
      <c r="E468" t="s">
        <v>65</v>
      </c>
      <c r="F468" t="s">
        <v>91</v>
      </c>
      <c r="G468" t="s">
        <v>23</v>
      </c>
      <c r="H468">
        <v>24</v>
      </c>
      <c r="I468">
        <v>60</v>
      </c>
      <c r="J468">
        <v>11</v>
      </c>
      <c r="K468">
        <v>1</v>
      </c>
      <c r="L468">
        <v>4</v>
      </c>
      <c r="M468" t="s">
        <v>67</v>
      </c>
      <c r="N468" t="s">
        <v>67</v>
      </c>
      <c r="O468" t="s">
        <v>67</v>
      </c>
      <c r="P468" t="s">
        <v>67</v>
      </c>
      <c r="Q468" t="s">
        <v>67</v>
      </c>
      <c r="R468" t="s">
        <v>67</v>
      </c>
      <c r="S468" t="s">
        <v>67</v>
      </c>
      <c r="T468" t="s">
        <v>67</v>
      </c>
      <c r="U468" t="s">
        <v>67</v>
      </c>
      <c r="V468" t="s">
        <v>67</v>
      </c>
    </row>
    <row r="469" spans="1:22" hidden="1" x14ac:dyDescent="0.25">
      <c r="A469">
        <v>2010</v>
      </c>
      <c r="B469" t="s">
        <v>22</v>
      </c>
      <c r="C469" t="s">
        <v>64</v>
      </c>
      <c r="D469" t="s">
        <v>64</v>
      </c>
      <c r="E469" t="s">
        <v>65</v>
      </c>
      <c r="F469" t="s">
        <v>94</v>
      </c>
      <c r="G469" t="s">
        <v>23</v>
      </c>
      <c r="H469">
        <v>27</v>
      </c>
      <c r="I469">
        <v>57</v>
      </c>
      <c r="J469">
        <v>10</v>
      </c>
      <c r="K469">
        <v>1</v>
      </c>
      <c r="L469">
        <v>5</v>
      </c>
      <c r="M469" t="s">
        <v>67</v>
      </c>
      <c r="N469" t="s">
        <v>67</v>
      </c>
      <c r="O469" t="s">
        <v>67</v>
      </c>
      <c r="P469" t="s">
        <v>67</v>
      </c>
      <c r="Q469" t="s">
        <v>67</v>
      </c>
      <c r="R469" t="s">
        <v>67</v>
      </c>
      <c r="S469" t="s">
        <v>67</v>
      </c>
      <c r="T469" t="s">
        <v>67</v>
      </c>
      <c r="U469" t="s">
        <v>67</v>
      </c>
      <c r="V469" t="s">
        <v>67</v>
      </c>
    </row>
    <row r="470" spans="1:22" hidden="1" x14ac:dyDescent="0.25">
      <c r="A470">
        <v>2010</v>
      </c>
      <c r="B470" t="s">
        <v>22</v>
      </c>
      <c r="C470" t="s">
        <v>64</v>
      </c>
      <c r="D470" t="s">
        <v>64</v>
      </c>
      <c r="E470" t="s">
        <v>65</v>
      </c>
      <c r="F470" t="s">
        <v>76</v>
      </c>
      <c r="G470" t="s">
        <v>23</v>
      </c>
      <c r="H470">
        <v>19</v>
      </c>
      <c r="I470">
        <v>49</v>
      </c>
      <c r="J470">
        <v>23</v>
      </c>
      <c r="K470">
        <v>2</v>
      </c>
      <c r="L470">
        <v>7</v>
      </c>
      <c r="M470" t="s">
        <v>67</v>
      </c>
      <c r="N470" t="s">
        <v>67</v>
      </c>
      <c r="O470" t="s">
        <v>67</v>
      </c>
      <c r="P470" t="s">
        <v>67</v>
      </c>
      <c r="Q470" t="s">
        <v>67</v>
      </c>
      <c r="R470" t="s">
        <v>67</v>
      </c>
      <c r="S470" t="s">
        <v>67</v>
      </c>
      <c r="T470" t="s">
        <v>67</v>
      </c>
      <c r="U470" t="s">
        <v>67</v>
      </c>
      <c r="V470" t="s">
        <v>67</v>
      </c>
    </row>
    <row r="471" spans="1:22" x14ac:dyDescent="0.25">
      <c r="A471">
        <v>2011</v>
      </c>
      <c r="B471" t="s">
        <v>22</v>
      </c>
      <c r="C471" t="s">
        <v>64</v>
      </c>
      <c r="D471" t="s">
        <v>64</v>
      </c>
      <c r="E471" t="s">
        <v>65</v>
      </c>
      <c r="F471" t="s">
        <v>90</v>
      </c>
      <c r="G471" t="s">
        <v>23</v>
      </c>
      <c r="H471">
        <v>27</v>
      </c>
      <c r="I471">
        <v>42</v>
      </c>
      <c r="J471">
        <v>12</v>
      </c>
      <c r="K471">
        <v>7</v>
      </c>
      <c r="L471">
        <v>12</v>
      </c>
      <c r="M471">
        <f>J471+I471</f>
        <v>54</v>
      </c>
      <c r="N471">
        <v>-6.1313597433122702E-2</v>
      </c>
      <c r="O471" t="s">
        <v>67</v>
      </c>
      <c r="P471" t="s">
        <v>67</v>
      </c>
      <c r="Q471" t="s">
        <v>67</v>
      </c>
      <c r="R471" t="s">
        <v>67</v>
      </c>
      <c r="S471" t="s">
        <v>67</v>
      </c>
      <c r="T471" t="s">
        <v>67</v>
      </c>
      <c r="U471" t="s">
        <v>67</v>
      </c>
      <c r="V471" t="s">
        <v>67</v>
      </c>
    </row>
    <row r="472" spans="1:22" hidden="1" x14ac:dyDescent="0.25">
      <c r="A472">
        <v>2011</v>
      </c>
      <c r="B472" t="s">
        <v>22</v>
      </c>
      <c r="C472" t="s">
        <v>64</v>
      </c>
      <c r="D472" t="s">
        <v>64</v>
      </c>
      <c r="E472" t="s">
        <v>65</v>
      </c>
      <c r="F472" t="s">
        <v>68</v>
      </c>
      <c r="G472" t="s">
        <v>23</v>
      </c>
      <c r="H472">
        <v>28</v>
      </c>
      <c r="I472">
        <v>41</v>
      </c>
      <c r="J472">
        <v>11</v>
      </c>
      <c r="K472">
        <v>7</v>
      </c>
      <c r="L472">
        <v>13</v>
      </c>
      <c r="M472" t="s">
        <v>67</v>
      </c>
      <c r="N472" t="s">
        <v>67</v>
      </c>
      <c r="O472" t="s">
        <v>67</v>
      </c>
      <c r="P472" t="s">
        <v>67</v>
      </c>
      <c r="Q472" t="s">
        <v>67</v>
      </c>
      <c r="R472" t="s">
        <v>67</v>
      </c>
      <c r="S472" t="s">
        <v>67</v>
      </c>
      <c r="T472" t="s">
        <v>67</v>
      </c>
      <c r="U472" t="s">
        <v>67</v>
      </c>
      <c r="V472" t="s">
        <v>67</v>
      </c>
    </row>
    <row r="473" spans="1:22" hidden="1" x14ac:dyDescent="0.25">
      <c r="A473">
        <v>2011</v>
      </c>
      <c r="B473" t="s">
        <v>22</v>
      </c>
      <c r="C473" t="s">
        <v>64</v>
      </c>
      <c r="D473" t="s">
        <v>64</v>
      </c>
      <c r="E473" t="s">
        <v>65</v>
      </c>
      <c r="F473" t="s">
        <v>85</v>
      </c>
      <c r="G473" t="s">
        <v>23</v>
      </c>
      <c r="H473">
        <v>28</v>
      </c>
      <c r="I473">
        <v>40</v>
      </c>
      <c r="J473">
        <v>11</v>
      </c>
      <c r="K473">
        <v>8</v>
      </c>
      <c r="L473">
        <v>13</v>
      </c>
      <c r="M473" t="s">
        <v>67</v>
      </c>
      <c r="N473" t="s">
        <v>67</v>
      </c>
      <c r="O473" t="s">
        <v>67</v>
      </c>
      <c r="P473" t="s">
        <v>67</v>
      </c>
      <c r="Q473" t="s">
        <v>67</v>
      </c>
      <c r="R473" t="s">
        <v>67</v>
      </c>
      <c r="S473" t="s">
        <v>67</v>
      </c>
      <c r="T473" t="s">
        <v>67</v>
      </c>
      <c r="U473" t="s">
        <v>67</v>
      </c>
      <c r="V473" t="s">
        <v>67</v>
      </c>
    </row>
    <row r="474" spans="1:22" hidden="1" x14ac:dyDescent="0.25">
      <c r="A474">
        <v>2011</v>
      </c>
      <c r="B474" t="s">
        <v>22</v>
      </c>
      <c r="C474" t="s">
        <v>64</v>
      </c>
      <c r="D474" t="s">
        <v>64</v>
      </c>
      <c r="E474" t="s">
        <v>65</v>
      </c>
      <c r="F474" t="s">
        <v>69</v>
      </c>
      <c r="G474" t="s">
        <v>23</v>
      </c>
      <c r="H474">
        <v>27</v>
      </c>
      <c r="I474">
        <v>42</v>
      </c>
      <c r="J474">
        <v>11</v>
      </c>
      <c r="K474">
        <v>7</v>
      </c>
      <c r="L474">
        <v>13</v>
      </c>
      <c r="M474" t="s">
        <v>67</v>
      </c>
      <c r="N474" t="s">
        <v>67</v>
      </c>
      <c r="O474" t="s">
        <v>67</v>
      </c>
      <c r="P474" t="s">
        <v>67</v>
      </c>
      <c r="Q474" t="s">
        <v>67</v>
      </c>
      <c r="R474" t="s">
        <v>67</v>
      </c>
      <c r="S474" t="s">
        <v>67</v>
      </c>
      <c r="T474" t="s">
        <v>67</v>
      </c>
      <c r="U474" t="s">
        <v>67</v>
      </c>
      <c r="V474" t="s">
        <v>67</v>
      </c>
    </row>
    <row r="475" spans="1:22" hidden="1" x14ac:dyDescent="0.25">
      <c r="A475">
        <v>2011</v>
      </c>
      <c r="B475" t="s">
        <v>22</v>
      </c>
      <c r="C475" t="s">
        <v>64</v>
      </c>
      <c r="D475" t="s">
        <v>64</v>
      </c>
      <c r="E475" t="s">
        <v>65</v>
      </c>
      <c r="F475" t="s">
        <v>70</v>
      </c>
      <c r="G475" t="s">
        <v>23</v>
      </c>
      <c r="H475">
        <v>27</v>
      </c>
      <c r="I475">
        <v>41</v>
      </c>
      <c r="J475">
        <v>11</v>
      </c>
      <c r="K475">
        <v>8</v>
      </c>
      <c r="L475">
        <v>13</v>
      </c>
      <c r="M475" t="s">
        <v>67</v>
      </c>
      <c r="N475" t="s">
        <v>67</v>
      </c>
      <c r="O475" t="s">
        <v>67</v>
      </c>
      <c r="P475" t="s">
        <v>67</v>
      </c>
      <c r="Q475" t="s">
        <v>67</v>
      </c>
      <c r="R475" t="s">
        <v>67</v>
      </c>
      <c r="S475" t="s">
        <v>67</v>
      </c>
      <c r="T475" t="s">
        <v>67</v>
      </c>
      <c r="U475" t="s">
        <v>67</v>
      </c>
      <c r="V475" t="s">
        <v>67</v>
      </c>
    </row>
    <row r="476" spans="1:22" hidden="1" x14ac:dyDescent="0.25">
      <c r="A476">
        <v>2011</v>
      </c>
      <c r="B476" t="s">
        <v>22</v>
      </c>
      <c r="C476" t="s">
        <v>64</v>
      </c>
      <c r="D476" t="s">
        <v>64</v>
      </c>
      <c r="E476" t="s">
        <v>65</v>
      </c>
      <c r="F476" t="s">
        <v>71</v>
      </c>
      <c r="G476" t="s">
        <v>23</v>
      </c>
      <c r="H476">
        <v>27</v>
      </c>
      <c r="I476">
        <v>42</v>
      </c>
      <c r="J476">
        <v>12</v>
      </c>
      <c r="K476">
        <v>7</v>
      </c>
      <c r="L476">
        <v>12</v>
      </c>
      <c r="M476" t="s">
        <v>67</v>
      </c>
      <c r="N476" t="s">
        <v>67</v>
      </c>
      <c r="O476" t="s">
        <v>67</v>
      </c>
      <c r="P476" t="s">
        <v>67</v>
      </c>
      <c r="Q476" t="s">
        <v>67</v>
      </c>
      <c r="R476" t="s">
        <v>67</v>
      </c>
      <c r="S476" t="s">
        <v>67</v>
      </c>
      <c r="T476" t="s">
        <v>67</v>
      </c>
      <c r="U476" t="s">
        <v>67</v>
      </c>
      <c r="V476" t="s">
        <v>67</v>
      </c>
    </row>
    <row r="477" spans="1:22" hidden="1" x14ac:dyDescent="0.25">
      <c r="A477">
        <v>2011</v>
      </c>
      <c r="B477" t="s">
        <v>22</v>
      </c>
      <c r="C477" t="s">
        <v>64</v>
      </c>
      <c r="D477" t="s">
        <v>64</v>
      </c>
      <c r="E477" t="s">
        <v>65</v>
      </c>
      <c r="F477" t="s">
        <v>72</v>
      </c>
      <c r="G477" t="s">
        <v>23</v>
      </c>
      <c r="H477">
        <v>26</v>
      </c>
      <c r="I477">
        <v>44</v>
      </c>
      <c r="J477">
        <v>13</v>
      </c>
      <c r="K477">
        <v>6</v>
      </c>
      <c r="L477">
        <v>11</v>
      </c>
      <c r="M477" t="s">
        <v>67</v>
      </c>
      <c r="N477" t="s">
        <v>67</v>
      </c>
      <c r="O477" t="s">
        <v>67</v>
      </c>
      <c r="P477" t="s">
        <v>67</v>
      </c>
      <c r="Q477" t="s">
        <v>67</v>
      </c>
      <c r="R477" t="s">
        <v>67</v>
      </c>
      <c r="S477" t="s">
        <v>67</v>
      </c>
      <c r="T477" t="s">
        <v>67</v>
      </c>
      <c r="U477" t="s">
        <v>67</v>
      </c>
      <c r="V477" t="s">
        <v>67</v>
      </c>
    </row>
    <row r="478" spans="1:22" hidden="1" x14ac:dyDescent="0.25">
      <c r="A478">
        <v>2011</v>
      </c>
      <c r="B478" t="s">
        <v>22</v>
      </c>
      <c r="C478" t="s">
        <v>64</v>
      </c>
      <c r="D478" t="s">
        <v>64</v>
      </c>
      <c r="E478" t="s">
        <v>65</v>
      </c>
      <c r="F478" t="s">
        <v>73</v>
      </c>
      <c r="G478" t="s">
        <v>23</v>
      </c>
      <c r="H478">
        <v>25</v>
      </c>
      <c r="I478">
        <v>46</v>
      </c>
      <c r="J478">
        <v>14</v>
      </c>
      <c r="K478">
        <v>5</v>
      </c>
      <c r="L478">
        <v>10</v>
      </c>
      <c r="M478" t="s">
        <v>67</v>
      </c>
      <c r="N478" t="s">
        <v>67</v>
      </c>
      <c r="O478" t="s">
        <v>67</v>
      </c>
      <c r="P478" t="s">
        <v>67</v>
      </c>
      <c r="Q478" t="s">
        <v>67</v>
      </c>
      <c r="R478" t="s">
        <v>67</v>
      </c>
      <c r="S478" t="s">
        <v>67</v>
      </c>
      <c r="T478" t="s">
        <v>67</v>
      </c>
      <c r="U478" t="s">
        <v>67</v>
      </c>
      <c r="V478" t="s">
        <v>67</v>
      </c>
    </row>
    <row r="479" spans="1:22" hidden="1" x14ac:dyDescent="0.25">
      <c r="A479">
        <v>2011</v>
      </c>
      <c r="B479" t="s">
        <v>22</v>
      </c>
      <c r="C479" t="s">
        <v>64</v>
      </c>
      <c r="D479" t="s">
        <v>64</v>
      </c>
      <c r="E479" t="s">
        <v>65</v>
      </c>
      <c r="F479" t="s">
        <v>74</v>
      </c>
      <c r="G479" t="s">
        <v>23</v>
      </c>
      <c r="H479">
        <v>24</v>
      </c>
      <c r="I479">
        <v>45</v>
      </c>
      <c r="J479">
        <v>15</v>
      </c>
      <c r="K479">
        <v>6</v>
      </c>
      <c r="L479">
        <v>10</v>
      </c>
      <c r="M479" t="s">
        <v>67</v>
      </c>
      <c r="N479" t="s">
        <v>67</v>
      </c>
      <c r="O479" t="s">
        <v>67</v>
      </c>
      <c r="P479" t="s">
        <v>67</v>
      </c>
      <c r="Q479" t="s">
        <v>67</v>
      </c>
      <c r="R479" t="s">
        <v>67</v>
      </c>
      <c r="S479" t="s">
        <v>67</v>
      </c>
      <c r="T479" t="s">
        <v>67</v>
      </c>
      <c r="U479" t="s">
        <v>67</v>
      </c>
      <c r="V479" t="s">
        <v>67</v>
      </c>
    </row>
    <row r="480" spans="1:22" hidden="1" x14ac:dyDescent="0.25">
      <c r="A480">
        <v>2011</v>
      </c>
      <c r="B480" t="s">
        <v>22</v>
      </c>
      <c r="C480" t="s">
        <v>64</v>
      </c>
      <c r="D480" t="s">
        <v>64</v>
      </c>
      <c r="E480" t="s">
        <v>65</v>
      </c>
      <c r="F480" t="s">
        <v>75</v>
      </c>
      <c r="G480" t="s">
        <v>23</v>
      </c>
      <c r="H480">
        <v>24</v>
      </c>
      <c r="I480">
        <v>46</v>
      </c>
      <c r="J480">
        <v>16</v>
      </c>
      <c r="K480">
        <v>5</v>
      </c>
      <c r="L480">
        <v>9</v>
      </c>
      <c r="M480" t="s">
        <v>67</v>
      </c>
      <c r="N480" t="s">
        <v>67</v>
      </c>
      <c r="O480" t="s">
        <v>67</v>
      </c>
      <c r="P480" t="s">
        <v>67</v>
      </c>
      <c r="Q480" t="s">
        <v>67</v>
      </c>
      <c r="R480" t="s">
        <v>67</v>
      </c>
      <c r="S480" t="s">
        <v>67</v>
      </c>
      <c r="T480" t="s">
        <v>67</v>
      </c>
      <c r="U480" t="s">
        <v>67</v>
      </c>
      <c r="V480" t="s">
        <v>67</v>
      </c>
    </row>
    <row r="481" spans="1:22" hidden="1" x14ac:dyDescent="0.25">
      <c r="A481">
        <v>2011</v>
      </c>
      <c r="B481" t="s">
        <v>22</v>
      </c>
      <c r="C481" t="s">
        <v>64</v>
      </c>
      <c r="D481" t="s">
        <v>64</v>
      </c>
      <c r="E481" t="s">
        <v>65</v>
      </c>
      <c r="F481" t="s">
        <v>76</v>
      </c>
      <c r="G481" t="s">
        <v>23</v>
      </c>
      <c r="H481">
        <v>24</v>
      </c>
      <c r="I481">
        <v>46</v>
      </c>
      <c r="J481">
        <v>16</v>
      </c>
      <c r="K481">
        <v>5</v>
      </c>
      <c r="L481">
        <v>9</v>
      </c>
      <c r="M481" t="s">
        <v>67</v>
      </c>
      <c r="N481" t="s">
        <v>67</v>
      </c>
      <c r="O481" t="s">
        <v>67</v>
      </c>
      <c r="P481" t="s">
        <v>67</v>
      </c>
      <c r="Q481" t="s">
        <v>67</v>
      </c>
      <c r="R481" t="s">
        <v>67</v>
      </c>
      <c r="S481" t="s">
        <v>67</v>
      </c>
      <c r="T481" t="s">
        <v>67</v>
      </c>
      <c r="U481" t="s">
        <v>67</v>
      </c>
      <c r="V481" t="s">
        <v>67</v>
      </c>
    </row>
    <row r="482" spans="1:22" hidden="1" x14ac:dyDescent="0.25">
      <c r="A482">
        <v>2011</v>
      </c>
      <c r="B482" t="s">
        <v>22</v>
      </c>
      <c r="C482" t="s">
        <v>64</v>
      </c>
      <c r="D482" t="s">
        <v>64</v>
      </c>
      <c r="E482" t="s">
        <v>65</v>
      </c>
      <c r="F482" t="s">
        <v>77</v>
      </c>
      <c r="G482" t="s">
        <v>23</v>
      </c>
      <c r="H482">
        <v>23</v>
      </c>
      <c r="I482">
        <v>50</v>
      </c>
      <c r="J482">
        <v>16</v>
      </c>
      <c r="K482">
        <v>4</v>
      </c>
      <c r="L482">
        <v>7</v>
      </c>
      <c r="M482" t="s">
        <v>67</v>
      </c>
      <c r="N482" t="s">
        <v>67</v>
      </c>
      <c r="O482" t="s">
        <v>67</v>
      </c>
      <c r="P482" t="s">
        <v>67</v>
      </c>
      <c r="Q482" t="s">
        <v>67</v>
      </c>
      <c r="R482" t="s">
        <v>67</v>
      </c>
      <c r="S482" t="s">
        <v>67</v>
      </c>
      <c r="T482" t="s">
        <v>67</v>
      </c>
      <c r="U482" t="s">
        <v>67</v>
      </c>
      <c r="V482" t="s">
        <v>67</v>
      </c>
    </row>
    <row r="483" spans="1:22" hidden="1" x14ac:dyDescent="0.25">
      <c r="A483">
        <v>2011</v>
      </c>
      <c r="B483" t="s">
        <v>22</v>
      </c>
      <c r="C483" t="s">
        <v>64</v>
      </c>
      <c r="D483" t="s">
        <v>64</v>
      </c>
      <c r="E483" t="s">
        <v>65</v>
      </c>
      <c r="F483" t="s">
        <v>78</v>
      </c>
      <c r="G483" t="s">
        <v>23</v>
      </c>
      <c r="H483">
        <v>22</v>
      </c>
      <c r="I483">
        <v>52</v>
      </c>
      <c r="J483">
        <v>17</v>
      </c>
      <c r="K483">
        <v>3</v>
      </c>
      <c r="L483">
        <v>6</v>
      </c>
      <c r="M483" t="s">
        <v>67</v>
      </c>
      <c r="N483" t="s">
        <v>67</v>
      </c>
      <c r="O483" t="s">
        <v>67</v>
      </c>
      <c r="P483" t="s">
        <v>67</v>
      </c>
      <c r="Q483" t="s">
        <v>67</v>
      </c>
      <c r="R483" t="s">
        <v>67</v>
      </c>
      <c r="S483" t="s">
        <v>67</v>
      </c>
      <c r="T483" t="s">
        <v>67</v>
      </c>
      <c r="U483" t="s">
        <v>67</v>
      </c>
      <c r="V483" t="s">
        <v>67</v>
      </c>
    </row>
    <row r="484" spans="1:22" hidden="1" x14ac:dyDescent="0.25">
      <c r="A484">
        <v>2011</v>
      </c>
      <c r="B484" t="s">
        <v>22</v>
      </c>
      <c r="C484" t="s">
        <v>64</v>
      </c>
      <c r="D484" t="s">
        <v>64</v>
      </c>
      <c r="E484" t="s">
        <v>65</v>
      </c>
      <c r="F484" t="s">
        <v>79</v>
      </c>
      <c r="G484" t="s">
        <v>23</v>
      </c>
      <c r="H484">
        <v>22</v>
      </c>
      <c r="I484">
        <v>52</v>
      </c>
      <c r="J484">
        <v>17</v>
      </c>
      <c r="K484">
        <v>3</v>
      </c>
      <c r="L484">
        <v>6</v>
      </c>
      <c r="M484" t="s">
        <v>67</v>
      </c>
      <c r="N484" t="s">
        <v>67</v>
      </c>
      <c r="O484" t="s">
        <v>67</v>
      </c>
      <c r="P484" t="s">
        <v>67</v>
      </c>
      <c r="Q484" t="s">
        <v>67</v>
      </c>
      <c r="R484" t="s">
        <v>67</v>
      </c>
      <c r="S484" t="s">
        <v>67</v>
      </c>
      <c r="T484" t="s">
        <v>67</v>
      </c>
      <c r="U484" t="s">
        <v>67</v>
      </c>
      <c r="V484" t="s">
        <v>67</v>
      </c>
    </row>
    <row r="485" spans="1:22" hidden="1" x14ac:dyDescent="0.25">
      <c r="A485">
        <v>2011</v>
      </c>
      <c r="B485" t="s">
        <v>22</v>
      </c>
      <c r="C485" t="s">
        <v>64</v>
      </c>
      <c r="D485" t="s">
        <v>64</v>
      </c>
      <c r="E485" t="s">
        <v>65</v>
      </c>
      <c r="F485" t="s">
        <v>80</v>
      </c>
      <c r="G485" t="s">
        <v>23</v>
      </c>
      <c r="H485">
        <v>23</v>
      </c>
      <c r="I485">
        <v>54</v>
      </c>
      <c r="J485">
        <v>14</v>
      </c>
      <c r="K485">
        <v>3</v>
      </c>
      <c r="L485">
        <v>6</v>
      </c>
      <c r="M485" t="s">
        <v>67</v>
      </c>
      <c r="N485" t="s">
        <v>67</v>
      </c>
      <c r="O485" t="s">
        <v>67</v>
      </c>
      <c r="P485" t="s">
        <v>67</v>
      </c>
      <c r="Q485" t="s">
        <v>67</v>
      </c>
      <c r="R485" t="s">
        <v>67</v>
      </c>
      <c r="S485" t="s">
        <v>67</v>
      </c>
      <c r="T485" t="s">
        <v>67</v>
      </c>
      <c r="U485" t="s">
        <v>67</v>
      </c>
      <c r="V485" t="s">
        <v>67</v>
      </c>
    </row>
    <row r="486" spans="1:22" hidden="1" x14ac:dyDescent="0.25">
      <c r="A486">
        <v>2011</v>
      </c>
      <c r="B486" t="s">
        <v>22</v>
      </c>
      <c r="C486" t="s">
        <v>64</v>
      </c>
      <c r="D486" t="s">
        <v>64</v>
      </c>
      <c r="E486" t="s">
        <v>65</v>
      </c>
      <c r="F486" t="s">
        <v>81</v>
      </c>
      <c r="G486" t="s">
        <v>23</v>
      </c>
      <c r="H486">
        <v>23</v>
      </c>
      <c r="I486">
        <v>56</v>
      </c>
      <c r="J486">
        <v>14</v>
      </c>
      <c r="K486">
        <v>2</v>
      </c>
      <c r="L486">
        <v>5</v>
      </c>
      <c r="M486" t="s">
        <v>67</v>
      </c>
      <c r="N486" t="s">
        <v>67</v>
      </c>
      <c r="O486" t="s">
        <v>67</v>
      </c>
      <c r="P486" t="s">
        <v>67</v>
      </c>
      <c r="Q486" t="s">
        <v>67</v>
      </c>
      <c r="R486" t="s">
        <v>67</v>
      </c>
      <c r="S486" t="s">
        <v>67</v>
      </c>
      <c r="T486" t="s">
        <v>67</v>
      </c>
      <c r="U486" t="s">
        <v>67</v>
      </c>
      <c r="V486" t="s">
        <v>67</v>
      </c>
    </row>
    <row r="487" spans="1:22" hidden="1" x14ac:dyDescent="0.25">
      <c r="A487">
        <v>2011</v>
      </c>
      <c r="B487" t="s">
        <v>22</v>
      </c>
      <c r="C487" t="s">
        <v>64</v>
      </c>
      <c r="D487" t="s">
        <v>64</v>
      </c>
      <c r="E487" t="s">
        <v>65</v>
      </c>
      <c r="F487" t="s">
        <v>82</v>
      </c>
      <c r="G487" t="s">
        <v>23</v>
      </c>
      <c r="H487">
        <v>25</v>
      </c>
      <c r="I487">
        <v>56</v>
      </c>
      <c r="J487">
        <v>13</v>
      </c>
      <c r="K487">
        <v>2</v>
      </c>
      <c r="L487">
        <v>4</v>
      </c>
      <c r="M487" t="s">
        <v>67</v>
      </c>
      <c r="N487" t="s">
        <v>67</v>
      </c>
      <c r="O487" t="s">
        <v>67</v>
      </c>
      <c r="P487" t="s">
        <v>67</v>
      </c>
      <c r="Q487" t="s">
        <v>67</v>
      </c>
      <c r="R487" t="s">
        <v>67</v>
      </c>
      <c r="S487" t="s">
        <v>67</v>
      </c>
      <c r="T487" t="s">
        <v>67</v>
      </c>
      <c r="U487" t="s">
        <v>67</v>
      </c>
      <c r="V487" t="s">
        <v>67</v>
      </c>
    </row>
    <row r="488" spans="1:22" hidden="1" x14ac:dyDescent="0.25">
      <c r="A488">
        <v>2011</v>
      </c>
      <c r="B488" t="s">
        <v>22</v>
      </c>
      <c r="C488" t="s">
        <v>64</v>
      </c>
      <c r="D488" t="s">
        <v>64</v>
      </c>
      <c r="E488" t="s">
        <v>65</v>
      </c>
      <c r="F488" t="s">
        <v>83</v>
      </c>
      <c r="G488" t="s">
        <v>23</v>
      </c>
      <c r="H488">
        <v>27</v>
      </c>
      <c r="I488">
        <v>55</v>
      </c>
      <c r="J488">
        <v>12</v>
      </c>
      <c r="K488">
        <v>2</v>
      </c>
      <c r="L488">
        <v>4</v>
      </c>
      <c r="M488" t="s">
        <v>67</v>
      </c>
      <c r="N488" t="s">
        <v>67</v>
      </c>
      <c r="O488" t="s">
        <v>67</v>
      </c>
      <c r="P488" t="s">
        <v>67</v>
      </c>
      <c r="Q488" t="s">
        <v>67</v>
      </c>
      <c r="R488" t="s">
        <v>67</v>
      </c>
      <c r="S488" t="s">
        <v>67</v>
      </c>
      <c r="T488" t="s">
        <v>67</v>
      </c>
      <c r="U488" t="s">
        <v>67</v>
      </c>
      <c r="V488" t="s">
        <v>67</v>
      </c>
    </row>
    <row r="489" spans="1:22" hidden="1" x14ac:dyDescent="0.25">
      <c r="A489">
        <v>2011</v>
      </c>
      <c r="B489" t="s">
        <v>22</v>
      </c>
      <c r="C489" t="s">
        <v>64</v>
      </c>
      <c r="D489" t="s">
        <v>64</v>
      </c>
      <c r="E489" t="s">
        <v>65</v>
      </c>
      <c r="F489" t="s">
        <v>84</v>
      </c>
      <c r="G489" t="s">
        <v>23</v>
      </c>
      <c r="H489">
        <v>31</v>
      </c>
      <c r="I489">
        <v>53</v>
      </c>
      <c r="J489">
        <v>10</v>
      </c>
      <c r="K489">
        <v>2</v>
      </c>
      <c r="L489">
        <v>4</v>
      </c>
      <c r="M489" t="s">
        <v>67</v>
      </c>
      <c r="N489" t="s">
        <v>67</v>
      </c>
      <c r="O489" t="s">
        <v>67</v>
      </c>
      <c r="P489" t="s">
        <v>67</v>
      </c>
      <c r="Q489" t="s">
        <v>67</v>
      </c>
      <c r="R489" t="s">
        <v>67</v>
      </c>
      <c r="S489" t="s">
        <v>67</v>
      </c>
      <c r="T489" t="s">
        <v>67</v>
      </c>
      <c r="U489" t="s">
        <v>67</v>
      </c>
      <c r="V489" t="s">
        <v>67</v>
      </c>
    </row>
    <row r="490" spans="1:22" hidden="1" x14ac:dyDescent="0.25">
      <c r="A490">
        <v>2012</v>
      </c>
      <c r="B490" t="s">
        <v>22</v>
      </c>
      <c r="C490" t="s">
        <v>64</v>
      </c>
      <c r="D490" t="s">
        <v>64</v>
      </c>
      <c r="E490" t="s">
        <v>65</v>
      </c>
      <c r="F490" t="s">
        <v>77</v>
      </c>
      <c r="G490" t="s">
        <v>23</v>
      </c>
      <c r="H490">
        <v>31</v>
      </c>
      <c r="I490">
        <v>27</v>
      </c>
      <c r="J490">
        <v>4</v>
      </c>
      <c r="K490">
        <v>16</v>
      </c>
      <c r="L490">
        <v>22</v>
      </c>
      <c r="M490" t="s">
        <v>67</v>
      </c>
      <c r="N490" t="s">
        <v>67</v>
      </c>
      <c r="O490" t="s">
        <v>67</v>
      </c>
      <c r="P490" t="s">
        <v>67</v>
      </c>
      <c r="Q490" t="s">
        <v>67</v>
      </c>
      <c r="R490" t="s">
        <v>67</v>
      </c>
      <c r="S490" t="s">
        <v>67</v>
      </c>
      <c r="T490" t="s">
        <v>67</v>
      </c>
      <c r="U490" t="s">
        <v>67</v>
      </c>
      <c r="V490" t="s">
        <v>67</v>
      </c>
    </row>
    <row r="491" spans="1:22" x14ac:dyDescent="0.25">
      <c r="A491">
        <v>2012</v>
      </c>
      <c r="B491" t="s">
        <v>22</v>
      </c>
      <c r="C491" t="s">
        <v>64</v>
      </c>
      <c r="D491" t="s">
        <v>64</v>
      </c>
      <c r="E491" t="s">
        <v>65</v>
      </c>
      <c r="F491" t="s">
        <v>66</v>
      </c>
      <c r="G491" t="s">
        <v>23</v>
      </c>
      <c r="H491">
        <v>25</v>
      </c>
      <c r="I491">
        <v>21</v>
      </c>
      <c r="J491">
        <v>4</v>
      </c>
      <c r="K491">
        <v>26</v>
      </c>
      <c r="L491">
        <v>24</v>
      </c>
      <c r="M491">
        <f>J491+I491</f>
        <v>25</v>
      </c>
      <c r="N491">
        <v>-0.24953470669434807</v>
      </c>
      <c r="O491" t="s">
        <v>67</v>
      </c>
      <c r="P491" t="s">
        <v>67</v>
      </c>
      <c r="Q491" t="s">
        <v>67</v>
      </c>
      <c r="R491" t="s">
        <v>67</v>
      </c>
      <c r="S491" t="s">
        <v>67</v>
      </c>
      <c r="T491" t="s">
        <v>67</v>
      </c>
      <c r="U491" t="s">
        <v>67</v>
      </c>
      <c r="V491" t="s">
        <v>67</v>
      </c>
    </row>
    <row r="492" spans="1:22" hidden="1" x14ac:dyDescent="0.25">
      <c r="A492">
        <v>2012</v>
      </c>
      <c r="B492" t="s">
        <v>22</v>
      </c>
      <c r="C492" t="s">
        <v>64</v>
      </c>
      <c r="D492" t="s">
        <v>64</v>
      </c>
      <c r="E492" t="s">
        <v>65</v>
      </c>
      <c r="F492" t="s">
        <v>69</v>
      </c>
      <c r="G492" t="s">
        <v>23</v>
      </c>
      <c r="H492">
        <v>26</v>
      </c>
      <c r="I492">
        <v>19</v>
      </c>
      <c r="J492">
        <v>3</v>
      </c>
      <c r="K492">
        <v>26</v>
      </c>
      <c r="L492">
        <v>26</v>
      </c>
      <c r="M492" t="s">
        <v>67</v>
      </c>
      <c r="N492" t="s">
        <v>67</v>
      </c>
      <c r="O492" t="s">
        <v>67</v>
      </c>
      <c r="P492" t="s">
        <v>67</v>
      </c>
      <c r="Q492" t="s">
        <v>67</v>
      </c>
      <c r="R492" t="s">
        <v>67</v>
      </c>
      <c r="S492" t="s">
        <v>67</v>
      </c>
      <c r="T492" t="s">
        <v>67</v>
      </c>
      <c r="U492" t="s">
        <v>67</v>
      </c>
      <c r="V492" t="s">
        <v>67</v>
      </c>
    </row>
    <row r="493" spans="1:22" hidden="1" x14ac:dyDescent="0.25">
      <c r="A493">
        <v>2012</v>
      </c>
      <c r="B493" t="s">
        <v>22</v>
      </c>
      <c r="C493" t="s">
        <v>64</v>
      </c>
      <c r="D493" t="s">
        <v>64</v>
      </c>
      <c r="E493" t="s">
        <v>65</v>
      </c>
      <c r="F493" t="s">
        <v>70</v>
      </c>
      <c r="G493" t="s">
        <v>23</v>
      </c>
      <c r="H493">
        <v>26</v>
      </c>
      <c r="I493">
        <v>19</v>
      </c>
      <c r="J493">
        <v>3</v>
      </c>
      <c r="K493">
        <v>26</v>
      </c>
      <c r="L493">
        <v>26</v>
      </c>
      <c r="M493" t="s">
        <v>67</v>
      </c>
      <c r="N493" t="s">
        <v>67</v>
      </c>
      <c r="O493" t="s">
        <v>67</v>
      </c>
      <c r="P493" t="s">
        <v>67</v>
      </c>
      <c r="Q493" t="s">
        <v>67</v>
      </c>
      <c r="R493" t="s">
        <v>67</v>
      </c>
      <c r="S493" t="s">
        <v>67</v>
      </c>
      <c r="T493" t="s">
        <v>67</v>
      </c>
      <c r="U493" t="s">
        <v>67</v>
      </c>
      <c r="V493" t="s">
        <v>67</v>
      </c>
    </row>
    <row r="494" spans="1:22" hidden="1" x14ac:dyDescent="0.25">
      <c r="A494">
        <v>2012</v>
      </c>
      <c r="B494" t="s">
        <v>22</v>
      </c>
      <c r="C494" t="s">
        <v>64</v>
      </c>
      <c r="D494" t="s">
        <v>64</v>
      </c>
      <c r="E494" t="s">
        <v>65</v>
      </c>
      <c r="F494" t="s">
        <v>71</v>
      </c>
      <c r="G494" t="s">
        <v>23</v>
      </c>
      <c r="H494">
        <v>26</v>
      </c>
      <c r="I494">
        <v>19</v>
      </c>
      <c r="J494">
        <v>3</v>
      </c>
      <c r="K494">
        <v>26</v>
      </c>
      <c r="L494">
        <v>26</v>
      </c>
      <c r="M494" t="s">
        <v>67</v>
      </c>
      <c r="N494" t="s">
        <v>67</v>
      </c>
      <c r="O494" t="s">
        <v>67</v>
      </c>
      <c r="P494" t="s">
        <v>67</v>
      </c>
      <c r="Q494" t="s">
        <v>67</v>
      </c>
      <c r="R494" t="s">
        <v>67</v>
      </c>
      <c r="S494" t="s">
        <v>67</v>
      </c>
      <c r="T494" t="s">
        <v>67</v>
      </c>
      <c r="U494" t="s">
        <v>67</v>
      </c>
      <c r="V494" t="s">
        <v>67</v>
      </c>
    </row>
    <row r="495" spans="1:22" hidden="1" x14ac:dyDescent="0.25">
      <c r="A495">
        <v>2012</v>
      </c>
      <c r="B495" t="s">
        <v>22</v>
      </c>
      <c r="C495" t="s">
        <v>64</v>
      </c>
      <c r="D495" t="s">
        <v>64</v>
      </c>
      <c r="E495" t="s">
        <v>65</v>
      </c>
      <c r="F495" t="s">
        <v>72</v>
      </c>
      <c r="G495" t="s">
        <v>23</v>
      </c>
      <c r="H495">
        <v>26</v>
      </c>
      <c r="I495">
        <v>20</v>
      </c>
      <c r="J495">
        <v>3</v>
      </c>
      <c r="K495">
        <v>26</v>
      </c>
      <c r="L495">
        <v>25</v>
      </c>
      <c r="M495" t="s">
        <v>67</v>
      </c>
      <c r="N495" t="s">
        <v>67</v>
      </c>
      <c r="O495" t="s">
        <v>67</v>
      </c>
      <c r="P495" t="s">
        <v>67</v>
      </c>
      <c r="Q495" t="s">
        <v>67</v>
      </c>
      <c r="R495" t="s">
        <v>67</v>
      </c>
      <c r="S495" t="s">
        <v>67</v>
      </c>
      <c r="T495" t="s">
        <v>67</v>
      </c>
      <c r="U495" t="s">
        <v>67</v>
      </c>
      <c r="V495" t="s">
        <v>67</v>
      </c>
    </row>
    <row r="496" spans="1:22" hidden="1" x14ac:dyDescent="0.25">
      <c r="A496">
        <v>2012</v>
      </c>
      <c r="B496" t="s">
        <v>22</v>
      </c>
      <c r="C496" t="s">
        <v>64</v>
      </c>
      <c r="D496" t="s">
        <v>64</v>
      </c>
      <c r="E496" t="s">
        <v>65</v>
      </c>
      <c r="F496" t="s">
        <v>73</v>
      </c>
      <c r="G496" t="s">
        <v>23</v>
      </c>
      <c r="H496">
        <v>26</v>
      </c>
      <c r="I496">
        <v>20</v>
      </c>
      <c r="J496">
        <v>3</v>
      </c>
      <c r="K496">
        <v>26</v>
      </c>
      <c r="L496">
        <v>25</v>
      </c>
      <c r="M496" t="s">
        <v>67</v>
      </c>
      <c r="N496" t="s">
        <v>67</v>
      </c>
      <c r="O496" t="s">
        <v>67</v>
      </c>
      <c r="P496" t="s">
        <v>67</v>
      </c>
      <c r="Q496" t="s">
        <v>67</v>
      </c>
      <c r="R496" t="s">
        <v>67</v>
      </c>
      <c r="S496" t="s">
        <v>67</v>
      </c>
      <c r="T496" t="s">
        <v>67</v>
      </c>
      <c r="U496" t="s">
        <v>67</v>
      </c>
      <c r="V496" t="s">
        <v>67</v>
      </c>
    </row>
    <row r="497" spans="1:22" hidden="1" x14ac:dyDescent="0.25">
      <c r="A497">
        <v>2012</v>
      </c>
      <c r="B497" t="s">
        <v>22</v>
      </c>
      <c r="C497" t="s">
        <v>64</v>
      </c>
      <c r="D497" t="s">
        <v>64</v>
      </c>
      <c r="E497" t="s">
        <v>65</v>
      </c>
      <c r="F497" t="s">
        <v>74</v>
      </c>
      <c r="G497" t="s">
        <v>23</v>
      </c>
      <c r="H497">
        <v>27</v>
      </c>
      <c r="I497">
        <v>20</v>
      </c>
      <c r="J497">
        <v>3</v>
      </c>
      <c r="K497">
        <v>25</v>
      </c>
      <c r="L497">
        <v>25</v>
      </c>
      <c r="M497" t="s">
        <v>67</v>
      </c>
      <c r="N497" t="s">
        <v>67</v>
      </c>
      <c r="O497" t="s">
        <v>67</v>
      </c>
      <c r="P497" t="s">
        <v>67</v>
      </c>
      <c r="Q497" t="s">
        <v>67</v>
      </c>
      <c r="R497" t="s">
        <v>67</v>
      </c>
      <c r="S497" t="s">
        <v>67</v>
      </c>
      <c r="T497" t="s">
        <v>67</v>
      </c>
      <c r="U497" t="s">
        <v>67</v>
      </c>
      <c r="V497" t="s">
        <v>67</v>
      </c>
    </row>
    <row r="498" spans="1:22" hidden="1" x14ac:dyDescent="0.25">
      <c r="A498">
        <v>2012</v>
      </c>
      <c r="B498" t="s">
        <v>22</v>
      </c>
      <c r="C498" t="s">
        <v>64</v>
      </c>
      <c r="D498" t="s">
        <v>64</v>
      </c>
      <c r="E498" t="s">
        <v>65</v>
      </c>
      <c r="F498" t="s">
        <v>75</v>
      </c>
      <c r="G498" t="s">
        <v>23</v>
      </c>
      <c r="H498">
        <v>28</v>
      </c>
      <c r="I498">
        <v>21</v>
      </c>
      <c r="J498">
        <v>3</v>
      </c>
      <c r="K498">
        <v>23</v>
      </c>
      <c r="L498">
        <v>25</v>
      </c>
      <c r="M498" t="s">
        <v>67</v>
      </c>
      <c r="N498" t="s">
        <v>67</v>
      </c>
      <c r="O498" t="s">
        <v>67</v>
      </c>
      <c r="P498" t="s">
        <v>67</v>
      </c>
      <c r="Q498" t="s">
        <v>67</v>
      </c>
      <c r="R498" t="s">
        <v>67</v>
      </c>
      <c r="S498" t="s">
        <v>67</v>
      </c>
      <c r="T498" t="s">
        <v>67</v>
      </c>
      <c r="U498" t="s">
        <v>67</v>
      </c>
      <c r="V498" t="s">
        <v>67</v>
      </c>
    </row>
    <row r="499" spans="1:22" hidden="1" x14ac:dyDescent="0.25">
      <c r="A499">
        <v>2012</v>
      </c>
      <c r="B499" t="s">
        <v>22</v>
      </c>
      <c r="C499" t="s">
        <v>64</v>
      </c>
      <c r="D499" t="s">
        <v>64</v>
      </c>
      <c r="E499" t="s">
        <v>65</v>
      </c>
      <c r="F499" t="s">
        <v>76</v>
      </c>
      <c r="G499" t="s">
        <v>23</v>
      </c>
      <c r="H499">
        <v>29</v>
      </c>
      <c r="I499">
        <v>23</v>
      </c>
      <c r="J499">
        <v>3</v>
      </c>
      <c r="K499">
        <v>21</v>
      </c>
      <c r="L499">
        <v>24</v>
      </c>
      <c r="M499" t="s">
        <v>67</v>
      </c>
      <c r="N499" t="s">
        <v>67</v>
      </c>
      <c r="O499" t="s">
        <v>67</v>
      </c>
      <c r="P499" t="s">
        <v>67</v>
      </c>
      <c r="Q499" t="s">
        <v>67</v>
      </c>
      <c r="R499" t="s">
        <v>67</v>
      </c>
      <c r="S499" t="s">
        <v>67</v>
      </c>
      <c r="T499" t="s">
        <v>67</v>
      </c>
      <c r="U499" t="s">
        <v>67</v>
      </c>
      <c r="V499" t="s">
        <v>67</v>
      </c>
    </row>
    <row r="500" spans="1:22" hidden="1" x14ac:dyDescent="0.25">
      <c r="A500">
        <v>2012</v>
      </c>
      <c r="B500" t="s">
        <v>22</v>
      </c>
      <c r="C500" t="s">
        <v>64</v>
      </c>
      <c r="D500" t="s">
        <v>64</v>
      </c>
      <c r="E500" t="s">
        <v>65</v>
      </c>
      <c r="F500" t="s">
        <v>85</v>
      </c>
      <c r="G500" t="s">
        <v>23</v>
      </c>
      <c r="H500">
        <v>26</v>
      </c>
      <c r="I500">
        <v>21</v>
      </c>
      <c r="J500">
        <v>3</v>
      </c>
      <c r="K500">
        <v>25</v>
      </c>
      <c r="L500">
        <v>25</v>
      </c>
      <c r="M500" t="s">
        <v>67</v>
      </c>
      <c r="N500" t="s">
        <v>67</v>
      </c>
      <c r="O500" t="s">
        <v>67</v>
      </c>
      <c r="P500" t="s">
        <v>67</v>
      </c>
      <c r="Q500" t="s">
        <v>67</v>
      </c>
      <c r="R500" t="s">
        <v>67</v>
      </c>
      <c r="S500" t="s">
        <v>67</v>
      </c>
      <c r="T500" t="s">
        <v>67</v>
      </c>
      <c r="U500" t="s">
        <v>67</v>
      </c>
      <c r="V500" t="s">
        <v>67</v>
      </c>
    </row>
    <row r="501" spans="1:22" hidden="1" x14ac:dyDescent="0.25">
      <c r="A501">
        <v>2012</v>
      </c>
      <c r="B501" t="s">
        <v>22</v>
      </c>
      <c r="C501" t="s">
        <v>64</v>
      </c>
      <c r="D501" t="s">
        <v>64</v>
      </c>
      <c r="E501" t="s">
        <v>65</v>
      </c>
      <c r="F501" t="s">
        <v>78</v>
      </c>
      <c r="G501" t="s">
        <v>23</v>
      </c>
      <c r="H501">
        <v>30</v>
      </c>
      <c r="I501">
        <v>34</v>
      </c>
      <c r="J501">
        <v>6</v>
      </c>
      <c r="K501">
        <v>12</v>
      </c>
      <c r="L501">
        <v>18</v>
      </c>
      <c r="M501" t="s">
        <v>67</v>
      </c>
      <c r="N501" t="s">
        <v>67</v>
      </c>
      <c r="O501" t="s">
        <v>67</v>
      </c>
      <c r="P501" t="s">
        <v>67</v>
      </c>
      <c r="Q501" t="s">
        <v>67</v>
      </c>
      <c r="R501" t="s">
        <v>67</v>
      </c>
      <c r="S501" t="s">
        <v>67</v>
      </c>
      <c r="T501" t="s">
        <v>67</v>
      </c>
      <c r="U501" t="s">
        <v>67</v>
      </c>
      <c r="V501" t="s">
        <v>67</v>
      </c>
    </row>
    <row r="502" spans="1:22" hidden="1" x14ac:dyDescent="0.25">
      <c r="A502">
        <v>2012</v>
      </c>
      <c r="B502" t="s">
        <v>22</v>
      </c>
      <c r="C502" t="s">
        <v>64</v>
      </c>
      <c r="D502" t="s">
        <v>64</v>
      </c>
      <c r="E502" t="s">
        <v>65</v>
      </c>
      <c r="F502" t="s">
        <v>79</v>
      </c>
      <c r="G502" t="s">
        <v>23</v>
      </c>
      <c r="H502">
        <v>30</v>
      </c>
      <c r="I502">
        <v>40</v>
      </c>
      <c r="J502">
        <v>8</v>
      </c>
      <c r="K502">
        <v>7</v>
      </c>
      <c r="L502">
        <v>15</v>
      </c>
      <c r="M502" t="s">
        <v>67</v>
      </c>
      <c r="N502" t="s">
        <v>67</v>
      </c>
      <c r="O502" t="s">
        <v>67</v>
      </c>
      <c r="P502" t="s">
        <v>67</v>
      </c>
      <c r="Q502" t="s">
        <v>67</v>
      </c>
      <c r="R502" t="s">
        <v>67</v>
      </c>
      <c r="S502" t="s">
        <v>67</v>
      </c>
      <c r="T502" t="s">
        <v>67</v>
      </c>
      <c r="U502" t="s">
        <v>67</v>
      </c>
      <c r="V502" t="s">
        <v>67</v>
      </c>
    </row>
    <row r="503" spans="1:22" hidden="1" x14ac:dyDescent="0.25">
      <c r="A503">
        <v>2012</v>
      </c>
      <c r="B503" t="s">
        <v>22</v>
      </c>
      <c r="C503" t="s">
        <v>64</v>
      </c>
      <c r="D503" t="s">
        <v>64</v>
      </c>
      <c r="E503" t="s">
        <v>65</v>
      </c>
      <c r="F503" t="s">
        <v>80</v>
      </c>
      <c r="G503" t="s">
        <v>23</v>
      </c>
      <c r="H503">
        <v>30</v>
      </c>
      <c r="I503">
        <v>45</v>
      </c>
      <c r="J503">
        <v>11</v>
      </c>
      <c r="K503">
        <v>4</v>
      </c>
      <c r="L503">
        <v>10</v>
      </c>
      <c r="M503" t="s">
        <v>67</v>
      </c>
      <c r="N503" t="s">
        <v>67</v>
      </c>
      <c r="O503" t="s">
        <v>67</v>
      </c>
      <c r="P503" t="s">
        <v>67</v>
      </c>
      <c r="Q503" t="s">
        <v>67</v>
      </c>
      <c r="R503" t="s">
        <v>67</v>
      </c>
      <c r="S503" t="s">
        <v>67</v>
      </c>
      <c r="T503" t="s">
        <v>67</v>
      </c>
      <c r="U503" t="s">
        <v>67</v>
      </c>
      <c r="V503" t="s">
        <v>67</v>
      </c>
    </row>
    <row r="504" spans="1:22" hidden="1" x14ac:dyDescent="0.25">
      <c r="A504">
        <v>2012</v>
      </c>
      <c r="B504" t="s">
        <v>22</v>
      </c>
      <c r="C504" t="s">
        <v>64</v>
      </c>
      <c r="D504" t="s">
        <v>64</v>
      </c>
      <c r="E504" t="s">
        <v>65</v>
      </c>
      <c r="F504" t="s">
        <v>81</v>
      </c>
      <c r="G504" t="s">
        <v>23</v>
      </c>
      <c r="H504">
        <v>28</v>
      </c>
      <c r="I504">
        <v>52</v>
      </c>
      <c r="J504">
        <v>11</v>
      </c>
      <c r="K504">
        <v>2</v>
      </c>
      <c r="L504">
        <v>7</v>
      </c>
      <c r="M504" t="s">
        <v>67</v>
      </c>
      <c r="N504" t="s">
        <v>67</v>
      </c>
      <c r="O504" t="s">
        <v>67</v>
      </c>
      <c r="P504" t="s">
        <v>67</v>
      </c>
      <c r="Q504" t="s">
        <v>67</v>
      </c>
      <c r="R504" t="s">
        <v>67</v>
      </c>
      <c r="S504" t="s">
        <v>67</v>
      </c>
      <c r="T504" t="s">
        <v>67</v>
      </c>
      <c r="U504" t="s">
        <v>67</v>
      </c>
      <c r="V504" t="s">
        <v>67</v>
      </c>
    </row>
    <row r="505" spans="1:22" hidden="1" x14ac:dyDescent="0.25">
      <c r="A505">
        <v>2012</v>
      </c>
      <c r="B505" t="s">
        <v>22</v>
      </c>
      <c r="C505" t="s">
        <v>64</v>
      </c>
      <c r="D505" t="s">
        <v>64</v>
      </c>
      <c r="E505" t="s">
        <v>65</v>
      </c>
      <c r="F505" t="s">
        <v>82</v>
      </c>
      <c r="G505" t="s">
        <v>23</v>
      </c>
      <c r="H505">
        <v>26</v>
      </c>
      <c r="I505">
        <v>54</v>
      </c>
      <c r="J505">
        <v>12</v>
      </c>
      <c r="K505">
        <v>2</v>
      </c>
      <c r="L505">
        <v>6</v>
      </c>
      <c r="M505" t="s">
        <v>67</v>
      </c>
      <c r="N505" t="s">
        <v>67</v>
      </c>
      <c r="O505" t="s">
        <v>67</v>
      </c>
      <c r="P505" t="s">
        <v>67</v>
      </c>
      <c r="Q505" t="s">
        <v>67</v>
      </c>
      <c r="R505" t="s">
        <v>67</v>
      </c>
      <c r="S505" t="s">
        <v>67</v>
      </c>
      <c r="T505" t="s">
        <v>67</v>
      </c>
      <c r="U505" t="s">
        <v>67</v>
      </c>
      <c r="V505" t="s">
        <v>67</v>
      </c>
    </row>
    <row r="506" spans="1:22" hidden="1" x14ac:dyDescent="0.25">
      <c r="A506">
        <v>2012</v>
      </c>
      <c r="B506" t="s">
        <v>22</v>
      </c>
      <c r="C506" t="s">
        <v>64</v>
      </c>
      <c r="D506" t="s">
        <v>64</v>
      </c>
      <c r="E506" t="s">
        <v>65</v>
      </c>
      <c r="F506" t="s">
        <v>83</v>
      </c>
      <c r="G506" t="s">
        <v>23</v>
      </c>
      <c r="H506">
        <v>23</v>
      </c>
      <c r="I506">
        <v>57</v>
      </c>
      <c r="J506">
        <v>15</v>
      </c>
      <c r="K506">
        <v>1</v>
      </c>
      <c r="L506">
        <v>4</v>
      </c>
      <c r="M506" t="s">
        <v>67</v>
      </c>
      <c r="N506" t="s">
        <v>67</v>
      </c>
      <c r="O506" t="s">
        <v>67</v>
      </c>
      <c r="P506" t="s">
        <v>67</v>
      </c>
      <c r="Q506" t="s">
        <v>67</v>
      </c>
      <c r="R506" t="s">
        <v>67</v>
      </c>
      <c r="S506" t="s">
        <v>67</v>
      </c>
      <c r="T506" t="s">
        <v>67</v>
      </c>
      <c r="U506" t="s">
        <v>67</v>
      </c>
      <c r="V506" t="s">
        <v>67</v>
      </c>
    </row>
    <row r="507" spans="1:22" hidden="1" x14ac:dyDescent="0.25">
      <c r="A507">
        <v>2012</v>
      </c>
      <c r="B507" t="s">
        <v>22</v>
      </c>
      <c r="C507" t="s">
        <v>64</v>
      </c>
      <c r="D507" t="s">
        <v>64</v>
      </c>
      <c r="E507" t="s">
        <v>65</v>
      </c>
      <c r="F507" t="s">
        <v>84</v>
      </c>
      <c r="G507" t="s">
        <v>23</v>
      </c>
      <c r="H507">
        <v>23</v>
      </c>
      <c r="I507">
        <v>59</v>
      </c>
      <c r="J507">
        <v>13</v>
      </c>
      <c r="K507">
        <v>1</v>
      </c>
      <c r="L507">
        <v>4</v>
      </c>
      <c r="M507" t="s">
        <v>67</v>
      </c>
      <c r="N507" t="s">
        <v>67</v>
      </c>
      <c r="O507" t="s">
        <v>67</v>
      </c>
      <c r="P507" t="s">
        <v>67</v>
      </c>
      <c r="Q507" t="s">
        <v>67</v>
      </c>
      <c r="R507" t="s">
        <v>67</v>
      </c>
      <c r="S507" t="s">
        <v>67</v>
      </c>
      <c r="T507" t="s">
        <v>67</v>
      </c>
      <c r="U507" t="s">
        <v>67</v>
      </c>
      <c r="V507" t="s">
        <v>67</v>
      </c>
    </row>
    <row r="508" spans="1:22" hidden="1" x14ac:dyDescent="0.25">
      <c r="A508">
        <v>2012</v>
      </c>
      <c r="B508" t="s">
        <v>22</v>
      </c>
      <c r="C508" t="s">
        <v>64</v>
      </c>
      <c r="D508" t="s">
        <v>64</v>
      </c>
      <c r="E508" t="s">
        <v>65</v>
      </c>
      <c r="F508" t="s">
        <v>91</v>
      </c>
      <c r="G508" t="s">
        <v>23</v>
      </c>
      <c r="H508">
        <v>20</v>
      </c>
      <c r="I508">
        <v>62</v>
      </c>
      <c r="J508">
        <v>15</v>
      </c>
      <c r="K508">
        <v>1</v>
      </c>
      <c r="L508">
        <v>2</v>
      </c>
      <c r="M508" t="s">
        <v>67</v>
      </c>
      <c r="N508" t="s">
        <v>67</v>
      </c>
      <c r="O508" t="s">
        <v>67</v>
      </c>
      <c r="P508" t="s">
        <v>67</v>
      </c>
      <c r="Q508" t="s">
        <v>67</v>
      </c>
      <c r="R508" t="s">
        <v>67</v>
      </c>
      <c r="S508" t="s">
        <v>67</v>
      </c>
      <c r="T508" t="s">
        <v>67</v>
      </c>
      <c r="U508" t="s">
        <v>67</v>
      </c>
      <c r="V508" t="s">
        <v>67</v>
      </c>
    </row>
    <row r="509" spans="1:22" x14ac:dyDescent="0.25">
      <c r="A509">
        <v>2013</v>
      </c>
      <c r="B509" t="s">
        <v>22</v>
      </c>
      <c r="C509" t="s">
        <v>64</v>
      </c>
      <c r="D509" t="s">
        <v>64</v>
      </c>
      <c r="E509" t="s">
        <v>65</v>
      </c>
      <c r="F509" t="s">
        <v>88</v>
      </c>
      <c r="G509" t="s">
        <v>23</v>
      </c>
      <c r="H509">
        <v>25</v>
      </c>
      <c r="I509">
        <v>44</v>
      </c>
      <c r="J509">
        <v>18</v>
      </c>
      <c r="K509">
        <v>4</v>
      </c>
      <c r="L509">
        <v>9</v>
      </c>
      <c r="M509">
        <f>J509+I509</f>
        <v>62</v>
      </c>
      <c r="N509">
        <v>-1.1305240730525412E-2</v>
      </c>
      <c r="O509" t="s">
        <v>67</v>
      </c>
      <c r="P509" t="s">
        <v>67</v>
      </c>
      <c r="Q509" t="s">
        <v>67</v>
      </c>
      <c r="R509" t="s">
        <v>67</v>
      </c>
      <c r="S509" t="s">
        <v>67</v>
      </c>
      <c r="T509" t="s">
        <v>67</v>
      </c>
      <c r="U509" t="s">
        <v>67</v>
      </c>
      <c r="V509" t="s">
        <v>67</v>
      </c>
    </row>
    <row r="510" spans="1:22" hidden="1" x14ac:dyDescent="0.25">
      <c r="A510">
        <v>2013</v>
      </c>
      <c r="B510" t="s">
        <v>22</v>
      </c>
      <c r="C510" t="s">
        <v>64</v>
      </c>
      <c r="D510" t="s">
        <v>64</v>
      </c>
      <c r="E510" t="s">
        <v>65</v>
      </c>
      <c r="F510" t="s">
        <v>68</v>
      </c>
      <c r="G510" t="s">
        <v>23</v>
      </c>
      <c r="H510">
        <v>29</v>
      </c>
      <c r="I510">
        <v>42</v>
      </c>
      <c r="J510">
        <v>13</v>
      </c>
      <c r="K510">
        <v>5</v>
      </c>
      <c r="L510">
        <v>11</v>
      </c>
      <c r="M510" t="s">
        <v>67</v>
      </c>
      <c r="N510" t="s">
        <v>67</v>
      </c>
      <c r="O510" t="s">
        <v>67</v>
      </c>
      <c r="P510" t="s">
        <v>67</v>
      </c>
      <c r="Q510" t="s">
        <v>67</v>
      </c>
      <c r="R510" t="s">
        <v>67</v>
      </c>
      <c r="S510" t="s">
        <v>67</v>
      </c>
      <c r="T510" t="s">
        <v>67</v>
      </c>
      <c r="U510" t="s">
        <v>67</v>
      </c>
      <c r="V510" t="s">
        <v>67</v>
      </c>
    </row>
    <row r="511" spans="1:22" hidden="1" x14ac:dyDescent="0.25">
      <c r="A511">
        <v>2013</v>
      </c>
      <c r="B511" t="s">
        <v>22</v>
      </c>
      <c r="C511" t="s">
        <v>64</v>
      </c>
      <c r="D511" t="s">
        <v>64</v>
      </c>
      <c r="E511" t="s">
        <v>65</v>
      </c>
      <c r="F511" t="s">
        <v>85</v>
      </c>
      <c r="G511" t="s">
        <v>23</v>
      </c>
      <c r="H511">
        <v>29</v>
      </c>
      <c r="I511">
        <v>40</v>
      </c>
      <c r="J511">
        <v>13</v>
      </c>
      <c r="K511">
        <v>6</v>
      </c>
      <c r="L511">
        <v>12</v>
      </c>
      <c r="M511" t="s">
        <v>67</v>
      </c>
      <c r="N511" t="s">
        <v>67</v>
      </c>
      <c r="O511" t="s">
        <v>67</v>
      </c>
      <c r="P511" t="s">
        <v>67</v>
      </c>
      <c r="Q511" t="s">
        <v>67</v>
      </c>
      <c r="R511" t="s">
        <v>67</v>
      </c>
      <c r="S511" t="s">
        <v>67</v>
      </c>
      <c r="T511" t="s">
        <v>67</v>
      </c>
      <c r="U511" t="s">
        <v>67</v>
      </c>
      <c r="V511" t="s">
        <v>67</v>
      </c>
    </row>
    <row r="512" spans="1:22" hidden="1" x14ac:dyDescent="0.25">
      <c r="A512">
        <v>2013</v>
      </c>
      <c r="B512" t="s">
        <v>22</v>
      </c>
      <c r="C512" t="s">
        <v>64</v>
      </c>
      <c r="D512" t="s">
        <v>64</v>
      </c>
      <c r="E512" t="s">
        <v>65</v>
      </c>
      <c r="F512" t="s">
        <v>69</v>
      </c>
      <c r="G512" t="s">
        <v>23</v>
      </c>
      <c r="H512">
        <v>29</v>
      </c>
      <c r="I512">
        <v>41</v>
      </c>
      <c r="J512">
        <v>13</v>
      </c>
      <c r="K512">
        <v>5</v>
      </c>
      <c r="L512">
        <v>12</v>
      </c>
      <c r="M512" t="s">
        <v>67</v>
      </c>
      <c r="N512" t="s">
        <v>67</v>
      </c>
      <c r="O512" t="s">
        <v>67</v>
      </c>
      <c r="P512" t="s">
        <v>67</v>
      </c>
      <c r="Q512" t="s">
        <v>67</v>
      </c>
      <c r="R512" t="s">
        <v>67</v>
      </c>
      <c r="S512" t="s">
        <v>67</v>
      </c>
      <c r="T512" t="s">
        <v>67</v>
      </c>
      <c r="U512" t="s">
        <v>67</v>
      </c>
      <c r="V512" t="s">
        <v>67</v>
      </c>
    </row>
    <row r="513" spans="1:22" hidden="1" x14ac:dyDescent="0.25">
      <c r="A513">
        <v>2013</v>
      </c>
      <c r="B513" t="s">
        <v>22</v>
      </c>
      <c r="C513" t="s">
        <v>64</v>
      </c>
      <c r="D513" t="s">
        <v>64</v>
      </c>
      <c r="E513" t="s">
        <v>65</v>
      </c>
      <c r="F513" t="s">
        <v>70</v>
      </c>
      <c r="G513" t="s">
        <v>23</v>
      </c>
      <c r="H513">
        <v>28</v>
      </c>
      <c r="I513">
        <v>42</v>
      </c>
      <c r="J513">
        <v>14</v>
      </c>
      <c r="K513">
        <v>5</v>
      </c>
      <c r="L513">
        <v>11</v>
      </c>
      <c r="M513" t="s">
        <v>67</v>
      </c>
      <c r="N513" t="s">
        <v>67</v>
      </c>
      <c r="O513" t="s">
        <v>67</v>
      </c>
      <c r="P513" t="s">
        <v>67</v>
      </c>
      <c r="Q513" t="s">
        <v>67</v>
      </c>
      <c r="R513" t="s">
        <v>67</v>
      </c>
      <c r="S513" t="s">
        <v>67</v>
      </c>
      <c r="T513" t="s">
        <v>67</v>
      </c>
      <c r="U513" t="s">
        <v>67</v>
      </c>
      <c r="V513" t="s">
        <v>67</v>
      </c>
    </row>
    <row r="514" spans="1:22" hidden="1" x14ac:dyDescent="0.25">
      <c r="A514">
        <v>2013</v>
      </c>
      <c r="B514" t="s">
        <v>22</v>
      </c>
      <c r="C514" t="s">
        <v>64</v>
      </c>
      <c r="D514" t="s">
        <v>64</v>
      </c>
      <c r="E514" t="s">
        <v>65</v>
      </c>
      <c r="F514" t="s">
        <v>71</v>
      </c>
      <c r="G514" t="s">
        <v>23</v>
      </c>
      <c r="H514">
        <v>27</v>
      </c>
      <c r="I514">
        <v>44</v>
      </c>
      <c r="J514">
        <v>15</v>
      </c>
      <c r="K514">
        <v>4</v>
      </c>
      <c r="L514">
        <v>10</v>
      </c>
      <c r="M514" t="s">
        <v>67</v>
      </c>
      <c r="N514" t="s">
        <v>67</v>
      </c>
      <c r="O514" t="s">
        <v>67</v>
      </c>
      <c r="P514" t="s">
        <v>67</v>
      </c>
      <c r="Q514" t="s">
        <v>67</v>
      </c>
      <c r="R514" t="s">
        <v>67</v>
      </c>
      <c r="S514" t="s">
        <v>67</v>
      </c>
      <c r="T514" t="s">
        <v>67</v>
      </c>
      <c r="U514" t="s">
        <v>67</v>
      </c>
      <c r="V514" t="s">
        <v>67</v>
      </c>
    </row>
    <row r="515" spans="1:22" hidden="1" x14ac:dyDescent="0.25">
      <c r="A515">
        <v>2013</v>
      </c>
      <c r="B515" t="s">
        <v>22</v>
      </c>
      <c r="C515" t="s">
        <v>64</v>
      </c>
      <c r="D515" t="s">
        <v>64</v>
      </c>
      <c r="E515" t="s">
        <v>65</v>
      </c>
      <c r="F515" t="s">
        <v>72</v>
      </c>
      <c r="G515" t="s">
        <v>23</v>
      </c>
      <c r="H515">
        <v>26</v>
      </c>
      <c r="I515">
        <v>44</v>
      </c>
      <c r="J515">
        <v>17</v>
      </c>
      <c r="K515">
        <v>4</v>
      </c>
      <c r="L515">
        <v>9</v>
      </c>
      <c r="M515" t="s">
        <v>67</v>
      </c>
      <c r="N515" t="s">
        <v>67</v>
      </c>
      <c r="O515" t="s">
        <v>67</v>
      </c>
      <c r="P515" t="s">
        <v>67</v>
      </c>
      <c r="Q515" t="s">
        <v>67</v>
      </c>
      <c r="R515" t="s">
        <v>67</v>
      </c>
      <c r="S515" t="s">
        <v>67</v>
      </c>
      <c r="T515" t="s">
        <v>67</v>
      </c>
      <c r="U515" t="s">
        <v>67</v>
      </c>
      <c r="V515" t="s">
        <v>67</v>
      </c>
    </row>
    <row r="516" spans="1:22" hidden="1" x14ac:dyDescent="0.25">
      <c r="A516">
        <v>2013</v>
      </c>
      <c r="B516" t="s">
        <v>22</v>
      </c>
      <c r="C516" t="s">
        <v>64</v>
      </c>
      <c r="D516" t="s">
        <v>64</v>
      </c>
      <c r="E516" t="s">
        <v>65</v>
      </c>
      <c r="F516" t="s">
        <v>73</v>
      </c>
      <c r="G516" t="s">
        <v>23</v>
      </c>
      <c r="H516">
        <v>25</v>
      </c>
      <c r="I516">
        <v>46</v>
      </c>
      <c r="J516">
        <v>18</v>
      </c>
      <c r="K516">
        <v>3</v>
      </c>
      <c r="L516">
        <v>8</v>
      </c>
      <c r="M516" t="s">
        <v>67</v>
      </c>
      <c r="N516" t="s">
        <v>67</v>
      </c>
      <c r="O516" t="s">
        <v>67</v>
      </c>
      <c r="P516" t="s">
        <v>67</v>
      </c>
      <c r="Q516" t="s">
        <v>67</v>
      </c>
      <c r="R516" t="s">
        <v>67</v>
      </c>
      <c r="S516" t="s">
        <v>67</v>
      </c>
      <c r="T516" t="s">
        <v>67</v>
      </c>
      <c r="U516" t="s">
        <v>67</v>
      </c>
      <c r="V516" t="s">
        <v>67</v>
      </c>
    </row>
    <row r="517" spans="1:22" hidden="1" x14ac:dyDescent="0.25">
      <c r="A517">
        <v>2013</v>
      </c>
      <c r="B517" t="s">
        <v>22</v>
      </c>
      <c r="C517" t="s">
        <v>64</v>
      </c>
      <c r="D517" t="s">
        <v>64</v>
      </c>
      <c r="E517" t="s">
        <v>65</v>
      </c>
      <c r="F517" t="s">
        <v>74</v>
      </c>
      <c r="G517" t="s">
        <v>23</v>
      </c>
      <c r="H517">
        <v>25</v>
      </c>
      <c r="I517">
        <v>46</v>
      </c>
      <c r="J517">
        <v>18</v>
      </c>
      <c r="K517">
        <v>3</v>
      </c>
      <c r="L517">
        <v>8</v>
      </c>
      <c r="M517" t="s">
        <v>67</v>
      </c>
      <c r="N517" t="s">
        <v>67</v>
      </c>
      <c r="O517" t="s">
        <v>67</v>
      </c>
      <c r="P517" t="s">
        <v>67</v>
      </c>
      <c r="Q517" t="s">
        <v>67</v>
      </c>
      <c r="R517" t="s">
        <v>67</v>
      </c>
      <c r="S517" t="s">
        <v>67</v>
      </c>
      <c r="T517" t="s">
        <v>67</v>
      </c>
      <c r="U517" t="s">
        <v>67</v>
      </c>
      <c r="V517" t="s">
        <v>67</v>
      </c>
    </row>
    <row r="518" spans="1:22" hidden="1" x14ac:dyDescent="0.25">
      <c r="A518">
        <v>2013</v>
      </c>
      <c r="B518" t="s">
        <v>22</v>
      </c>
      <c r="C518" t="s">
        <v>64</v>
      </c>
      <c r="D518" t="s">
        <v>64</v>
      </c>
      <c r="E518" t="s">
        <v>65</v>
      </c>
      <c r="F518" t="s">
        <v>75</v>
      </c>
      <c r="G518" t="s">
        <v>23</v>
      </c>
      <c r="H518">
        <v>26</v>
      </c>
      <c r="I518">
        <v>46</v>
      </c>
      <c r="J518">
        <v>17</v>
      </c>
      <c r="K518">
        <v>3</v>
      </c>
      <c r="L518">
        <v>8</v>
      </c>
      <c r="M518" t="s">
        <v>67</v>
      </c>
      <c r="N518" t="s">
        <v>67</v>
      </c>
      <c r="O518" t="s">
        <v>67</v>
      </c>
      <c r="P518" t="s">
        <v>67</v>
      </c>
      <c r="Q518" t="s">
        <v>67</v>
      </c>
      <c r="R518" t="s">
        <v>67</v>
      </c>
      <c r="S518" t="s">
        <v>67</v>
      </c>
      <c r="T518" t="s">
        <v>67</v>
      </c>
      <c r="U518" t="s">
        <v>67</v>
      </c>
      <c r="V518" t="s">
        <v>67</v>
      </c>
    </row>
    <row r="519" spans="1:22" hidden="1" x14ac:dyDescent="0.25">
      <c r="A519">
        <v>2013</v>
      </c>
      <c r="B519" t="s">
        <v>22</v>
      </c>
      <c r="C519" t="s">
        <v>64</v>
      </c>
      <c r="D519" t="s">
        <v>64</v>
      </c>
      <c r="E519" t="s">
        <v>65</v>
      </c>
      <c r="F519" t="s">
        <v>76</v>
      </c>
      <c r="G519" t="s">
        <v>23</v>
      </c>
      <c r="H519">
        <v>26</v>
      </c>
      <c r="I519">
        <v>46</v>
      </c>
      <c r="J519">
        <v>17</v>
      </c>
      <c r="K519">
        <v>3</v>
      </c>
      <c r="L519">
        <v>8</v>
      </c>
      <c r="M519" t="s">
        <v>67</v>
      </c>
      <c r="N519" t="s">
        <v>67</v>
      </c>
      <c r="O519" t="s">
        <v>67</v>
      </c>
      <c r="P519" t="s">
        <v>67</v>
      </c>
      <c r="Q519" t="s">
        <v>67</v>
      </c>
      <c r="R519" t="s">
        <v>67</v>
      </c>
      <c r="S519" t="s">
        <v>67</v>
      </c>
      <c r="T519" t="s">
        <v>67</v>
      </c>
      <c r="U519" t="s">
        <v>67</v>
      </c>
      <c r="V519" t="s">
        <v>67</v>
      </c>
    </row>
    <row r="520" spans="1:22" hidden="1" x14ac:dyDescent="0.25">
      <c r="A520">
        <v>2013</v>
      </c>
      <c r="B520" t="s">
        <v>22</v>
      </c>
      <c r="C520" t="s">
        <v>64</v>
      </c>
      <c r="D520" t="s">
        <v>64</v>
      </c>
      <c r="E520" t="s">
        <v>65</v>
      </c>
      <c r="F520" t="s">
        <v>77</v>
      </c>
      <c r="G520" t="s">
        <v>23</v>
      </c>
      <c r="H520">
        <v>25</v>
      </c>
      <c r="I520">
        <v>49</v>
      </c>
      <c r="J520">
        <v>17</v>
      </c>
      <c r="K520">
        <v>3</v>
      </c>
      <c r="L520">
        <v>6</v>
      </c>
      <c r="M520" t="s">
        <v>67</v>
      </c>
      <c r="N520" t="s">
        <v>67</v>
      </c>
      <c r="O520" t="s">
        <v>67</v>
      </c>
      <c r="P520" t="s">
        <v>67</v>
      </c>
      <c r="Q520" t="s">
        <v>67</v>
      </c>
      <c r="R520" t="s">
        <v>67</v>
      </c>
      <c r="S520" t="s">
        <v>67</v>
      </c>
      <c r="T520" t="s">
        <v>67</v>
      </c>
      <c r="U520" t="s">
        <v>67</v>
      </c>
      <c r="V520" t="s">
        <v>67</v>
      </c>
    </row>
    <row r="521" spans="1:22" hidden="1" x14ac:dyDescent="0.25">
      <c r="A521">
        <v>2013</v>
      </c>
      <c r="B521" t="s">
        <v>22</v>
      </c>
      <c r="C521" t="s">
        <v>64</v>
      </c>
      <c r="D521" t="s">
        <v>64</v>
      </c>
      <c r="E521" t="s">
        <v>65</v>
      </c>
      <c r="F521" t="s">
        <v>78</v>
      </c>
      <c r="G521" t="s">
        <v>23</v>
      </c>
      <c r="H521">
        <v>24</v>
      </c>
      <c r="I521">
        <v>51</v>
      </c>
      <c r="J521">
        <v>17</v>
      </c>
      <c r="K521">
        <v>2</v>
      </c>
      <c r="L521">
        <v>6</v>
      </c>
      <c r="M521" t="s">
        <v>67</v>
      </c>
      <c r="N521" t="s">
        <v>67</v>
      </c>
      <c r="O521" t="s">
        <v>67</v>
      </c>
      <c r="P521" t="s">
        <v>67</v>
      </c>
      <c r="Q521" t="s">
        <v>67</v>
      </c>
      <c r="R521" t="s">
        <v>67</v>
      </c>
      <c r="S521" t="s">
        <v>67</v>
      </c>
      <c r="T521" t="s">
        <v>67</v>
      </c>
      <c r="U521" t="s">
        <v>67</v>
      </c>
      <c r="V521" t="s">
        <v>67</v>
      </c>
    </row>
    <row r="522" spans="1:22" hidden="1" x14ac:dyDescent="0.25">
      <c r="A522">
        <v>2013</v>
      </c>
      <c r="B522" t="s">
        <v>22</v>
      </c>
      <c r="C522" t="s">
        <v>64</v>
      </c>
      <c r="D522" t="s">
        <v>64</v>
      </c>
      <c r="E522" t="s">
        <v>65</v>
      </c>
      <c r="F522" t="s">
        <v>79</v>
      </c>
      <c r="G522" t="s">
        <v>23</v>
      </c>
      <c r="H522">
        <v>25</v>
      </c>
      <c r="I522">
        <v>51</v>
      </c>
      <c r="J522">
        <v>16</v>
      </c>
      <c r="K522">
        <v>2</v>
      </c>
      <c r="L522">
        <v>6</v>
      </c>
      <c r="M522" t="s">
        <v>67</v>
      </c>
      <c r="N522" t="s">
        <v>67</v>
      </c>
      <c r="O522" t="s">
        <v>67</v>
      </c>
      <c r="P522" t="s">
        <v>67</v>
      </c>
      <c r="Q522" t="s">
        <v>67</v>
      </c>
      <c r="R522" t="s">
        <v>67</v>
      </c>
      <c r="S522" t="s">
        <v>67</v>
      </c>
      <c r="T522" t="s">
        <v>67</v>
      </c>
      <c r="U522" t="s">
        <v>67</v>
      </c>
      <c r="V522" t="s">
        <v>67</v>
      </c>
    </row>
    <row r="523" spans="1:22" hidden="1" x14ac:dyDescent="0.25">
      <c r="A523">
        <v>2013</v>
      </c>
      <c r="B523" t="s">
        <v>22</v>
      </c>
      <c r="C523" t="s">
        <v>64</v>
      </c>
      <c r="D523" t="s">
        <v>64</v>
      </c>
      <c r="E523" t="s">
        <v>65</v>
      </c>
      <c r="F523" t="s">
        <v>80</v>
      </c>
      <c r="G523" t="s">
        <v>23</v>
      </c>
      <c r="H523">
        <v>27</v>
      </c>
      <c r="I523">
        <v>51</v>
      </c>
      <c r="J523">
        <v>14</v>
      </c>
      <c r="K523">
        <v>2</v>
      </c>
      <c r="L523">
        <v>6</v>
      </c>
      <c r="M523" t="s">
        <v>67</v>
      </c>
      <c r="N523" t="s">
        <v>67</v>
      </c>
      <c r="O523" t="s">
        <v>67</v>
      </c>
      <c r="P523" t="s">
        <v>67</v>
      </c>
      <c r="Q523" t="s">
        <v>67</v>
      </c>
      <c r="R523" t="s">
        <v>67</v>
      </c>
      <c r="S523" t="s">
        <v>67</v>
      </c>
      <c r="T523" t="s">
        <v>67</v>
      </c>
      <c r="U523" t="s">
        <v>67</v>
      </c>
      <c r="V523" t="s">
        <v>67</v>
      </c>
    </row>
    <row r="524" spans="1:22" hidden="1" x14ac:dyDescent="0.25">
      <c r="A524">
        <v>2013</v>
      </c>
      <c r="B524" t="s">
        <v>22</v>
      </c>
      <c r="C524" t="s">
        <v>64</v>
      </c>
      <c r="D524" t="s">
        <v>64</v>
      </c>
      <c r="E524" t="s">
        <v>65</v>
      </c>
      <c r="F524" t="s">
        <v>81</v>
      </c>
      <c r="G524" t="s">
        <v>23</v>
      </c>
      <c r="H524">
        <v>28</v>
      </c>
      <c r="I524">
        <v>52</v>
      </c>
      <c r="J524">
        <v>12</v>
      </c>
      <c r="K524">
        <v>2</v>
      </c>
      <c r="L524">
        <v>6</v>
      </c>
      <c r="M524" t="s">
        <v>67</v>
      </c>
      <c r="N524" t="s">
        <v>67</v>
      </c>
      <c r="O524" t="s">
        <v>67</v>
      </c>
      <c r="P524" t="s">
        <v>67</v>
      </c>
      <c r="Q524" t="s">
        <v>67</v>
      </c>
      <c r="R524" t="s">
        <v>67</v>
      </c>
      <c r="S524" t="s">
        <v>67</v>
      </c>
      <c r="T524" t="s">
        <v>67</v>
      </c>
      <c r="U524" t="s">
        <v>67</v>
      </c>
      <c r="V524" t="s">
        <v>67</v>
      </c>
    </row>
    <row r="525" spans="1:22" hidden="1" x14ac:dyDescent="0.25">
      <c r="A525">
        <v>2013</v>
      </c>
      <c r="B525" t="s">
        <v>22</v>
      </c>
      <c r="C525" t="s">
        <v>64</v>
      </c>
      <c r="D525" t="s">
        <v>64</v>
      </c>
      <c r="E525" t="s">
        <v>65</v>
      </c>
      <c r="F525" t="s">
        <v>82</v>
      </c>
      <c r="G525" t="s">
        <v>23</v>
      </c>
      <c r="H525">
        <v>29</v>
      </c>
      <c r="I525">
        <v>53</v>
      </c>
      <c r="J525">
        <v>10</v>
      </c>
      <c r="K525">
        <v>2</v>
      </c>
      <c r="L525">
        <v>6</v>
      </c>
      <c r="M525" t="s">
        <v>67</v>
      </c>
      <c r="N525" t="s">
        <v>67</v>
      </c>
      <c r="O525" t="s">
        <v>67</v>
      </c>
      <c r="P525" t="s">
        <v>67</v>
      </c>
      <c r="Q525" t="s">
        <v>67</v>
      </c>
      <c r="R525" t="s">
        <v>67</v>
      </c>
      <c r="S525" t="s">
        <v>67</v>
      </c>
      <c r="T525" t="s">
        <v>67</v>
      </c>
      <c r="U525" t="s">
        <v>67</v>
      </c>
      <c r="V525" t="s">
        <v>67</v>
      </c>
    </row>
    <row r="526" spans="1:22" x14ac:dyDescent="0.25">
      <c r="A526">
        <v>2014</v>
      </c>
      <c r="B526" t="s">
        <v>22</v>
      </c>
      <c r="C526" t="s">
        <v>64</v>
      </c>
      <c r="D526" t="s">
        <v>64</v>
      </c>
      <c r="E526" t="s">
        <v>65</v>
      </c>
      <c r="F526" t="s">
        <v>88</v>
      </c>
      <c r="G526" t="s">
        <v>23</v>
      </c>
      <c r="H526">
        <v>19</v>
      </c>
      <c r="I526">
        <v>50</v>
      </c>
      <c r="J526">
        <v>24</v>
      </c>
      <c r="K526">
        <v>2</v>
      </c>
      <c r="L526">
        <v>5</v>
      </c>
      <c r="M526">
        <f>J526+I526</f>
        <v>74</v>
      </c>
      <c r="N526">
        <v>5.5271650007159501E-2</v>
      </c>
      <c r="O526" t="s">
        <v>67</v>
      </c>
      <c r="P526" t="s">
        <v>67</v>
      </c>
      <c r="Q526" t="s">
        <v>67</v>
      </c>
    </row>
    <row r="527" spans="1:22" hidden="1" x14ac:dyDescent="0.25">
      <c r="A527">
        <v>2014</v>
      </c>
      <c r="B527" t="s">
        <v>22</v>
      </c>
      <c r="C527" t="s">
        <v>64</v>
      </c>
      <c r="D527" t="s">
        <v>64</v>
      </c>
      <c r="E527" t="s">
        <v>65</v>
      </c>
      <c r="F527" t="s">
        <v>68</v>
      </c>
      <c r="G527" t="s">
        <v>23</v>
      </c>
      <c r="H527">
        <v>19</v>
      </c>
      <c r="I527">
        <v>51</v>
      </c>
      <c r="J527">
        <v>23</v>
      </c>
      <c r="K527">
        <v>2</v>
      </c>
      <c r="L527">
        <v>5</v>
      </c>
      <c r="M527">
        <v>9</v>
      </c>
      <c r="N527">
        <v>13</v>
      </c>
      <c r="O527">
        <v>13</v>
      </c>
      <c r="P527">
        <v>25</v>
      </c>
      <c r="Q527">
        <v>40</v>
      </c>
      <c r="R527">
        <v>13</v>
      </c>
      <c r="S527">
        <v>11</v>
      </c>
      <c r="T527">
        <v>5</v>
      </c>
      <c r="U527">
        <v>42</v>
      </c>
      <c r="V527">
        <v>29</v>
      </c>
    </row>
    <row r="528" spans="1:22" hidden="1" x14ac:dyDescent="0.25">
      <c r="A528">
        <v>2014</v>
      </c>
      <c r="B528" t="s">
        <v>22</v>
      </c>
      <c r="C528" t="s">
        <v>64</v>
      </c>
      <c r="D528" t="s">
        <v>64</v>
      </c>
      <c r="E528" t="s">
        <v>65</v>
      </c>
      <c r="F528" t="s">
        <v>85</v>
      </c>
      <c r="G528" t="s">
        <v>23</v>
      </c>
      <c r="H528">
        <v>19</v>
      </c>
      <c r="I528">
        <v>52</v>
      </c>
      <c r="J528">
        <v>22</v>
      </c>
      <c r="K528">
        <v>2</v>
      </c>
      <c r="L528">
        <v>5</v>
      </c>
      <c r="M528">
        <v>9</v>
      </c>
      <c r="N528">
        <v>13</v>
      </c>
      <c r="O528">
        <v>13</v>
      </c>
      <c r="P528">
        <v>26</v>
      </c>
      <c r="Q528">
        <v>39</v>
      </c>
      <c r="R528">
        <v>13</v>
      </c>
      <c r="S528">
        <v>12</v>
      </c>
      <c r="T528">
        <v>6</v>
      </c>
      <c r="U528">
        <v>40</v>
      </c>
      <c r="V528">
        <v>29</v>
      </c>
    </row>
    <row r="529" spans="1:22" hidden="1" x14ac:dyDescent="0.25">
      <c r="A529">
        <v>2014</v>
      </c>
      <c r="B529" t="s">
        <v>22</v>
      </c>
      <c r="C529" t="s">
        <v>64</v>
      </c>
      <c r="D529" t="s">
        <v>64</v>
      </c>
      <c r="E529" t="s">
        <v>65</v>
      </c>
      <c r="F529" t="s">
        <v>69</v>
      </c>
      <c r="G529" t="s">
        <v>23</v>
      </c>
      <c r="H529">
        <v>19</v>
      </c>
      <c r="I529">
        <v>52</v>
      </c>
      <c r="J529">
        <v>22</v>
      </c>
      <c r="K529">
        <v>2</v>
      </c>
      <c r="L529">
        <v>5</v>
      </c>
      <c r="M529">
        <v>9</v>
      </c>
      <c r="N529">
        <v>14</v>
      </c>
      <c r="O529">
        <v>13</v>
      </c>
      <c r="P529">
        <v>24</v>
      </c>
      <c r="Q529">
        <v>40</v>
      </c>
      <c r="R529">
        <v>13</v>
      </c>
      <c r="S529">
        <v>12</v>
      </c>
      <c r="T529">
        <v>5</v>
      </c>
      <c r="U529">
        <v>41</v>
      </c>
      <c r="V529">
        <v>29</v>
      </c>
    </row>
    <row r="530" spans="1:22" hidden="1" x14ac:dyDescent="0.25">
      <c r="A530">
        <v>2014</v>
      </c>
      <c r="B530" t="s">
        <v>22</v>
      </c>
      <c r="C530" t="s">
        <v>64</v>
      </c>
      <c r="D530" t="s">
        <v>64</v>
      </c>
      <c r="E530" t="s">
        <v>65</v>
      </c>
      <c r="F530" t="s">
        <v>70</v>
      </c>
      <c r="G530" t="s">
        <v>23</v>
      </c>
      <c r="H530">
        <v>19</v>
      </c>
      <c r="I530">
        <v>52</v>
      </c>
      <c r="J530">
        <v>22</v>
      </c>
      <c r="K530">
        <v>2</v>
      </c>
      <c r="L530">
        <v>5</v>
      </c>
      <c r="M530">
        <v>9</v>
      </c>
      <c r="N530">
        <v>14</v>
      </c>
      <c r="O530">
        <v>13</v>
      </c>
      <c r="P530">
        <v>24</v>
      </c>
      <c r="Q530">
        <v>40</v>
      </c>
      <c r="R530">
        <v>14</v>
      </c>
      <c r="S530">
        <v>11</v>
      </c>
      <c r="T530">
        <v>5</v>
      </c>
      <c r="U530">
        <v>42</v>
      </c>
      <c r="V530">
        <v>28</v>
      </c>
    </row>
    <row r="531" spans="1:22" hidden="1" x14ac:dyDescent="0.25">
      <c r="A531">
        <v>2014</v>
      </c>
      <c r="B531" t="s">
        <v>22</v>
      </c>
      <c r="C531" t="s">
        <v>64</v>
      </c>
      <c r="D531" t="s">
        <v>64</v>
      </c>
      <c r="E531" t="s">
        <v>65</v>
      </c>
      <c r="F531" t="s">
        <v>71</v>
      </c>
      <c r="G531" t="s">
        <v>23</v>
      </c>
      <c r="H531">
        <v>20</v>
      </c>
      <c r="I531">
        <v>52</v>
      </c>
      <c r="J531">
        <v>21</v>
      </c>
      <c r="K531">
        <v>2</v>
      </c>
      <c r="L531">
        <v>5</v>
      </c>
      <c r="M531">
        <v>9</v>
      </c>
      <c r="N531">
        <v>14</v>
      </c>
      <c r="O531">
        <v>12</v>
      </c>
      <c r="P531">
        <v>25</v>
      </c>
      <c r="Q531">
        <v>40</v>
      </c>
      <c r="R531">
        <v>15</v>
      </c>
      <c r="S531">
        <v>10</v>
      </c>
      <c r="T531">
        <v>4</v>
      </c>
      <c r="U531">
        <v>44</v>
      </c>
      <c r="V531">
        <v>27</v>
      </c>
    </row>
    <row r="532" spans="1:22" hidden="1" x14ac:dyDescent="0.25">
      <c r="A532">
        <v>2014</v>
      </c>
      <c r="B532" t="s">
        <v>22</v>
      </c>
      <c r="C532" t="s">
        <v>64</v>
      </c>
      <c r="D532" t="s">
        <v>64</v>
      </c>
      <c r="E532" t="s">
        <v>65</v>
      </c>
      <c r="F532" t="s">
        <v>72</v>
      </c>
      <c r="G532" t="s">
        <v>23</v>
      </c>
      <c r="H532">
        <v>20</v>
      </c>
      <c r="I532">
        <v>51</v>
      </c>
      <c r="J532">
        <v>21</v>
      </c>
      <c r="K532">
        <v>2</v>
      </c>
      <c r="L532">
        <v>6</v>
      </c>
      <c r="M532">
        <v>8</v>
      </c>
      <c r="N532">
        <v>15</v>
      </c>
      <c r="O532">
        <v>12</v>
      </c>
      <c r="P532">
        <v>24</v>
      </c>
      <c r="Q532">
        <v>41</v>
      </c>
      <c r="R532">
        <v>17</v>
      </c>
      <c r="S532">
        <v>9</v>
      </c>
      <c r="T532">
        <v>4</v>
      </c>
      <c r="U532">
        <v>44</v>
      </c>
      <c r="V532">
        <v>26</v>
      </c>
    </row>
    <row r="533" spans="1:22" hidden="1" x14ac:dyDescent="0.25">
      <c r="A533">
        <v>2014</v>
      </c>
      <c r="B533" t="s">
        <v>22</v>
      </c>
      <c r="C533" t="s">
        <v>64</v>
      </c>
      <c r="D533" t="s">
        <v>64</v>
      </c>
      <c r="E533" t="s">
        <v>65</v>
      </c>
      <c r="F533" t="s">
        <v>74</v>
      </c>
      <c r="G533" t="s">
        <v>23</v>
      </c>
      <c r="H533">
        <v>20</v>
      </c>
      <c r="I533">
        <v>51</v>
      </c>
      <c r="J533">
        <v>22</v>
      </c>
      <c r="K533">
        <v>2</v>
      </c>
      <c r="L533">
        <v>5</v>
      </c>
      <c r="M533">
        <v>8</v>
      </c>
      <c r="N533">
        <v>16</v>
      </c>
      <c r="O533">
        <v>11</v>
      </c>
      <c r="P533">
        <v>23</v>
      </c>
      <c r="Q533">
        <v>42</v>
      </c>
      <c r="R533">
        <v>18</v>
      </c>
      <c r="S533">
        <v>8</v>
      </c>
      <c r="T533">
        <v>3</v>
      </c>
      <c r="U533">
        <v>46</v>
      </c>
      <c r="V533">
        <v>25</v>
      </c>
    </row>
    <row r="534" spans="1:22" hidden="1" x14ac:dyDescent="0.25">
      <c r="A534">
        <v>2014</v>
      </c>
      <c r="B534" t="s">
        <v>22</v>
      </c>
      <c r="C534" t="s">
        <v>64</v>
      </c>
      <c r="D534" t="s">
        <v>64</v>
      </c>
      <c r="E534" t="s">
        <v>65</v>
      </c>
      <c r="F534" t="s">
        <v>75</v>
      </c>
      <c r="G534" t="s">
        <v>23</v>
      </c>
      <c r="H534">
        <v>19</v>
      </c>
      <c r="I534">
        <v>53</v>
      </c>
      <c r="J534">
        <v>22</v>
      </c>
      <c r="K534">
        <v>1</v>
      </c>
      <c r="L534">
        <v>5</v>
      </c>
      <c r="M534">
        <v>7</v>
      </c>
      <c r="N534">
        <v>16</v>
      </c>
      <c r="O534">
        <v>11</v>
      </c>
      <c r="P534">
        <v>24</v>
      </c>
      <c r="Q534">
        <v>42</v>
      </c>
      <c r="R534">
        <v>17</v>
      </c>
      <c r="S534">
        <v>8</v>
      </c>
      <c r="T534">
        <v>3</v>
      </c>
      <c r="U534">
        <v>46</v>
      </c>
      <c r="V534">
        <v>26</v>
      </c>
    </row>
    <row r="535" spans="1:22" hidden="1" x14ac:dyDescent="0.25">
      <c r="A535">
        <v>2014</v>
      </c>
      <c r="B535" t="s">
        <v>22</v>
      </c>
      <c r="C535" t="s">
        <v>64</v>
      </c>
      <c r="D535" t="s">
        <v>64</v>
      </c>
      <c r="E535" t="s">
        <v>65</v>
      </c>
      <c r="F535" t="s">
        <v>76</v>
      </c>
      <c r="G535" t="s">
        <v>23</v>
      </c>
      <c r="H535">
        <v>19</v>
      </c>
      <c r="I535">
        <v>54</v>
      </c>
      <c r="J535">
        <v>22</v>
      </c>
      <c r="K535">
        <v>1</v>
      </c>
      <c r="L535">
        <v>4</v>
      </c>
      <c r="M535" t="s">
        <v>67</v>
      </c>
      <c r="N535" t="s">
        <v>67</v>
      </c>
      <c r="O535" t="s">
        <v>67</v>
      </c>
      <c r="P535" t="s">
        <v>67</v>
      </c>
      <c r="Q535" t="s">
        <v>67</v>
      </c>
      <c r="R535" t="s">
        <v>67</v>
      </c>
      <c r="S535" t="s">
        <v>67</v>
      </c>
      <c r="T535" t="s">
        <v>67</v>
      </c>
      <c r="U535" t="s">
        <v>67</v>
      </c>
      <c r="V535" t="s">
        <v>67</v>
      </c>
    </row>
    <row r="536" spans="1:22" hidden="1" x14ac:dyDescent="0.25">
      <c r="A536">
        <v>2014</v>
      </c>
      <c r="B536" t="s">
        <v>22</v>
      </c>
      <c r="C536" t="s">
        <v>64</v>
      </c>
      <c r="D536" t="s">
        <v>64</v>
      </c>
      <c r="E536" t="s">
        <v>65</v>
      </c>
      <c r="F536" t="s">
        <v>77</v>
      </c>
      <c r="G536" t="s">
        <v>23</v>
      </c>
      <c r="H536">
        <v>19</v>
      </c>
      <c r="I536">
        <v>54</v>
      </c>
      <c r="J536">
        <v>22</v>
      </c>
      <c r="K536">
        <v>1</v>
      </c>
      <c r="L536">
        <v>4</v>
      </c>
      <c r="M536">
        <v>5</v>
      </c>
      <c r="N536">
        <v>15</v>
      </c>
      <c r="O536">
        <v>9</v>
      </c>
      <c r="P536">
        <v>24</v>
      </c>
      <c r="Q536">
        <v>47</v>
      </c>
      <c r="R536">
        <v>17</v>
      </c>
      <c r="S536">
        <v>6</v>
      </c>
      <c r="T536">
        <v>3</v>
      </c>
      <c r="U536">
        <v>49</v>
      </c>
      <c r="V536">
        <v>25</v>
      </c>
    </row>
    <row r="537" spans="1:22" hidden="1" x14ac:dyDescent="0.25">
      <c r="A537">
        <v>2014</v>
      </c>
      <c r="B537" t="s">
        <v>22</v>
      </c>
      <c r="C537" t="s">
        <v>64</v>
      </c>
      <c r="D537" t="s">
        <v>64</v>
      </c>
      <c r="E537" t="s">
        <v>65</v>
      </c>
      <c r="F537" t="s">
        <v>78</v>
      </c>
      <c r="G537" t="s">
        <v>23</v>
      </c>
      <c r="H537">
        <v>20</v>
      </c>
      <c r="I537">
        <v>54</v>
      </c>
      <c r="J537">
        <v>21</v>
      </c>
      <c r="K537">
        <v>1</v>
      </c>
      <c r="L537">
        <v>4</v>
      </c>
      <c r="M537">
        <v>4</v>
      </c>
      <c r="N537">
        <v>16</v>
      </c>
      <c r="O537">
        <v>9</v>
      </c>
      <c r="P537">
        <v>23</v>
      </c>
      <c r="Q537">
        <v>48</v>
      </c>
      <c r="R537">
        <v>17</v>
      </c>
      <c r="S537">
        <v>6</v>
      </c>
      <c r="T537">
        <v>2</v>
      </c>
      <c r="U537">
        <v>51</v>
      </c>
      <c r="V537">
        <v>24</v>
      </c>
    </row>
    <row r="538" spans="1:22" hidden="1" x14ac:dyDescent="0.25">
      <c r="A538">
        <v>2014</v>
      </c>
      <c r="B538" t="s">
        <v>22</v>
      </c>
      <c r="C538" t="s">
        <v>64</v>
      </c>
      <c r="D538" t="s">
        <v>64</v>
      </c>
      <c r="E538" t="s">
        <v>65</v>
      </c>
      <c r="F538" t="s">
        <v>79</v>
      </c>
      <c r="G538" t="s">
        <v>23</v>
      </c>
      <c r="H538">
        <v>20</v>
      </c>
      <c r="I538">
        <v>55</v>
      </c>
      <c r="J538">
        <v>20</v>
      </c>
      <c r="K538">
        <v>1</v>
      </c>
      <c r="L538">
        <v>4</v>
      </c>
      <c r="M538">
        <v>3</v>
      </c>
      <c r="N538">
        <v>16</v>
      </c>
      <c r="O538">
        <v>8</v>
      </c>
      <c r="P538">
        <v>23</v>
      </c>
      <c r="Q538">
        <v>50</v>
      </c>
      <c r="R538">
        <v>16</v>
      </c>
      <c r="S538">
        <v>6</v>
      </c>
      <c r="T538">
        <v>2</v>
      </c>
      <c r="U538">
        <v>51</v>
      </c>
      <c r="V538">
        <v>25</v>
      </c>
    </row>
    <row r="539" spans="1:22" hidden="1" x14ac:dyDescent="0.25">
      <c r="A539">
        <v>2014</v>
      </c>
      <c r="B539" t="s">
        <v>22</v>
      </c>
      <c r="C539" t="s">
        <v>64</v>
      </c>
      <c r="D539" t="s">
        <v>64</v>
      </c>
      <c r="E539" t="s">
        <v>65</v>
      </c>
      <c r="F539" t="s">
        <v>80</v>
      </c>
      <c r="G539" t="s">
        <v>23</v>
      </c>
      <c r="H539">
        <v>21</v>
      </c>
      <c r="I539">
        <v>56</v>
      </c>
      <c r="J539">
        <v>18</v>
      </c>
      <c r="K539">
        <v>1</v>
      </c>
      <c r="L539">
        <v>4</v>
      </c>
      <c r="M539">
        <v>3</v>
      </c>
      <c r="N539">
        <v>15</v>
      </c>
      <c r="O539">
        <v>7</v>
      </c>
      <c r="P539">
        <v>24</v>
      </c>
      <c r="Q539">
        <v>51</v>
      </c>
      <c r="R539">
        <v>14</v>
      </c>
      <c r="S539">
        <v>6</v>
      </c>
      <c r="T539">
        <v>2</v>
      </c>
      <c r="U539">
        <v>51</v>
      </c>
      <c r="V539">
        <v>27</v>
      </c>
    </row>
    <row r="540" spans="1:22" hidden="1" x14ac:dyDescent="0.25">
      <c r="A540">
        <v>2014</v>
      </c>
      <c r="B540" t="s">
        <v>22</v>
      </c>
      <c r="C540" t="s">
        <v>64</v>
      </c>
      <c r="D540" t="s">
        <v>64</v>
      </c>
      <c r="E540" t="s">
        <v>65</v>
      </c>
      <c r="F540" t="s">
        <v>81</v>
      </c>
      <c r="G540" t="s">
        <v>23</v>
      </c>
      <c r="H540">
        <v>20</v>
      </c>
      <c r="I540">
        <v>59</v>
      </c>
      <c r="J540">
        <v>17</v>
      </c>
      <c r="K540">
        <v>1</v>
      </c>
      <c r="L540">
        <v>3</v>
      </c>
      <c r="M540">
        <v>2</v>
      </c>
      <c r="N540">
        <v>14</v>
      </c>
      <c r="O540">
        <v>6</v>
      </c>
      <c r="P540">
        <v>24</v>
      </c>
      <c r="Q540">
        <v>54</v>
      </c>
      <c r="R540">
        <v>12</v>
      </c>
      <c r="S540">
        <v>6</v>
      </c>
      <c r="T540">
        <v>2</v>
      </c>
      <c r="U540">
        <v>52</v>
      </c>
      <c r="V540">
        <v>28</v>
      </c>
    </row>
    <row r="541" spans="1:22" hidden="1" x14ac:dyDescent="0.25">
      <c r="A541">
        <v>2014</v>
      </c>
      <c r="B541" t="s">
        <v>22</v>
      </c>
      <c r="C541" t="s">
        <v>64</v>
      </c>
      <c r="D541" t="s">
        <v>64</v>
      </c>
      <c r="E541" t="s">
        <v>65</v>
      </c>
      <c r="F541" t="s">
        <v>82</v>
      </c>
      <c r="G541" t="s">
        <v>23</v>
      </c>
      <c r="H541">
        <v>21</v>
      </c>
      <c r="I541">
        <v>60</v>
      </c>
      <c r="J541">
        <v>15</v>
      </c>
      <c r="K541">
        <v>1</v>
      </c>
      <c r="L541">
        <v>3</v>
      </c>
      <c r="M541">
        <v>1</v>
      </c>
      <c r="N541">
        <v>13</v>
      </c>
      <c r="O541">
        <v>5</v>
      </c>
      <c r="P541">
        <v>26</v>
      </c>
      <c r="Q541">
        <v>55</v>
      </c>
      <c r="R541">
        <v>10</v>
      </c>
      <c r="S541">
        <v>6</v>
      </c>
      <c r="T541">
        <v>2</v>
      </c>
      <c r="U541">
        <v>53</v>
      </c>
      <c r="V541">
        <v>29</v>
      </c>
    </row>
    <row r="542" spans="1:22" hidden="1" x14ac:dyDescent="0.25">
      <c r="A542">
        <v>2014</v>
      </c>
      <c r="B542" t="s">
        <v>22</v>
      </c>
      <c r="C542" t="s">
        <v>64</v>
      </c>
      <c r="D542" t="s">
        <v>64</v>
      </c>
      <c r="E542" t="s">
        <v>65</v>
      </c>
      <c r="F542" t="s">
        <v>83</v>
      </c>
      <c r="G542" t="s">
        <v>23</v>
      </c>
      <c r="H542">
        <v>22</v>
      </c>
      <c r="I542">
        <v>63</v>
      </c>
      <c r="J542">
        <v>13</v>
      </c>
      <c r="K542">
        <v>0</v>
      </c>
      <c r="L542">
        <v>2</v>
      </c>
      <c r="M542">
        <v>1</v>
      </c>
      <c r="N542">
        <v>13</v>
      </c>
      <c r="O542">
        <v>4</v>
      </c>
      <c r="P542">
        <v>25</v>
      </c>
      <c r="Q542">
        <v>57</v>
      </c>
      <c r="R542">
        <v>11</v>
      </c>
      <c r="S542">
        <v>5</v>
      </c>
      <c r="T542">
        <v>2</v>
      </c>
      <c r="U542">
        <v>52</v>
      </c>
      <c r="V542">
        <v>30</v>
      </c>
    </row>
    <row r="543" spans="1:22" hidden="1" x14ac:dyDescent="0.25">
      <c r="A543">
        <v>2015</v>
      </c>
      <c r="B543" t="s">
        <v>22</v>
      </c>
      <c r="C543" t="s">
        <v>64</v>
      </c>
      <c r="D543" t="s">
        <v>64</v>
      </c>
      <c r="E543" t="s">
        <v>65</v>
      </c>
      <c r="F543" t="s">
        <v>83</v>
      </c>
      <c r="G543" t="s">
        <v>23</v>
      </c>
      <c r="H543">
        <v>23</v>
      </c>
      <c r="I543">
        <v>62</v>
      </c>
      <c r="J543">
        <v>12</v>
      </c>
      <c r="K543">
        <v>0</v>
      </c>
      <c r="L543">
        <v>3</v>
      </c>
      <c r="M543">
        <v>1</v>
      </c>
      <c r="N543">
        <v>14</v>
      </c>
      <c r="O543">
        <v>4</v>
      </c>
      <c r="P543">
        <v>24</v>
      </c>
      <c r="Q543">
        <v>57</v>
      </c>
      <c r="R543">
        <v>13</v>
      </c>
      <c r="S543">
        <v>2</v>
      </c>
      <c r="T543">
        <v>0</v>
      </c>
      <c r="U543">
        <v>63</v>
      </c>
      <c r="V543">
        <v>22</v>
      </c>
    </row>
    <row r="544" spans="1:22" hidden="1" x14ac:dyDescent="0.25">
      <c r="A544">
        <v>2015</v>
      </c>
      <c r="B544" t="s">
        <v>22</v>
      </c>
      <c r="C544" t="s">
        <v>64</v>
      </c>
      <c r="D544" t="s">
        <v>64</v>
      </c>
      <c r="E544" t="s">
        <v>65</v>
      </c>
      <c r="F544" t="s">
        <v>69</v>
      </c>
      <c r="G544" t="s">
        <v>23</v>
      </c>
      <c r="H544">
        <v>22</v>
      </c>
      <c r="I544">
        <v>49</v>
      </c>
      <c r="J544">
        <v>19</v>
      </c>
      <c r="K544">
        <v>3</v>
      </c>
      <c r="L544">
        <v>7</v>
      </c>
      <c r="M544">
        <v>9</v>
      </c>
      <c r="N544">
        <v>14</v>
      </c>
      <c r="O544">
        <v>13</v>
      </c>
      <c r="P544">
        <v>24</v>
      </c>
      <c r="Q544">
        <v>40</v>
      </c>
      <c r="R544">
        <v>22</v>
      </c>
      <c r="S544">
        <v>5</v>
      </c>
      <c r="T544">
        <v>2</v>
      </c>
      <c r="U544">
        <v>52</v>
      </c>
      <c r="V544">
        <v>19</v>
      </c>
    </row>
    <row r="545" spans="1:22" hidden="1" x14ac:dyDescent="0.25">
      <c r="A545">
        <v>2015</v>
      </c>
      <c r="B545" t="s">
        <v>22</v>
      </c>
      <c r="C545" t="s">
        <v>64</v>
      </c>
      <c r="D545" t="s">
        <v>64</v>
      </c>
      <c r="E545" t="s">
        <v>65</v>
      </c>
      <c r="F545" t="s">
        <v>70</v>
      </c>
      <c r="G545" t="s">
        <v>23</v>
      </c>
      <c r="H545">
        <v>22</v>
      </c>
      <c r="I545">
        <v>49</v>
      </c>
      <c r="J545">
        <v>19</v>
      </c>
      <c r="K545">
        <v>3</v>
      </c>
      <c r="L545">
        <v>7</v>
      </c>
      <c r="M545">
        <v>9</v>
      </c>
      <c r="N545">
        <v>14</v>
      </c>
      <c r="O545">
        <v>13</v>
      </c>
      <c r="P545">
        <v>24</v>
      </c>
      <c r="Q545">
        <v>40</v>
      </c>
      <c r="R545">
        <v>22</v>
      </c>
      <c r="S545">
        <v>5</v>
      </c>
      <c r="T545">
        <v>2</v>
      </c>
      <c r="U545">
        <v>52</v>
      </c>
      <c r="V545">
        <v>19</v>
      </c>
    </row>
    <row r="546" spans="1:22" hidden="1" x14ac:dyDescent="0.25">
      <c r="A546">
        <v>2015</v>
      </c>
      <c r="B546" t="s">
        <v>22</v>
      </c>
      <c r="C546" t="s">
        <v>64</v>
      </c>
      <c r="D546" t="s">
        <v>64</v>
      </c>
      <c r="E546" t="s">
        <v>65</v>
      </c>
      <c r="F546" t="s">
        <v>71</v>
      </c>
      <c r="G546" t="s">
        <v>23</v>
      </c>
      <c r="H546">
        <v>21</v>
      </c>
      <c r="I546">
        <v>50</v>
      </c>
      <c r="J546">
        <v>19</v>
      </c>
      <c r="K546">
        <v>3</v>
      </c>
      <c r="L546">
        <v>7</v>
      </c>
      <c r="M546">
        <v>8</v>
      </c>
      <c r="N546">
        <v>15</v>
      </c>
      <c r="O546">
        <v>12</v>
      </c>
      <c r="P546">
        <v>24</v>
      </c>
      <c r="Q546">
        <v>41</v>
      </c>
      <c r="R546">
        <v>21</v>
      </c>
      <c r="S546">
        <v>5</v>
      </c>
      <c r="T546">
        <v>2</v>
      </c>
      <c r="U546">
        <v>52</v>
      </c>
      <c r="V546">
        <v>20</v>
      </c>
    </row>
    <row r="547" spans="1:22" hidden="1" x14ac:dyDescent="0.25">
      <c r="A547">
        <v>2015</v>
      </c>
      <c r="B547" t="s">
        <v>22</v>
      </c>
      <c r="C547" t="s">
        <v>64</v>
      </c>
      <c r="D547" t="s">
        <v>64</v>
      </c>
      <c r="E547" t="s">
        <v>65</v>
      </c>
      <c r="F547" t="s">
        <v>72</v>
      </c>
      <c r="G547" t="s">
        <v>23</v>
      </c>
      <c r="H547">
        <v>21</v>
      </c>
      <c r="I547">
        <v>51</v>
      </c>
      <c r="J547">
        <v>18</v>
      </c>
      <c r="K547">
        <v>3</v>
      </c>
      <c r="L547">
        <v>7</v>
      </c>
      <c r="M547">
        <v>8</v>
      </c>
      <c r="N547">
        <v>15</v>
      </c>
      <c r="O547">
        <v>12</v>
      </c>
      <c r="P547">
        <v>24</v>
      </c>
      <c r="Q547">
        <v>41</v>
      </c>
      <c r="R547">
        <v>21</v>
      </c>
      <c r="S547">
        <v>6</v>
      </c>
      <c r="T547">
        <v>2</v>
      </c>
      <c r="U547">
        <v>51</v>
      </c>
      <c r="V547">
        <v>20</v>
      </c>
    </row>
    <row r="548" spans="1:22" hidden="1" x14ac:dyDescent="0.25">
      <c r="A548">
        <v>2015</v>
      </c>
      <c r="B548" t="s">
        <v>22</v>
      </c>
      <c r="C548" t="s">
        <v>64</v>
      </c>
      <c r="D548" t="s">
        <v>64</v>
      </c>
      <c r="E548" t="s">
        <v>65</v>
      </c>
      <c r="F548" t="s">
        <v>73</v>
      </c>
      <c r="G548" t="s">
        <v>23</v>
      </c>
      <c r="H548">
        <v>21</v>
      </c>
      <c r="I548">
        <v>52</v>
      </c>
      <c r="J548">
        <v>18</v>
      </c>
      <c r="K548">
        <v>2</v>
      </c>
      <c r="L548">
        <v>7</v>
      </c>
      <c r="M548">
        <v>8</v>
      </c>
      <c r="N548">
        <v>16</v>
      </c>
      <c r="O548">
        <v>11</v>
      </c>
      <c r="P548">
        <v>23</v>
      </c>
      <c r="Q548">
        <v>42</v>
      </c>
      <c r="R548">
        <v>21</v>
      </c>
      <c r="S548">
        <v>5</v>
      </c>
      <c r="T548">
        <v>2</v>
      </c>
      <c r="U548">
        <v>52</v>
      </c>
      <c r="V548">
        <v>20</v>
      </c>
    </row>
    <row r="549" spans="1:22" hidden="1" x14ac:dyDescent="0.25">
      <c r="A549">
        <v>2015</v>
      </c>
      <c r="B549" t="s">
        <v>22</v>
      </c>
      <c r="C549" t="s">
        <v>64</v>
      </c>
      <c r="D549" t="s">
        <v>64</v>
      </c>
      <c r="E549" t="s">
        <v>65</v>
      </c>
      <c r="F549" t="s">
        <v>74</v>
      </c>
      <c r="G549" t="s">
        <v>23</v>
      </c>
      <c r="H549">
        <v>21</v>
      </c>
      <c r="I549">
        <v>52</v>
      </c>
      <c r="J549">
        <v>18</v>
      </c>
      <c r="K549">
        <v>2</v>
      </c>
      <c r="L549">
        <v>7</v>
      </c>
      <c r="M549">
        <v>8</v>
      </c>
      <c r="N549">
        <v>16</v>
      </c>
      <c r="O549">
        <v>11</v>
      </c>
      <c r="P549">
        <v>23</v>
      </c>
      <c r="Q549">
        <v>42</v>
      </c>
      <c r="R549">
        <v>22</v>
      </c>
      <c r="S549">
        <v>5</v>
      </c>
      <c r="T549">
        <v>2</v>
      </c>
      <c r="U549">
        <v>51</v>
      </c>
      <c r="V549">
        <v>20</v>
      </c>
    </row>
    <row r="550" spans="1:22" hidden="1" x14ac:dyDescent="0.25">
      <c r="A550">
        <v>2015</v>
      </c>
      <c r="B550" t="s">
        <v>22</v>
      </c>
      <c r="C550" t="s">
        <v>64</v>
      </c>
      <c r="D550" t="s">
        <v>64</v>
      </c>
      <c r="E550" t="s">
        <v>65</v>
      </c>
      <c r="F550" t="s">
        <v>75</v>
      </c>
      <c r="G550" t="s">
        <v>23</v>
      </c>
      <c r="H550">
        <v>21</v>
      </c>
      <c r="I550">
        <v>53</v>
      </c>
      <c r="J550">
        <v>17</v>
      </c>
      <c r="K550">
        <v>2</v>
      </c>
      <c r="L550">
        <v>7</v>
      </c>
      <c r="M550">
        <v>7</v>
      </c>
      <c r="N550">
        <v>16</v>
      </c>
      <c r="O550">
        <v>11</v>
      </c>
      <c r="P550">
        <v>23</v>
      </c>
      <c r="Q550">
        <v>43</v>
      </c>
      <c r="R550">
        <v>22</v>
      </c>
      <c r="S550">
        <v>5</v>
      </c>
      <c r="T550">
        <v>1</v>
      </c>
      <c r="U550">
        <v>53</v>
      </c>
      <c r="V550">
        <v>19</v>
      </c>
    </row>
    <row r="551" spans="1:22" hidden="1" x14ac:dyDescent="0.25">
      <c r="A551">
        <v>2015</v>
      </c>
      <c r="B551" t="s">
        <v>22</v>
      </c>
      <c r="C551" t="s">
        <v>64</v>
      </c>
      <c r="D551" t="s">
        <v>64</v>
      </c>
      <c r="E551" t="s">
        <v>65</v>
      </c>
      <c r="F551" t="s">
        <v>76</v>
      </c>
      <c r="G551" t="s">
        <v>23</v>
      </c>
      <c r="H551">
        <v>22</v>
      </c>
      <c r="I551">
        <v>52</v>
      </c>
      <c r="J551">
        <v>17</v>
      </c>
      <c r="K551">
        <v>2</v>
      </c>
      <c r="L551">
        <v>7</v>
      </c>
      <c r="M551">
        <v>6</v>
      </c>
      <c r="N551">
        <v>16</v>
      </c>
      <c r="O551">
        <v>10</v>
      </c>
      <c r="P551">
        <v>23</v>
      </c>
      <c r="Q551">
        <v>45</v>
      </c>
      <c r="R551">
        <v>22</v>
      </c>
      <c r="S551">
        <v>4</v>
      </c>
      <c r="T551">
        <v>1</v>
      </c>
      <c r="U551">
        <v>54</v>
      </c>
      <c r="V551">
        <v>19</v>
      </c>
    </row>
    <row r="552" spans="1:22" hidden="1" x14ac:dyDescent="0.25">
      <c r="A552">
        <v>2015</v>
      </c>
      <c r="B552" t="s">
        <v>22</v>
      </c>
      <c r="C552" t="s">
        <v>64</v>
      </c>
      <c r="D552" t="s">
        <v>64</v>
      </c>
      <c r="E552" t="s">
        <v>65</v>
      </c>
      <c r="F552" t="s">
        <v>77</v>
      </c>
      <c r="G552" t="s">
        <v>23</v>
      </c>
      <c r="H552">
        <v>22</v>
      </c>
      <c r="I552">
        <v>54</v>
      </c>
      <c r="J552">
        <v>15</v>
      </c>
      <c r="K552">
        <v>2</v>
      </c>
      <c r="L552">
        <v>7</v>
      </c>
      <c r="M552">
        <v>5</v>
      </c>
      <c r="N552">
        <v>16</v>
      </c>
      <c r="O552">
        <v>9</v>
      </c>
      <c r="P552">
        <v>23</v>
      </c>
      <c r="Q552">
        <v>47</v>
      </c>
      <c r="R552">
        <v>22</v>
      </c>
      <c r="S552">
        <v>4</v>
      </c>
      <c r="T552">
        <v>1</v>
      </c>
      <c r="U552">
        <v>54</v>
      </c>
      <c r="V552">
        <v>19</v>
      </c>
    </row>
    <row r="553" spans="1:22" hidden="1" x14ac:dyDescent="0.25">
      <c r="A553">
        <v>2015</v>
      </c>
      <c r="B553" t="s">
        <v>22</v>
      </c>
      <c r="C553" t="s">
        <v>64</v>
      </c>
      <c r="D553" t="s">
        <v>64</v>
      </c>
      <c r="E553" t="s">
        <v>65</v>
      </c>
      <c r="F553" t="s">
        <v>78</v>
      </c>
      <c r="G553" t="s">
        <v>23</v>
      </c>
      <c r="H553">
        <v>23</v>
      </c>
      <c r="I553">
        <v>55</v>
      </c>
      <c r="J553">
        <v>14</v>
      </c>
      <c r="K553">
        <v>2</v>
      </c>
      <c r="L553">
        <v>6</v>
      </c>
      <c r="M553">
        <v>4</v>
      </c>
      <c r="N553">
        <v>16</v>
      </c>
      <c r="O553">
        <v>8</v>
      </c>
      <c r="P553">
        <v>23</v>
      </c>
      <c r="Q553">
        <v>49</v>
      </c>
      <c r="R553">
        <v>21</v>
      </c>
      <c r="S553">
        <v>4</v>
      </c>
      <c r="T553">
        <v>1</v>
      </c>
      <c r="U553">
        <v>54</v>
      </c>
      <c r="V553">
        <v>20</v>
      </c>
    </row>
    <row r="554" spans="1:22" hidden="1" x14ac:dyDescent="0.25">
      <c r="A554">
        <v>2015</v>
      </c>
      <c r="B554" t="s">
        <v>22</v>
      </c>
      <c r="C554" t="s">
        <v>64</v>
      </c>
      <c r="D554" t="s">
        <v>64</v>
      </c>
      <c r="E554" t="s">
        <v>65</v>
      </c>
      <c r="F554" t="s">
        <v>79</v>
      </c>
      <c r="G554" t="s">
        <v>23</v>
      </c>
      <c r="H554">
        <v>24</v>
      </c>
      <c r="I554">
        <v>54</v>
      </c>
      <c r="J554">
        <v>14</v>
      </c>
      <c r="K554">
        <v>2</v>
      </c>
      <c r="L554">
        <v>6</v>
      </c>
      <c r="M554">
        <v>3</v>
      </c>
      <c r="N554">
        <v>16</v>
      </c>
      <c r="O554">
        <v>8</v>
      </c>
      <c r="P554">
        <v>23</v>
      </c>
      <c r="Q554">
        <v>50</v>
      </c>
      <c r="R554">
        <v>20</v>
      </c>
      <c r="S554">
        <v>4</v>
      </c>
      <c r="T554">
        <v>1</v>
      </c>
      <c r="U554">
        <v>55</v>
      </c>
      <c r="V554">
        <v>20</v>
      </c>
    </row>
    <row r="555" spans="1:22" hidden="1" x14ac:dyDescent="0.25">
      <c r="A555">
        <v>2015</v>
      </c>
      <c r="B555" t="s">
        <v>22</v>
      </c>
      <c r="C555" t="s">
        <v>64</v>
      </c>
      <c r="D555" t="s">
        <v>64</v>
      </c>
      <c r="E555" t="s">
        <v>65</v>
      </c>
      <c r="F555" t="s">
        <v>80</v>
      </c>
      <c r="G555" t="s">
        <v>23</v>
      </c>
      <c r="H555">
        <v>23</v>
      </c>
      <c r="I555">
        <v>57</v>
      </c>
      <c r="J555">
        <v>14</v>
      </c>
      <c r="K555">
        <v>1</v>
      </c>
      <c r="L555">
        <v>5</v>
      </c>
      <c r="M555">
        <v>2</v>
      </c>
      <c r="N555">
        <v>15</v>
      </c>
      <c r="O555">
        <v>6</v>
      </c>
      <c r="P555">
        <v>24</v>
      </c>
      <c r="Q555">
        <v>53</v>
      </c>
      <c r="R555">
        <v>18</v>
      </c>
      <c r="S555">
        <v>4</v>
      </c>
      <c r="T555">
        <v>1</v>
      </c>
      <c r="U555">
        <v>56</v>
      </c>
      <c r="V555">
        <v>21</v>
      </c>
    </row>
    <row r="556" spans="1:22" hidden="1" x14ac:dyDescent="0.25">
      <c r="A556">
        <v>2015</v>
      </c>
      <c r="B556" t="s">
        <v>22</v>
      </c>
      <c r="C556" t="s">
        <v>64</v>
      </c>
      <c r="D556" t="s">
        <v>64</v>
      </c>
      <c r="E556" t="s">
        <v>65</v>
      </c>
      <c r="F556" t="s">
        <v>81</v>
      </c>
      <c r="G556" t="s">
        <v>23</v>
      </c>
      <c r="H556">
        <v>22</v>
      </c>
      <c r="I556">
        <v>59</v>
      </c>
      <c r="J556">
        <v>14</v>
      </c>
      <c r="K556">
        <v>1</v>
      </c>
      <c r="L556">
        <v>4</v>
      </c>
      <c r="M556">
        <v>2</v>
      </c>
      <c r="N556">
        <v>15</v>
      </c>
      <c r="O556">
        <v>5</v>
      </c>
      <c r="P556">
        <v>23</v>
      </c>
      <c r="Q556">
        <v>55</v>
      </c>
      <c r="R556">
        <v>17</v>
      </c>
      <c r="S556">
        <v>3</v>
      </c>
      <c r="T556">
        <v>1</v>
      </c>
      <c r="U556">
        <v>59</v>
      </c>
      <c r="V556">
        <v>20</v>
      </c>
    </row>
    <row r="557" spans="1:22" hidden="1" x14ac:dyDescent="0.25">
      <c r="A557">
        <v>2015</v>
      </c>
      <c r="B557" t="s">
        <v>22</v>
      </c>
      <c r="C557" t="s">
        <v>64</v>
      </c>
      <c r="D557" t="s">
        <v>64</v>
      </c>
      <c r="E557" t="s">
        <v>65</v>
      </c>
      <c r="F557" t="s">
        <v>82</v>
      </c>
      <c r="G557" t="s">
        <v>23</v>
      </c>
      <c r="H557">
        <v>22</v>
      </c>
      <c r="I557">
        <v>61</v>
      </c>
      <c r="J557">
        <v>13</v>
      </c>
      <c r="K557">
        <v>1</v>
      </c>
      <c r="L557">
        <v>3</v>
      </c>
      <c r="M557">
        <v>2</v>
      </c>
      <c r="N557">
        <v>14</v>
      </c>
      <c r="O557">
        <v>5</v>
      </c>
      <c r="P557">
        <v>24</v>
      </c>
      <c r="Q557">
        <v>55</v>
      </c>
      <c r="R557">
        <v>15</v>
      </c>
      <c r="S557">
        <v>3</v>
      </c>
      <c r="T557">
        <v>1</v>
      </c>
      <c r="U557">
        <v>60</v>
      </c>
      <c r="V557">
        <v>21</v>
      </c>
    </row>
    <row r="558" spans="1:22" hidden="1" x14ac:dyDescent="0.25">
      <c r="A558">
        <v>2015</v>
      </c>
      <c r="B558" t="s">
        <v>22</v>
      </c>
      <c r="C558" t="s">
        <v>64</v>
      </c>
      <c r="D558" t="s">
        <v>64</v>
      </c>
      <c r="E558" t="s">
        <v>65</v>
      </c>
      <c r="F558" t="s">
        <v>84</v>
      </c>
      <c r="G558" t="s">
        <v>23</v>
      </c>
      <c r="H558">
        <v>23</v>
      </c>
      <c r="I558">
        <v>62</v>
      </c>
      <c r="J558">
        <v>12</v>
      </c>
      <c r="K558">
        <v>0</v>
      </c>
      <c r="L558">
        <v>3</v>
      </c>
      <c r="M558" t="s">
        <v>67</v>
      </c>
      <c r="N558" t="s">
        <v>67</v>
      </c>
      <c r="O558" t="s">
        <v>67</v>
      </c>
      <c r="P558" t="s">
        <v>67</v>
      </c>
      <c r="Q558" t="s">
        <v>67</v>
      </c>
      <c r="R558" t="s">
        <v>67</v>
      </c>
      <c r="S558" t="s">
        <v>67</v>
      </c>
      <c r="T558" t="s">
        <v>67</v>
      </c>
      <c r="U558" t="s">
        <v>67</v>
      </c>
      <c r="V558" t="s">
        <v>67</v>
      </c>
    </row>
    <row r="559" spans="1:22" ht="15.75" thickBot="1" x14ac:dyDescent="0.3">
      <c r="A559">
        <v>2015</v>
      </c>
      <c r="B559" t="s">
        <v>22</v>
      </c>
      <c r="C559" t="s">
        <v>64</v>
      </c>
      <c r="D559" t="s">
        <v>64</v>
      </c>
      <c r="E559" t="s">
        <v>65</v>
      </c>
      <c r="F559" t="s">
        <v>90</v>
      </c>
      <c r="G559" t="s">
        <v>23</v>
      </c>
      <c r="H559">
        <v>22</v>
      </c>
      <c r="I559">
        <v>48</v>
      </c>
      <c r="J559">
        <v>20</v>
      </c>
      <c r="K559">
        <v>3</v>
      </c>
      <c r="L559">
        <v>7</v>
      </c>
      <c r="M559">
        <f>J559+I559</f>
        <v>68</v>
      </c>
      <c r="N559">
        <v>2.8230261152707214E-2</v>
      </c>
    </row>
    <row r="560" spans="1:22" ht="24.75" thickBot="1" x14ac:dyDescent="0.3">
      <c r="A560">
        <v>2016</v>
      </c>
      <c r="F560" s="25" t="s">
        <v>69</v>
      </c>
      <c r="G560" s="25" t="s">
        <v>23</v>
      </c>
      <c r="H560" s="25">
        <v>19</v>
      </c>
      <c r="I560" s="25">
        <v>54</v>
      </c>
      <c r="J560" s="25">
        <v>20</v>
      </c>
      <c r="K560" s="25">
        <v>2</v>
      </c>
      <c r="L560" s="25">
        <v>5</v>
      </c>
      <c r="M560">
        <f>J560+I560</f>
        <v>74</v>
      </c>
      <c r="N560">
        <v>5.1655503869326047E-2</v>
      </c>
      <c r="O560" s="2">
        <v>1986</v>
      </c>
      <c r="P560">
        <v>9.6697238478022918E-2</v>
      </c>
    </row>
    <row r="561" spans="15:16" x14ac:dyDescent="0.25">
      <c r="O561" s="2">
        <v>1987</v>
      </c>
      <c r="P561">
        <v>8.2597094220909106E-2</v>
      </c>
    </row>
    <row r="562" spans="15:16" x14ac:dyDescent="0.25">
      <c r="O562" s="2">
        <v>1988</v>
      </c>
      <c r="P562">
        <v>-0.28243784906459712</v>
      </c>
    </row>
    <row r="563" spans="15:16" x14ac:dyDescent="0.25">
      <c r="O563" s="2">
        <v>1989</v>
      </c>
      <c r="P563">
        <v>1.8944440184086808E-2</v>
      </c>
    </row>
    <row r="564" spans="15:16" x14ac:dyDescent="0.25">
      <c r="O564" s="2">
        <v>1990</v>
      </c>
      <c r="P564">
        <v>2.1107275447949547E-2</v>
      </c>
    </row>
    <row r="565" spans="15:16" x14ac:dyDescent="0.25">
      <c r="O565" s="2">
        <v>1991</v>
      </c>
      <c r="P565">
        <v>-8.2441019393712622E-2</v>
      </c>
    </row>
    <row r="566" spans="15:16" x14ac:dyDescent="0.25">
      <c r="O566" s="2">
        <v>1992</v>
      </c>
      <c r="P566">
        <v>9.2849331848912975E-2</v>
      </c>
    </row>
    <row r="567" spans="15:16" x14ac:dyDescent="0.25">
      <c r="O567" s="2">
        <v>1993</v>
      </c>
      <c r="P567">
        <v>-0.18980342814645557</v>
      </c>
    </row>
    <row r="568" spans="15:16" x14ac:dyDescent="0.25">
      <c r="O568" s="2">
        <v>1994</v>
      </c>
      <c r="P568">
        <v>0.11409665688938286</v>
      </c>
    </row>
    <row r="569" spans="15:16" x14ac:dyDescent="0.25">
      <c r="O569" s="2">
        <v>1995</v>
      </c>
      <c r="P569">
        <v>-0.10100080565369574</v>
      </c>
    </row>
    <row r="570" spans="15:16" x14ac:dyDescent="0.25">
      <c r="O570" s="2">
        <v>1996</v>
      </c>
      <c r="P570">
        <v>-2.9068645994199116E-3</v>
      </c>
    </row>
    <row r="571" spans="15:16" x14ac:dyDescent="0.25">
      <c r="O571" s="2">
        <v>1997</v>
      </c>
      <c r="P571">
        <v>-2.0912400177338419E-2</v>
      </c>
    </row>
    <row r="572" spans="15:16" x14ac:dyDescent="0.25">
      <c r="O572" s="2">
        <v>1998</v>
      </c>
      <c r="P572">
        <v>2.3449895499886075E-2</v>
      </c>
    </row>
    <row r="573" spans="15:16" x14ac:dyDescent="0.25">
      <c r="O573" s="2">
        <v>1999</v>
      </c>
      <c r="P573">
        <v>4.5506974794076172E-3</v>
      </c>
    </row>
    <row r="574" spans="15:16" x14ac:dyDescent="0.25">
      <c r="O574" s="2">
        <v>2000</v>
      </c>
      <c r="P574">
        <v>1.3235487328251416E-2</v>
      </c>
    </row>
    <row r="575" spans="15:16" x14ac:dyDescent="0.25">
      <c r="O575" s="2">
        <v>2001</v>
      </c>
      <c r="P575">
        <v>8.6662424783261471E-3</v>
      </c>
    </row>
    <row r="576" spans="15:16" x14ac:dyDescent="0.25">
      <c r="O576" s="2">
        <v>2002</v>
      </c>
      <c r="P576">
        <v>-7.1726949512529892E-2</v>
      </c>
    </row>
    <row r="577" spans="15:16" x14ac:dyDescent="0.25">
      <c r="O577" s="2">
        <v>2003</v>
      </c>
      <c r="P577">
        <v>9.7342852756776566E-3</v>
      </c>
    </row>
    <row r="578" spans="15:16" x14ac:dyDescent="0.25">
      <c r="O578" s="2">
        <v>2004</v>
      </c>
      <c r="P578">
        <v>0.11609232597383023</v>
      </c>
    </row>
    <row r="579" spans="15:16" x14ac:dyDescent="0.25">
      <c r="O579" s="2">
        <v>2005</v>
      </c>
      <c r="P579">
        <v>2.2305757514299529E-2</v>
      </c>
    </row>
    <row r="580" spans="15:16" x14ac:dyDescent="0.25">
      <c r="O580" s="2">
        <v>2006</v>
      </c>
      <c r="P580">
        <v>1.7284673244272852E-2</v>
      </c>
    </row>
    <row r="581" spans="15:16" x14ac:dyDescent="0.25">
      <c r="O581" s="2">
        <v>2007</v>
      </c>
      <c r="P581">
        <v>1.5026063877384921E-2</v>
      </c>
    </row>
    <row r="582" spans="15:16" x14ac:dyDescent="0.25">
      <c r="O582" s="2">
        <v>2008</v>
      </c>
      <c r="P582">
        <v>1.9364367181793796E-2</v>
      </c>
    </row>
    <row r="583" spans="15:16" x14ac:dyDescent="0.25">
      <c r="O583" s="2">
        <v>2009</v>
      </c>
      <c r="P583">
        <v>7.6663640108725062E-2</v>
      </c>
    </row>
    <row r="584" spans="15:16" x14ac:dyDescent="0.25">
      <c r="O584" s="2">
        <v>2010</v>
      </c>
      <c r="P584">
        <v>-1.026820202719847E-2</v>
      </c>
    </row>
    <row r="585" spans="15:16" x14ac:dyDescent="0.25">
      <c r="O585" s="2">
        <v>2011</v>
      </c>
      <c r="P585">
        <v>-6.1313597433122702E-2</v>
      </c>
    </row>
    <row r="586" spans="15:16" x14ac:dyDescent="0.25">
      <c r="O586" s="2">
        <v>2012</v>
      </c>
      <c r="P586">
        <v>-0.24953470669434807</v>
      </c>
    </row>
    <row r="587" spans="15:16" x14ac:dyDescent="0.25">
      <c r="O587" s="2">
        <v>2013</v>
      </c>
      <c r="P587">
        <v>-1.1305240730525412E-2</v>
      </c>
    </row>
    <row r="588" spans="15:16" x14ac:dyDescent="0.25">
      <c r="O588" s="2">
        <v>2014</v>
      </c>
      <c r="P588">
        <v>5.5271650007159501E-2</v>
      </c>
    </row>
    <row r="589" spans="15:16" x14ac:dyDescent="0.25">
      <c r="O589" s="2">
        <v>2015</v>
      </c>
      <c r="P589">
        <v>2.8230261152707214E-2</v>
      </c>
    </row>
    <row r="590" spans="15:16" x14ac:dyDescent="0.25">
      <c r="O590" s="2">
        <v>2016</v>
      </c>
      <c r="P590">
        <v>5.1655503869326047E-2</v>
      </c>
    </row>
  </sheetData>
  <autoFilter ref="A1:V558">
    <filterColumn colId="5">
      <filters>
        <filter val="WEEK #39"/>
        <filter val="WEEK #40"/>
        <filter val="WEEK #41"/>
        <filter val="WEEK #42"/>
        <filter val="WEEK #43"/>
        <filter val="WEEK #44"/>
      </filters>
    </filterColumn>
  </autoFilter>
  <sortState ref="O561:P591">
    <sortCondition ref="O561:O591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45"/>
  <sheetViews>
    <sheetView topLeftCell="A16" workbookViewId="0">
      <selection activeCell="M24" sqref="M24"/>
    </sheetView>
  </sheetViews>
  <sheetFormatPr defaultRowHeight="15" x14ac:dyDescent="0.25"/>
  <sheetData>
    <row r="1" spans="1:25" ht="67.5" x14ac:dyDescent="0.25">
      <c r="A1" s="19" t="s">
        <v>0</v>
      </c>
      <c r="B1" s="22" t="s">
        <v>1</v>
      </c>
      <c r="C1" s="16" t="s">
        <v>2</v>
      </c>
      <c r="D1" s="16" t="s">
        <v>4</v>
      </c>
      <c r="E1" s="16" t="s">
        <v>5</v>
      </c>
      <c r="F1" s="16" t="s">
        <v>6</v>
      </c>
      <c r="G1" s="16" t="s">
        <v>13</v>
      </c>
      <c r="H1" s="16" t="s">
        <v>15</v>
      </c>
      <c r="I1" s="16" t="s">
        <v>16</v>
      </c>
      <c r="J1" s="16" t="s">
        <v>17</v>
      </c>
      <c r="K1" s="3" t="s">
        <v>29</v>
      </c>
      <c r="L1" s="3" t="s">
        <v>29</v>
      </c>
      <c r="N1" s="19" t="s">
        <v>0</v>
      </c>
      <c r="O1" s="22" t="s">
        <v>1</v>
      </c>
      <c r="P1" s="16" t="s">
        <v>2</v>
      </c>
      <c r="Q1" s="16" t="s">
        <v>4</v>
      </c>
      <c r="R1" s="16" t="s">
        <v>5</v>
      </c>
      <c r="S1" s="16" t="s">
        <v>6</v>
      </c>
      <c r="T1" s="16" t="s">
        <v>13</v>
      </c>
      <c r="U1" s="16" t="s">
        <v>15</v>
      </c>
      <c r="V1" s="16" t="s">
        <v>16</v>
      </c>
      <c r="W1" s="16" t="s">
        <v>17</v>
      </c>
      <c r="X1" s="3" t="s">
        <v>35</v>
      </c>
      <c r="Y1" s="3" t="s">
        <v>35</v>
      </c>
    </row>
    <row r="2" spans="1:25" x14ac:dyDescent="0.25">
      <c r="A2" s="20"/>
      <c r="B2" s="23"/>
      <c r="C2" s="17"/>
      <c r="D2" s="17"/>
      <c r="E2" s="17"/>
      <c r="F2" s="17"/>
      <c r="G2" s="17"/>
      <c r="H2" s="17"/>
      <c r="I2" s="17"/>
      <c r="J2" s="17"/>
      <c r="K2" s="4" t="s">
        <v>30</v>
      </c>
      <c r="L2" s="4" t="s">
        <v>30</v>
      </c>
      <c r="N2" s="20"/>
      <c r="O2" s="23"/>
      <c r="P2" s="17"/>
      <c r="Q2" s="17"/>
      <c r="R2" s="17"/>
      <c r="S2" s="17"/>
      <c r="T2" s="17"/>
      <c r="U2" s="17"/>
      <c r="V2" s="17"/>
      <c r="W2" s="17"/>
      <c r="X2" s="4" t="s">
        <v>30</v>
      </c>
      <c r="Y2" s="4" t="s">
        <v>30</v>
      </c>
    </row>
    <row r="3" spans="1:25" ht="15.75" thickBot="1" x14ac:dyDescent="0.3">
      <c r="A3" s="21"/>
      <c r="B3" s="24"/>
      <c r="C3" s="18"/>
      <c r="D3" s="18"/>
      <c r="E3" s="18"/>
      <c r="F3" s="18"/>
      <c r="G3" s="18"/>
      <c r="H3" s="18"/>
      <c r="I3" s="18"/>
      <c r="J3" s="18"/>
      <c r="K3" s="5" t="s">
        <v>31</v>
      </c>
      <c r="L3" s="5" t="s">
        <v>32</v>
      </c>
      <c r="N3" s="21"/>
      <c r="O3" s="24"/>
      <c r="P3" s="18"/>
      <c r="Q3" s="18"/>
      <c r="R3" s="18"/>
      <c r="S3" s="18"/>
      <c r="T3" s="18"/>
      <c r="U3" s="18"/>
      <c r="V3" s="18"/>
      <c r="W3" s="18"/>
      <c r="X3" s="5" t="s">
        <v>31</v>
      </c>
      <c r="Y3" s="5" t="s">
        <v>32</v>
      </c>
    </row>
    <row r="4" spans="1:25" x14ac:dyDescent="0.25">
      <c r="A4" s="6"/>
      <c r="N4" s="6"/>
    </row>
    <row r="5" spans="1:25" ht="15.75" thickBot="1" x14ac:dyDescent="0.3">
      <c r="A5" s="7"/>
      <c r="N5" s="7"/>
    </row>
    <row r="6" spans="1:25" ht="15.75" thickBot="1" x14ac:dyDescent="0.3">
      <c r="A6" s="7"/>
      <c r="N6" s="7"/>
    </row>
    <row r="7" spans="1:25" ht="15.75" thickBot="1" x14ac:dyDescent="0.3">
      <c r="A7" s="7"/>
      <c r="N7" s="7"/>
    </row>
    <row r="8" spans="1:25" ht="15.75" thickBot="1" x14ac:dyDescent="0.3">
      <c r="A8" s="7"/>
      <c r="N8" s="7"/>
    </row>
    <row r="9" spans="1:25" ht="15.75" thickBot="1" x14ac:dyDescent="0.3">
      <c r="A9" s="7"/>
      <c r="N9" s="7"/>
    </row>
    <row r="10" spans="1:25" ht="15.75" thickBot="1" x14ac:dyDescent="0.3">
      <c r="A10" s="7"/>
      <c r="N10" s="7"/>
    </row>
    <row r="11" spans="1:25" ht="15.75" thickBot="1" x14ac:dyDescent="0.3">
      <c r="A11" s="7"/>
      <c r="N11" s="7"/>
    </row>
    <row r="12" spans="1:25" ht="15.75" thickBot="1" x14ac:dyDescent="0.3">
      <c r="A12" s="7"/>
      <c r="N12" s="7"/>
    </row>
    <row r="13" spans="1:25" x14ac:dyDescent="0.25">
      <c r="A13" t="s">
        <v>0</v>
      </c>
      <c r="B13" s="2" t="s">
        <v>1</v>
      </c>
      <c r="C13" s="12" t="s">
        <v>34</v>
      </c>
      <c r="D13" s="12" t="s">
        <v>37</v>
      </c>
    </row>
    <row r="14" spans="1:25" x14ac:dyDescent="0.25">
      <c r="A14" t="s">
        <v>19</v>
      </c>
      <c r="B14">
        <v>2016</v>
      </c>
    </row>
    <row r="15" spans="1:25" x14ac:dyDescent="0.25">
      <c r="A15" t="s">
        <v>19</v>
      </c>
      <c r="B15" s="2">
        <v>2015</v>
      </c>
      <c r="C15" s="13">
        <v>3.71</v>
      </c>
      <c r="D15" s="15">
        <v>9.49</v>
      </c>
    </row>
    <row r="16" spans="1:25" x14ac:dyDescent="0.25">
      <c r="A16" t="s">
        <v>19</v>
      </c>
      <c r="B16" s="2">
        <v>2014</v>
      </c>
      <c r="C16" s="13">
        <v>4.1100000000000003</v>
      </c>
      <c r="D16" s="9">
        <v>12.5</v>
      </c>
    </row>
    <row r="17" spans="1:25" x14ac:dyDescent="0.25">
      <c r="A17" t="s">
        <v>19</v>
      </c>
      <c r="B17" s="2">
        <v>2013</v>
      </c>
      <c r="C17" s="13">
        <v>6.15</v>
      </c>
      <c r="D17" s="9">
        <v>14.1</v>
      </c>
    </row>
    <row r="18" spans="1:25" x14ac:dyDescent="0.25">
      <c r="A18" t="s">
        <v>19</v>
      </c>
      <c r="B18" s="2">
        <v>2012</v>
      </c>
      <c r="C18" s="13">
        <v>6.67</v>
      </c>
      <c r="D18" s="9">
        <v>14</v>
      </c>
    </row>
    <row r="19" spans="1:25" ht="15.75" thickBot="1" x14ac:dyDescent="0.3">
      <c r="A19" s="7"/>
      <c r="N19" s="7"/>
    </row>
    <row r="20" spans="1:25" ht="15.75" thickBot="1" x14ac:dyDescent="0.3">
      <c r="A20" s="7"/>
      <c r="N20" s="7"/>
    </row>
    <row r="21" spans="1:25" ht="15.75" thickBot="1" x14ac:dyDescent="0.3">
      <c r="A21" s="7"/>
      <c r="N21" s="7"/>
    </row>
    <row r="22" spans="1:25" ht="15.75" thickBot="1" x14ac:dyDescent="0.3">
      <c r="A22" s="7"/>
      <c r="N22" s="7"/>
    </row>
    <row r="23" spans="1:25" ht="15.75" thickBot="1" x14ac:dyDescent="0.3">
      <c r="A23" s="7"/>
      <c r="N23" s="7"/>
    </row>
    <row r="24" spans="1:25" ht="15.75" thickBot="1" x14ac:dyDescent="0.3">
      <c r="A24" s="8" t="s">
        <v>19</v>
      </c>
      <c r="B24" s="2">
        <v>2015</v>
      </c>
      <c r="N24" s="6"/>
    </row>
    <row r="25" spans="1:25" ht="15.75" thickBot="1" x14ac:dyDescent="0.3">
      <c r="A25" s="8"/>
      <c r="B25" s="2"/>
      <c r="N25" s="6"/>
    </row>
    <row r="26" spans="1:25" ht="23.25" thickBot="1" x14ac:dyDescent="0.3">
      <c r="A26" s="8" t="s">
        <v>19</v>
      </c>
      <c r="B26" s="9">
        <v>2015</v>
      </c>
      <c r="C26" s="9" t="s">
        <v>20</v>
      </c>
      <c r="D26" s="9" t="s">
        <v>21</v>
      </c>
      <c r="E26" s="9" t="s">
        <v>22</v>
      </c>
      <c r="F26" s="9" t="s">
        <v>33</v>
      </c>
      <c r="G26" s="9">
        <v>-1</v>
      </c>
      <c r="H26" s="9" t="s">
        <v>23</v>
      </c>
      <c r="I26" s="9" t="s">
        <v>24</v>
      </c>
      <c r="J26" s="9" t="s">
        <v>25</v>
      </c>
      <c r="K26">
        <v>3.71</v>
      </c>
      <c r="L26" s="9" t="s">
        <v>33</v>
      </c>
      <c r="N26" s="6"/>
    </row>
    <row r="27" spans="1:25" ht="23.25" thickBot="1" x14ac:dyDescent="0.3">
      <c r="A27" s="8" t="s">
        <v>19</v>
      </c>
      <c r="B27" s="9">
        <v>2014</v>
      </c>
      <c r="C27" s="9" t="s">
        <v>20</v>
      </c>
      <c r="D27" s="9" t="s">
        <v>21</v>
      </c>
      <c r="E27" s="9" t="s">
        <v>22</v>
      </c>
      <c r="F27" s="9" t="s">
        <v>33</v>
      </c>
      <c r="G27" s="9">
        <v>0</v>
      </c>
      <c r="H27" s="9" t="s">
        <v>23</v>
      </c>
      <c r="I27" s="9" t="s">
        <v>24</v>
      </c>
      <c r="J27" s="9" t="s">
        <v>25</v>
      </c>
      <c r="K27" s="9">
        <v>4.1100000000000003</v>
      </c>
      <c r="L27" s="9" t="s">
        <v>33</v>
      </c>
      <c r="N27" s="9" t="s">
        <v>19</v>
      </c>
      <c r="O27" s="8">
        <v>2014</v>
      </c>
      <c r="P27" s="9" t="s">
        <v>20</v>
      </c>
      <c r="Q27" s="9" t="s">
        <v>21</v>
      </c>
      <c r="R27" s="9" t="s">
        <v>22</v>
      </c>
      <c r="S27" s="9" t="s">
        <v>33</v>
      </c>
      <c r="T27" s="9">
        <v>0</v>
      </c>
      <c r="U27" s="9" t="s">
        <v>36</v>
      </c>
      <c r="V27" s="9" t="s">
        <v>24</v>
      </c>
      <c r="W27" s="9" t="s">
        <v>25</v>
      </c>
      <c r="X27" s="9">
        <v>12.5</v>
      </c>
      <c r="Y27" s="9" t="s">
        <v>33</v>
      </c>
    </row>
    <row r="28" spans="1:25" ht="22.5" x14ac:dyDescent="0.25">
      <c r="A28" s="9" t="s">
        <v>19</v>
      </c>
      <c r="B28" s="9">
        <v>2013</v>
      </c>
      <c r="C28" s="9" t="s">
        <v>20</v>
      </c>
      <c r="D28" s="9" t="s">
        <v>21</v>
      </c>
      <c r="E28" s="9" t="s">
        <v>22</v>
      </c>
      <c r="F28" s="9" t="s">
        <v>33</v>
      </c>
      <c r="G28" s="9">
        <v>0</v>
      </c>
      <c r="H28" s="9" t="s">
        <v>23</v>
      </c>
      <c r="I28" s="9" t="s">
        <v>24</v>
      </c>
      <c r="J28" s="9" t="s">
        <v>25</v>
      </c>
      <c r="K28" s="9">
        <v>6.15</v>
      </c>
      <c r="L28" s="9" t="s">
        <v>33</v>
      </c>
      <c r="N28" s="9" t="s">
        <v>19</v>
      </c>
      <c r="O28" s="9">
        <v>2013</v>
      </c>
      <c r="P28" s="9" t="s">
        <v>20</v>
      </c>
      <c r="Q28" s="9" t="s">
        <v>21</v>
      </c>
      <c r="R28" s="9" t="s">
        <v>22</v>
      </c>
      <c r="S28" s="9" t="s">
        <v>33</v>
      </c>
      <c r="T28" s="9">
        <v>0</v>
      </c>
      <c r="U28" s="9" t="s">
        <v>36</v>
      </c>
      <c r="V28" s="9" t="s">
        <v>24</v>
      </c>
      <c r="W28" s="9" t="s">
        <v>25</v>
      </c>
      <c r="X28" s="9">
        <v>14.1</v>
      </c>
      <c r="Y28" s="9" t="s">
        <v>33</v>
      </c>
    </row>
    <row r="29" spans="1:25" ht="22.5" x14ac:dyDescent="0.25">
      <c r="A29" s="9" t="s">
        <v>19</v>
      </c>
      <c r="B29" s="9">
        <v>2012</v>
      </c>
      <c r="C29" s="9" t="s">
        <v>20</v>
      </c>
      <c r="D29" s="9" t="s">
        <v>21</v>
      </c>
      <c r="E29" s="9" t="s">
        <v>22</v>
      </c>
      <c r="F29" s="9" t="s">
        <v>33</v>
      </c>
      <c r="G29" s="9">
        <v>0</v>
      </c>
      <c r="H29" s="9" t="s">
        <v>23</v>
      </c>
      <c r="I29" s="9" t="s">
        <v>24</v>
      </c>
      <c r="J29" s="9" t="s">
        <v>25</v>
      </c>
      <c r="K29" s="9">
        <v>6.67</v>
      </c>
      <c r="L29" s="9" t="s">
        <v>33</v>
      </c>
      <c r="N29" s="9" t="s">
        <v>19</v>
      </c>
      <c r="O29" s="9">
        <v>2012</v>
      </c>
      <c r="P29" s="9" t="s">
        <v>20</v>
      </c>
      <c r="Q29" s="9" t="s">
        <v>21</v>
      </c>
      <c r="R29" s="9" t="s">
        <v>22</v>
      </c>
      <c r="S29" s="9" t="s">
        <v>33</v>
      </c>
      <c r="T29" s="9">
        <v>0</v>
      </c>
      <c r="U29" s="9" t="s">
        <v>36</v>
      </c>
      <c r="V29" s="9" t="s">
        <v>24</v>
      </c>
      <c r="W29" s="9" t="s">
        <v>25</v>
      </c>
      <c r="X29" s="9">
        <v>14</v>
      </c>
      <c r="Y29" s="9" t="s">
        <v>33</v>
      </c>
    </row>
    <row r="30" spans="1:25" ht="22.5" x14ac:dyDescent="0.25">
      <c r="A30" s="9" t="s">
        <v>19</v>
      </c>
      <c r="B30" s="9">
        <v>2011</v>
      </c>
      <c r="C30" s="9" t="s">
        <v>20</v>
      </c>
      <c r="D30" s="9" t="s">
        <v>21</v>
      </c>
      <c r="E30" s="9" t="s">
        <v>22</v>
      </c>
      <c r="F30" s="9" t="s">
        <v>33</v>
      </c>
      <c r="G30" s="9">
        <v>0</v>
      </c>
      <c r="H30" s="9" t="s">
        <v>23</v>
      </c>
      <c r="I30" s="9" t="s">
        <v>24</v>
      </c>
      <c r="J30" s="9" t="s">
        <v>25</v>
      </c>
      <c r="K30" s="9">
        <v>6.02</v>
      </c>
      <c r="L30" s="9" t="s">
        <v>33</v>
      </c>
      <c r="N30" s="9" t="s">
        <v>19</v>
      </c>
      <c r="O30" s="9">
        <v>2011</v>
      </c>
      <c r="P30" s="9" t="s">
        <v>20</v>
      </c>
      <c r="Q30" s="9" t="s">
        <v>21</v>
      </c>
      <c r="R30" s="9" t="s">
        <v>22</v>
      </c>
      <c r="S30" s="9" t="s">
        <v>33</v>
      </c>
      <c r="T30" s="9">
        <v>0</v>
      </c>
      <c r="U30" s="9" t="s">
        <v>36</v>
      </c>
      <c r="V30" s="9" t="s">
        <v>24</v>
      </c>
      <c r="W30" s="9" t="s">
        <v>25</v>
      </c>
      <c r="X30" s="9">
        <v>12.5</v>
      </c>
      <c r="Y30" s="9" t="s">
        <v>33</v>
      </c>
    </row>
    <row r="31" spans="1:25" ht="22.5" x14ac:dyDescent="0.25">
      <c r="A31" s="9" t="s">
        <v>19</v>
      </c>
      <c r="B31" s="9">
        <v>2010</v>
      </c>
      <c r="C31" s="9" t="s">
        <v>20</v>
      </c>
      <c r="D31" s="9" t="s">
        <v>21</v>
      </c>
      <c r="E31" s="9" t="s">
        <v>22</v>
      </c>
      <c r="F31" s="9" t="s">
        <v>33</v>
      </c>
      <c r="G31" s="9">
        <v>0</v>
      </c>
      <c r="H31" s="9" t="s">
        <v>23</v>
      </c>
      <c r="I31" s="9" t="s">
        <v>24</v>
      </c>
      <c r="J31" s="9" t="s">
        <v>25</v>
      </c>
      <c r="K31" s="9">
        <v>3.83</v>
      </c>
      <c r="L31" s="9" t="s">
        <v>33</v>
      </c>
      <c r="N31" s="9" t="s">
        <v>19</v>
      </c>
      <c r="O31" s="9">
        <v>2010</v>
      </c>
      <c r="P31" s="9" t="s">
        <v>20</v>
      </c>
      <c r="Q31" s="9" t="s">
        <v>21</v>
      </c>
      <c r="R31" s="9" t="s">
        <v>22</v>
      </c>
      <c r="S31" s="9" t="s">
        <v>33</v>
      </c>
      <c r="T31" s="9">
        <v>0</v>
      </c>
      <c r="U31" s="9" t="s">
        <v>36</v>
      </c>
      <c r="V31" s="9" t="s">
        <v>24</v>
      </c>
      <c r="W31" s="9" t="s">
        <v>25</v>
      </c>
      <c r="X31" s="9">
        <v>9.9700000000000006</v>
      </c>
      <c r="Y31" s="9" t="s">
        <v>33</v>
      </c>
    </row>
    <row r="32" spans="1:25" ht="22.5" x14ac:dyDescent="0.25">
      <c r="A32" s="9" t="s">
        <v>19</v>
      </c>
      <c r="B32" s="9">
        <v>2009</v>
      </c>
      <c r="C32" s="9" t="s">
        <v>20</v>
      </c>
      <c r="D32" s="9" t="s">
        <v>21</v>
      </c>
      <c r="E32" s="9" t="s">
        <v>22</v>
      </c>
      <c r="F32" s="9" t="s">
        <v>33</v>
      </c>
      <c r="G32" s="9">
        <v>0</v>
      </c>
      <c r="H32" s="9" t="s">
        <v>23</v>
      </c>
      <c r="I32" s="9" t="s">
        <v>24</v>
      </c>
      <c r="J32" s="9" t="s">
        <v>25</v>
      </c>
      <c r="K32" s="9">
        <v>3.75</v>
      </c>
      <c r="L32" s="9" t="s">
        <v>33</v>
      </c>
      <c r="N32" s="9" t="s">
        <v>19</v>
      </c>
      <c r="O32" s="9">
        <v>2009</v>
      </c>
      <c r="P32" s="9" t="s">
        <v>20</v>
      </c>
      <c r="Q32" s="9" t="s">
        <v>21</v>
      </c>
      <c r="R32" s="9" t="s">
        <v>22</v>
      </c>
      <c r="S32" s="9" t="s">
        <v>33</v>
      </c>
      <c r="T32" s="9">
        <v>0</v>
      </c>
      <c r="U32" s="9" t="s">
        <v>36</v>
      </c>
      <c r="V32" s="9" t="s">
        <v>24</v>
      </c>
      <c r="W32" s="9" t="s">
        <v>25</v>
      </c>
      <c r="X32" s="9">
        <v>10.1</v>
      </c>
      <c r="Y32" s="9" t="s">
        <v>33</v>
      </c>
    </row>
    <row r="33" spans="1:25" ht="22.5" x14ac:dyDescent="0.25">
      <c r="A33" s="9" t="s">
        <v>19</v>
      </c>
      <c r="B33" s="9">
        <v>2008</v>
      </c>
      <c r="C33" s="9" t="s">
        <v>20</v>
      </c>
      <c r="D33" s="9" t="s">
        <v>21</v>
      </c>
      <c r="E33" s="9" t="s">
        <v>22</v>
      </c>
      <c r="F33" s="9" t="s">
        <v>33</v>
      </c>
      <c r="G33" s="9">
        <v>0</v>
      </c>
      <c r="H33" s="9" t="s">
        <v>23</v>
      </c>
      <c r="I33" s="9" t="s">
        <v>24</v>
      </c>
      <c r="J33" s="9" t="s">
        <v>25</v>
      </c>
      <c r="K33" s="9">
        <v>4.78</v>
      </c>
      <c r="L33" s="9" t="s">
        <v>33</v>
      </c>
      <c r="N33" s="9" t="s">
        <v>19</v>
      </c>
      <c r="O33" s="9">
        <v>2008</v>
      </c>
      <c r="P33" s="9" t="s">
        <v>20</v>
      </c>
      <c r="Q33" s="9" t="s">
        <v>21</v>
      </c>
      <c r="R33" s="9" t="s">
        <v>22</v>
      </c>
      <c r="S33" s="9" t="s">
        <v>33</v>
      </c>
      <c r="T33" s="9">
        <v>0</v>
      </c>
      <c r="U33" s="9" t="s">
        <v>36</v>
      </c>
      <c r="V33" s="9" t="s">
        <v>24</v>
      </c>
      <c r="W33" s="9" t="s">
        <v>25</v>
      </c>
      <c r="X33" s="9">
        <v>11.3</v>
      </c>
      <c r="Y33" s="9" t="s">
        <v>33</v>
      </c>
    </row>
    <row r="34" spans="1:25" ht="22.5" x14ac:dyDescent="0.25">
      <c r="A34" s="9" t="s">
        <v>19</v>
      </c>
      <c r="B34" s="9">
        <v>2007</v>
      </c>
      <c r="C34" s="9" t="s">
        <v>20</v>
      </c>
      <c r="D34" s="9" t="s">
        <v>21</v>
      </c>
      <c r="E34" s="9" t="s">
        <v>22</v>
      </c>
      <c r="F34" s="9" t="s">
        <v>33</v>
      </c>
      <c r="G34" s="9">
        <v>0</v>
      </c>
      <c r="H34" s="9" t="s">
        <v>23</v>
      </c>
      <c r="I34" s="9" t="s">
        <v>24</v>
      </c>
      <c r="J34" s="9" t="s">
        <v>25</v>
      </c>
      <c r="K34" s="9">
        <v>3.39</v>
      </c>
      <c r="L34" s="9" t="s">
        <v>33</v>
      </c>
      <c r="N34" s="9" t="s">
        <v>19</v>
      </c>
      <c r="O34" s="9">
        <v>2007</v>
      </c>
      <c r="P34" s="9" t="s">
        <v>20</v>
      </c>
      <c r="Q34" s="9" t="s">
        <v>21</v>
      </c>
      <c r="R34" s="9" t="s">
        <v>22</v>
      </c>
      <c r="S34" s="9" t="s">
        <v>33</v>
      </c>
      <c r="T34" s="9">
        <v>0</v>
      </c>
      <c r="U34" s="9" t="s">
        <v>36</v>
      </c>
      <c r="V34" s="9" t="s">
        <v>24</v>
      </c>
      <c r="W34" s="9" t="s">
        <v>25</v>
      </c>
      <c r="X34" s="9">
        <v>7.74</v>
      </c>
      <c r="Y34" s="9" t="s">
        <v>33</v>
      </c>
    </row>
    <row r="35" spans="1:25" ht="22.5" x14ac:dyDescent="0.25">
      <c r="A35" s="9" t="s">
        <v>19</v>
      </c>
      <c r="B35" s="9">
        <v>2006</v>
      </c>
      <c r="C35" s="9" t="s">
        <v>20</v>
      </c>
      <c r="D35" s="9" t="s">
        <v>21</v>
      </c>
      <c r="E35" s="9" t="s">
        <v>22</v>
      </c>
      <c r="F35" s="9" t="s">
        <v>33</v>
      </c>
      <c r="G35" s="9">
        <v>0</v>
      </c>
      <c r="H35" s="9" t="s">
        <v>23</v>
      </c>
      <c r="I35" s="9" t="s">
        <v>24</v>
      </c>
      <c r="J35" s="9" t="s">
        <v>25</v>
      </c>
      <c r="K35" s="9">
        <v>2.2799999999999998</v>
      </c>
      <c r="L35" s="9" t="s">
        <v>33</v>
      </c>
      <c r="N35" s="9" t="s">
        <v>19</v>
      </c>
      <c r="O35" s="9">
        <v>2006</v>
      </c>
      <c r="P35" s="9" t="s">
        <v>20</v>
      </c>
      <c r="Q35" s="9" t="s">
        <v>21</v>
      </c>
      <c r="R35" s="9" t="s">
        <v>22</v>
      </c>
      <c r="S35" s="9" t="s">
        <v>33</v>
      </c>
      <c r="T35" s="9">
        <v>0</v>
      </c>
      <c r="U35" s="9" t="s">
        <v>36</v>
      </c>
      <c r="V35" s="9" t="s">
        <v>24</v>
      </c>
      <c r="W35" s="9" t="s">
        <v>25</v>
      </c>
      <c r="X35" s="9">
        <v>5.65</v>
      </c>
      <c r="Y35" s="9" t="s">
        <v>33</v>
      </c>
    </row>
    <row r="36" spans="1:25" ht="22.5" x14ac:dyDescent="0.25">
      <c r="A36" s="9" t="s">
        <v>19</v>
      </c>
      <c r="B36" s="9">
        <v>2005</v>
      </c>
      <c r="C36" s="9" t="s">
        <v>20</v>
      </c>
      <c r="D36" s="9" t="s">
        <v>21</v>
      </c>
      <c r="E36" s="9" t="s">
        <v>22</v>
      </c>
      <c r="F36" s="9" t="s">
        <v>33</v>
      </c>
      <c r="G36" s="9">
        <v>0</v>
      </c>
      <c r="H36" s="9" t="s">
        <v>23</v>
      </c>
      <c r="I36" s="9" t="s">
        <v>24</v>
      </c>
      <c r="J36" s="9" t="s">
        <v>25</v>
      </c>
      <c r="K36" s="9">
        <v>1.96</v>
      </c>
      <c r="L36" s="9" t="s">
        <v>33</v>
      </c>
      <c r="N36" s="9" t="s">
        <v>19</v>
      </c>
      <c r="O36" s="9">
        <v>2005</v>
      </c>
      <c r="P36" s="9" t="s">
        <v>20</v>
      </c>
      <c r="Q36" s="9" t="s">
        <v>21</v>
      </c>
      <c r="R36" s="9" t="s">
        <v>22</v>
      </c>
      <c r="S36" s="9" t="s">
        <v>33</v>
      </c>
      <c r="T36" s="9">
        <v>0</v>
      </c>
      <c r="U36" s="9" t="s">
        <v>36</v>
      </c>
      <c r="V36" s="9" t="s">
        <v>24</v>
      </c>
      <c r="W36" s="9" t="s">
        <v>25</v>
      </c>
      <c r="X36" s="9">
        <v>5.95</v>
      </c>
      <c r="Y36" s="9" t="s">
        <v>33</v>
      </c>
    </row>
    <row r="37" spans="1:25" ht="22.5" x14ac:dyDescent="0.25">
      <c r="A37" s="9" t="s">
        <v>19</v>
      </c>
      <c r="B37" s="9">
        <v>2004</v>
      </c>
      <c r="C37" s="9" t="s">
        <v>20</v>
      </c>
      <c r="D37" s="9" t="s">
        <v>21</v>
      </c>
      <c r="E37" s="9" t="s">
        <v>22</v>
      </c>
      <c r="F37" s="9" t="s">
        <v>33</v>
      </c>
      <c r="G37" s="9">
        <v>0</v>
      </c>
      <c r="H37" s="9" t="s">
        <v>23</v>
      </c>
      <c r="I37" s="9" t="s">
        <v>24</v>
      </c>
      <c r="J37" s="9" t="s">
        <v>25</v>
      </c>
      <c r="K37" s="9">
        <v>2.4700000000000002</v>
      </c>
      <c r="L37" s="9" t="s">
        <v>33</v>
      </c>
      <c r="N37" s="9" t="s">
        <v>19</v>
      </c>
      <c r="O37" s="9">
        <v>2004</v>
      </c>
      <c r="P37" s="9" t="s">
        <v>20</v>
      </c>
      <c r="Q37" s="9" t="s">
        <v>21</v>
      </c>
      <c r="R37" s="9" t="s">
        <v>22</v>
      </c>
      <c r="S37" s="9" t="s">
        <v>33</v>
      </c>
      <c r="T37" s="9">
        <v>0</v>
      </c>
      <c r="U37" s="9" t="s">
        <v>36</v>
      </c>
      <c r="V37" s="9" t="s">
        <v>24</v>
      </c>
      <c r="W37" s="9" t="s">
        <v>25</v>
      </c>
      <c r="X37" s="9">
        <v>7.56</v>
      </c>
      <c r="Y37" s="9" t="s">
        <v>33</v>
      </c>
    </row>
    <row r="38" spans="1:25" ht="22.5" x14ac:dyDescent="0.25">
      <c r="A38" s="9" t="s">
        <v>19</v>
      </c>
      <c r="B38" s="9">
        <v>2003</v>
      </c>
      <c r="C38" s="9" t="s">
        <v>20</v>
      </c>
      <c r="D38" s="9" t="s">
        <v>21</v>
      </c>
      <c r="E38" s="9" t="s">
        <v>22</v>
      </c>
      <c r="F38" s="9" t="s">
        <v>33</v>
      </c>
      <c r="G38" s="9">
        <v>0</v>
      </c>
      <c r="H38" s="9" t="s">
        <v>23</v>
      </c>
      <c r="I38" s="9" t="s">
        <v>24</v>
      </c>
      <c r="J38" s="9" t="s">
        <v>25</v>
      </c>
      <c r="K38" s="9">
        <v>2.27</v>
      </c>
      <c r="L38" s="9" t="s">
        <v>33</v>
      </c>
      <c r="N38" s="9" t="s">
        <v>19</v>
      </c>
      <c r="O38" s="9">
        <v>2003</v>
      </c>
      <c r="P38" s="9" t="s">
        <v>20</v>
      </c>
      <c r="Q38" s="9" t="s">
        <v>21</v>
      </c>
      <c r="R38" s="9" t="s">
        <v>22</v>
      </c>
      <c r="S38" s="9" t="s">
        <v>33</v>
      </c>
      <c r="T38" s="9">
        <v>0</v>
      </c>
      <c r="U38" s="9" t="s">
        <v>36</v>
      </c>
      <c r="V38" s="9" t="s">
        <v>24</v>
      </c>
      <c r="W38" s="9" t="s">
        <v>25</v>
      </c>
      <c r="X38" s="9">
        <v>6.08</v>
      </c>
      <c r="Y38" s="9" t="s">
        <v>33</v>
      </c>
    </row>
    <row r="39" spans="1:25" ht="22.5" x14ac:dyDescent="0.25">
      <c r="A39" s="9" t="s">
        <v>19</v>
      </c>
      <c r="B39" s="9">
        <v>2002</v>
      </c>
      <c r="C39" s="9" t="s">
        <v>20</v>
      </c>
      <c r="D39" s="9" t="s">
        <v>21</v>
      </c>
      <c r="E39" s="9" t="s">
        <v>22</v>
      </c>
      <c r="F39" s="9" t="s">
        <v>33</v>
      </c>
      <c r="G39" s="9">
        <v>0</v>
      </c>
      <c r="H39" s="9" t="s">
        <v>23</v>
      </c>
      <c r="I39" s="9" t="s">
        <v>24</v>
      </c>
      <c r="J39" s="9" t="s">
        <v>25</v>
      </c>
      <c r="K39" s="9">
        <v>2.13</v>
      </c>
      <c r="L39" s="9" t="s">
        <v>33</v>
      </c>
      <c r="N39" s="9" t="s">
        <v>19</v>
      </c>
      <c r="O39" s="9">
        <v>2002</v>
      </c>
      <c r="P39" s="9" t="s">
        <v>20</v>
      </c>
      <c r="Q39" s="9" t="s">
        <v>21</v>
      </c>
      <c r="R39" s="9" t="s">
        <v>22</v>
      </c>
      <c r="S39" s="9" t="s">
        <v>33</v>
      </c>
      <c r="T39" s="9">
        <v>0</v>
      </c>
      <c r="U39" s="9" t="s">
        <v>36</v>
      </c>
      <c r="V39" s="9" t="s">
        <v>24</v>
      </c>
      <c r="W39" s="9" t="s">
        <v>25</v>
      </c>
      <c r="X39" s="9">
        <v>4.93</v>
      </c>
      <c r="Y39" s="9" t="s">
        <v>33</v>
      </c>
    </row>
    <row r="40" spans="1:25" ht="22.5" x14ac:dyDescent="0.25">
      <c r="A40" s="9" t="s">
        <v>19</v>
      </c>
      <c r="B40" s="9">
        <v>2001</v>
      </c>
      <c r="C40" s="9" t="s">
        <v>20</v>
      </c>
      <c r="D40" s="9" t="s">
        <v>21</v>
      </c>
      <c r="E40" s="9" t="s">
        <v>22</v>
      </c>
      <c r="F40" s="9" t="s">
        <v>33</v>
      </c>
      <c r="G40" s="9">
        <v>0</v>
      </c>
      <c r="H40" s="9" t="s">
        <v>23</v>
      </c>
      <c r="I40" s="9" t="s">
        <v>24</v>
      </c>
      <c r="J40" s="9" t="s">
        <v>25</v>
      </c>
      <c r="K40" s="9">
        <v>1.89</v>
      </c>
      <c r="L40" s="9" t="s">
        <v>33</v>
      </c>
      <c r="N40" s="9" t="s">
        <v>19</v>
      </c>
      <c r="O40" s="9">
        <v>2001</v>
      </c>
      <c r="P40" s="9" t="s">
        <v>20</v>
      </c>
      <c r="Q40" s="9" t="s">
        <v>21</v>
      </c>
      <c r="R40" s="9" t="s">
        <v>22</v>
      </c>
      <c r="S40" s="9" t="s">
        <v>33</v>
      </c>
      <c r="T40" s="9">
        <v>0</v>
      </c>
      <c r="U40" s="9" t="s">
        <v>36</v>
      </c>
      <c r="V40" s="9" t="s">
        <v>24</v>
      </c>
      <c r="W40" s="9" t="s">
        <v>25</v>
      </c>
      <c r="X40" s="9">
        <v>4.43</v>
      </c>
      <c r="Y40" s="9" t="s">
        <v>33</v>
      </c>
    </row>
    <row r="41" spans="1:25" ht="22.5" x14ac:dyDescent="0.25">
      <c r="A41" s="9" t="s">
        <v>19</v>
      </c>
      <c r="B41" s="9">
        <v>2000</v>
      </c>
      <c r="C41" s="9" t="s">
        <v>20</v>
      </c>
      <c r="D41" s="9" t="s">
        <v>21</v>
      </c>
      <c r="E41" s="9" t="s">
        <v>22</v>
      </c>
      <c r="F41" s="9" t="s">
        <v>33</v>
      </c>
      <c r="G41" s="9">
        <v>0</v>
      </c>
      <c r="H41" s="9" t="s">
        <v>23</v>
      </c>
      <c r="I41" s="9" t="s">
        <v>24</v>
      </c>
      <c r="J41" s="9" t="s">
        <v>25</v>
      </c>
      <c r="K41" s="9">
        <v>1.86</v>
      </c>
      <c r="L41" s="9" t="s">
        <v>33</v>
      </c>
      <c r="N41" s="10" t="s">
        <v>19</v>
      </c>
      <c r="O41" s="10">
        <v>2000</v>
      </c>
      <c r="P41" s="10" t="s">
        <v>20</v>
      </c>
      <c r="Q41" s="10" t="s">
        <v>21</v>
      </c>
      <c r="R41" s="10" t="s">
        <v>22</v>
      </c>
      <c r="S41" s="10" t="s">
        <v>33</v>
      </c>
      <c r="T41" s="10">
        <v>0</v>
      </c>
      <c r="U41" s="10" t="s">
        <v>36</v>
      </c>
      <c r="V41" s="10" t="s">
        <v>24</v>
      </c>
      <c r="W41" s="10" t="s">
        <v>25</v>
      </c>
      <c r="X41" s="10">
        <v>4.7300000000000004</v>
      </c>
      <c r="Y41" s="11" t="s">
        <v>33</v>
      </c>
    </row>
    <row r="42" spans="1:25" ht="22.5" x14ac:dyDescent="0.25">
      <c r="A42" s="9" t="s">
        <v>19</v>
      </c>
      <c r="B42" s="9">
        <v>1999</v>
      </c>
      <c r="C42" s="9" t="s">
        <v>20</v>
      </c>
      <c r="D42" s="9" t="s">
        <v>21</v>
      </c>
      <c r="E42" s="9" t="s">
        <v>22</v>
      </c>
      <c r="F42" s="9" t="s">
        <v>33</v>
      </c>
      <c r="G42" s="9">
        <v>0</v>
      </c>
      <c r="H42" s="9" t="s">
        <v>23</v>
      </c>
      <c r="I42" s="9" t="s">
        <v>24</v>
      </c>
      <c r="J42" s="9" t="s">
        <v>25</v>
      </c>
      <c r="K42" s="9">
        <v>1.89</v>
      </c>
      <c r="L42" s="9" t="s">
        <v>33</v>
      </c>
    </row>
    <row r="43" spans="1:25" ht="22.5" x14ac:dyDescent="0.25">
      <c r="A43" s="9" t="s">
        <v>19</v>
      </c>
      <c r="B43" s="9">
        <v>1998</v>
      </c>
      <c r="C43" s="9" t="s">
        <v>20</v>
      </c>
      <c r="D43" s="9" t="s">
        <v>21</v>
      </c>
      <c r="E43" s="9" t="s">
        <v>22</v>
      </c>
      <c r="F43" s="9" t="s">
        <v>33</v>
      </c>
      <c r="G43" s="9">
        <v>0</v>
      </c>
      <c r="H43" s="9" t="s">
        <v>23</v>
      </c>
      <c r="I43" s="9" t="s">
        <v>24</v>
      </c>
      <c r="J43" s="9" t="s">
        <v>25</v>
      </c>
      <c r="K43" s="9">
        <v>2.2000000000000002</v>
      </c>
      <c r="L43" s="9" t="s">
        <v>33</v>
      </c>
    </row>
    <row r="44" spans="1:25" ht="22.5" x14ac:dyDescent="0.25">
      <c r="A44" s="9" t="s">
        <v>19</v>
      </c>
      <c r="B44" s="9">
        <v>1997</v>
      </c>
      <c r="C44" s="9" t="s">
        <v>20</v>
      </c>
      <c r="D44" s="9" t="s">
        <v>21</v>
      </c>
      <c r="E44" s="9" t="s">
        <v>22</v>
      </c>
      <c r="F44" s="9" t="s">
        <v>33</v>
      </c>
      <c r="G44" s="9">
        <v>0</v>
      </c>
      <c r="H44" s="9" t="s">
        <v>23</v>
      </c>
      <c r="I44" s="9" t="s">
        <v>24</v>
      </c>
      <c r="J44" s="9" t="s">
        <v>25</v>
      </c>
      <c r="K44" s="9">
        <v>2.6</v>
      </c>
      <c r="L44" s="9" t="s">
        <v>33</v>
      </c>
    </row>
    <row r="45" spans="1:25" ht="22.5" x14ac:dyDescent="0.25">
      <c r="A45" s="10" t="s">
        <v>19</v>
      </c>
      <c r="B45" s="10">
        <v>1996</v>
      </c>
      <c r="C45" s="10" t="s">
        <v>20</v>
      </c>
      <c r="D45" s="10" t="s">
        <v>21</v>
      </c>
      <c r="E45" s="10" t="s">
        <v>22</v>
      </c>
      <c r="F45" s="10" t="s">
        <v>33</v>
      </c>
      <c r="G45" s="10">
        <v>0</v>
      </c>
      <c r="H45" s="10" t="s">
        <v>23</v>
      </c>
      <c r="I45" s="10" t="s">
        <v>24</v>
      </c>
      <c r="J45" s="10" t="s">
        <v>25</v>
      </c>
      <c r="K45" s="10">
        <v>3.55</v>
      </c>
      <c r="L45" s="11" t="s">
        <v>33</v>
      </c>
    </row>
  </sheetData>
  <mergeCells count="20">
    <mergeCell ref="G1:G3"/>
    <mergeCell ref="H1:H3"/>
    <mergeCell ref="I1:I3"/>
    <mergeCell ref="J1:J3"/>
    <mergeCell ref="A1:A3"/>
    <mergeCell ref="B1:B3"/>
    <mergeCell ref="C1:C3"/>
    <mergeCell ref="D1:D3"/>
    <mergeCell ref="E1:E3"/>
    <mergeCell ref="F1:F3"/>
    <mergeCell ref="V1:V3"/>
    <mergeCell ref="W1:W3"/>
    <mergeCell ref="N1:N3"/>
    <mergeCell ref="O1:O3"/>
    <mergeCell ref="P1:P3"/>
    <mergeCell ref="Q1:Q3"/>
    <mergeCell ref="R1:R3"/>
    <mergeCell ref="S1:S3"/>
    <mergeCell ref="T1:T3"/>
    <mergeCell ref="U1:U3"/>
  </mergeCells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Control 1">
          <controlPr defaultSize="0" r:id="rId5">
            <anchor moveWithCells="1">
              <from>
                <xdr:col>0</xdr:col>
                <xdr:colOff>0</xdr:colOff>
                <xdr:row>3</xdr:row>
                <xdr:rowOff>0</xdr:rowOff>
              </from>
              <to>
                <xdr:col>0</xdr:col>
                <xdr:colOff>257175</xdr:colOff>
                <xdr:row>4</xdr:row>
                <xdr:rowOff>47625</xdr:rowOff>
              </to>
            </anchor>
          </controlPr>
        </control>
      </mc:Choice>
      <mc:Fallback>
        <control shapeId="2049" r:id="rId4" name="Control 1"/>
      </mc:Fallback>
    </mc:AlternateContent>
    <mc:AlternateContent xmlns:mc="http://schemas.openxmlformats.org/markup-compatibility/2006">
      <mc:Choice Requires="x14">
        <control shapeId="2050" r:id="rId6" name="Control 2">
          <controlPr defaultSize="0" r:id="rId7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1</xdr:col>
                <xdr:colOff>257175</xdr:colOff>
                <xdr:row>4</xdr:row>
                <xdr:rowOff>76200</xdr:rowOff>
              </to>
            </anchor>
          </controlPr>
        </control>
      </mc:Choice>
      <mc:Fallback>
        <control shapeId="2050" r:id="rId6" name="Control 2"/>
      </mc:Fallback>
    </mc:AlternateContent>
    <mc:AlternateContent xmlns:mc="http://schemas.openxmlformats.org/markup-compatibility/2006">
      <mc:Choice Requires="x14">
        <control shapeId="2051" r:id="rId8" name="Control 3">
          <controlPr defaultSize="0" r:id="rId5">
            <anchor moveWithCells="1">
              <from>
                <xdr:col>0</xdr:col>
                <xdr:colOff>0</xdr:colOff>
                <xdr:row>23</xdr:row>
                <xdr:rowOff>0</xdr:rowOff>
              </from>
              <to>
                <xdr:col>0</xdr:col>
                <xdr:colOff>257175</xdr:colOff>
                <xdr:row>24</xdr:row>
                <xdr:rowOff>38100</xdr:rowOff>
              </to>
            </anchor>
          </controlPr>
        </control>
      </mc:Choice>
      <mc:Fallback>
        <control shapeId="2051" r:id="rId8" name="Control 3"/>
      </mc:Fallback>
    </mc:AlternateContent>
    <mc:AlternateContent xmlns:mc="http://schemas.openxmlformats.org/markup-compatibility/2006">
      <mc:Choice Requires="x14">
        <control shapeId="2052" r:id="rId9" name="Control 4">
          <controlPr defaultSize="0" r:id="rId7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1</xdr:col>
                <xdr:colOff>257175</xdr:colOff>
                <xdr:row>24</xdr:row>
                <xdr:rowOff>66675</xdr:rowOff>
              </to>
            </anchor>
          </controlPr>
        </control>
      </mc:Choice>
      <mc:Fallback>
        <control shapeId="2052" r:id="rId9" name="Control 4"/>
      </mc:Fallback>
    </mc:AlternateContent>
    <mc:AlternateContent xmlns:mc="http://schemas.openxmlformats.org/markup-compatibility/2006">
      <mc:Choice Requires="x14">
        <control shapeId="2057" r:id="rId10" name="Control 9">
          <controlPr defaultSize="0" r:id="rId5">
            <anchor moveWithCells="1">
              <from>
                <xdr:col>13</xdr:col>
                <xdr:colOff>0</xdr:colOff>
                <xdr:row>3</xdr:row>
                <xdr:rowOff>0</xdr:rowOff>
              </from>
              <to>
                <xdr:col>13</xdr:col>
                <xdr:colOff>257175</xdr:colOff>
                <xdr:row>4</xdr:row>
                <xdr:rowOff>47625</xdr:rowOff>
              </to>
            </anchor>
          </controlPr>
        </control>
      </mc:Choice>
      <mc:Fallback>
        <control shapeId="2057" r:id="rId10" name="Control 9"/>
      </mc:Fallback>
    </mc:AlternateContent>
    <mc:AlternateContent xmlns:mc="http://schemas.openxmlformats.org/markup-compatibility/2006">
      <mc:Choice Requires="x14">
        <control shapeId="2058" r:id="rId11" name="Control 10">
          <controlPr defaultSize="0" r:id="rId7">
            <anchor moveWithCells="1">
              <from>
                <xdr:col>14</xdr:col>
                <xdr:colOff>0</xdr:colOff>
                <xdr:row>3</xdr:row>
                <xdr:rowOff>0</xdr:rowOff>
              </from>
              <to>
                <xdr:col>14</xdr:col>
                <xdr:colOff>257175</xdr:colOff>
                <xdr:row>4</xdr:row>
                <xdr:rowOff>76200</xdr:rowOff>
              </to>
            </anchor>
          </controlPr>
        </control>
      </mc:Choice>
      <mc:Fallback>
        <control shapeId="2058" r:id="rId11" name="Control 10"/>
      </mc:Fallback>
    </mc:AlternateContent>
    <mc:AlternateContent xmlns:mc="http://schemas.openxmlformats.org/markup-compatibility/2006">
      <mc:Choice Requires="x14">
        <control shapeId="2059" r:id="rId12" name="Control 11">
          <controlPr defaultSize="0" r:id="rId5">
            <anchor moveWithCells="1">
              <from>
                <xdr:col>13</xdr:col>
                <xdr:colOff>0</xdr:colOff>
                <xdr:row>23</xdr:row>
                <xdr:rowOff>0</xdr:rowOff>
              </from>
              <to>
                <xdr:col>13</xdr:col>
                <xdr:colOff>257175</xdr:colOff>
                <xdr:row>24</xdr:row>
                <xdr:rowOff>38100</xdr:rowOff>
              </to>
            </anchor>
          </controlPr>
        </control>
      </mc:Choice>
      <mc:Fallback>
        <control shapeId="2059" r:id="rId12" name="Control 11"/>
      </mc:Fallback>
    </mc:AlternateContent>
    <mc:AlternateContent xmlns:mc="http://schemas.openxmlformats.org/markup-compatibility/2006">
      <mc:Choice Requires="x14">
        <control shapeId="2060" r:id="rId13" name="Control 12">
          <controlPr defaultSize="0" r:id="rId7">
            <anchor moveWithCells="1">
              <from>
                <xdr:col>14</xdr:col>
                <xdr:colOff>0</xdr:colOff>
                <xdr:row>23</xdr:row>
                <xdr:rowOff>0</xdr:rowOff>
              </from>
              <to>
                <xdr:col>14</xdr:col>
                <xdr:colOff>257175</xdr:colOff>
                <xdr:row>24</xdr:row>
                <xdr:rowOff>66675</xdr:rowOff>
              </to>
            </anchor>
          </controlPr>
        </control>
      </mc:Choice>
      <mc:Fallback>
        <control shapeId="2060" r:id="rId13" name="Control 1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Acreage</vt:lpstr>
      <vt:lpstr>Yield</vt:lpstr>
      <vt:lpstr>Crop Condition</vt:lpstr>
      <vt:lpstr>Prices Recieved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Mallory, Mindy L</dc:creator>
  <cp:lastModifiedBy>Mallory, Mindy L</cp:lastModifiedBy>
  <dcterms:created xsi:type="dcterms:W3CDTF">2015-09-11T20:58:30Z</dcterms:created>
  <dcterms:modified xsi:type="dcterms:W3CDTF">2016-09-15T17:07:19Z</dcterms:modified>
</cp:coreProperties>
</file>